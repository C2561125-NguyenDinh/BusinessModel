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ướng dẫn" sheetId="1" state="visible" r:id="rId1"/>
    <sheet xmlns:r="http://schemas.openxmlformats.org/officeDocument/2006/relationships" name="Mẫu quyết định" sheetId="2" state="visible" r:id="rId2"/>
    <sheet xmlns:r="http://schemas.openxmlformats.org/officeDocument/2006/relationships" name="Tổng hợp" sheetId="3" state="visible" r:id="rId3"/>
  </sheets>
  <definedNames>
    <definedName name="_xlnm._FilterDatabase" localSheetId="1" hidden="1">'Mẫu quyết định'!$A$4:$AC$1786</definedName>
    <definedName name="_xlnm.Print_Titles" localSheetId="1">'Mẫu quyết định'!$4:$4</definedName>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9">
    <font>
      <name val="Calibri"/>
      <family val="2"/>
      <color theme="1"/>
      <sz val="11"/>
      <scheme val="minor"/>
    </font>
    <font>
      <b val="1"/>
      <color rgb="001B8A8F"/>
      <sz val="11"/>
    </font>
    <font>
      <b val="1"/>
      <color rgb="000E2A33"/>
      <sz val="22"/>
    </font>
    <font>
      <color rgb="005B6B70"/>
    </font>
    <font>
      <b val="1"/>
      <color rgb="0012505F"/>
    </font>
    <font>
      <b val="1"/>
      <sz val="12"/>
    </font>
    <font>
      <b val="1"/>
      <color rgb="000E2A33"/>
      <sz val="16"/>
    </font>
    <font>
      <b val="1"/>
      <color rgb="00FFFFFF"/>
    </font>
    <font>
      <b val="1"/>
    </font>
  </fonts>
  <fills count="8">
    <fill>
      <patternFill/>
    </fill>
    <fill>
      <patternFill patternType="gray125"/>
    </fill>
    <fill>
      <patternFill patternType="solid">
        <fgColor rgb="00F3F6F7"/>
      </patternFill>
    </fill>
    <fill>
      <patternFill patternType="solid">
        <fgColor rgb="00FFF4CC"/>
      </patternFill>
    </fill>
    <fill>
      <patternFill patternType="solid">
        <fgColor rgb="00DDF1F1"/>
      </patternFill>
    </fill>
    <fill>
      <patternFill patternType="solid">
        <fgColor rgb="0012505F"/>
      </patternFill>
    </fill>
    <fill>
      <patternFill patternType="solid">
        <fgColor rgb="00B7791F"/>
      </patternFill>
    </fill>
    <fill>
      <patternFill patternType="solid">
        <fgColor rgb="001B8A8F"/>
      </patternFill>
    </fill>
  </fills>
  <borders count="2">
    <border>
      <left/>
      <right/>
      <top/>
      <bottom/>
      <diagonal/>
    </border>
    <border>
      <left style="thin">
        <color rgb="00D5E1E3"/>
      </left>
      <right style="thin">
        <color rgb="00D5E1E3"/>
      </right>
      <top style="thin">
        <color rgb="00D5E1E3"/>
      </top>
      <bottom style="thin">
        <color rgb="00D5E1E3"/>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6" fillId="0" borderId="0" pivotButton="0" quotePrefix="0" xfId="0"/>
    <xf numFmtId="0" fontId="7" fillId="5" borderId="0" applyAlignment="1" pivotButton="0" quotePrefix="0" xfId="0">
      <alignment horizontal="center"/>
    </xf>
    <xf numFmtId="0" fontId="7" fillId="6" borderId="0" applyAlignment="1" pivotButton="0" quotePrefix="0" xfId="0">
      <alignment horizontal="center"/>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1" fontId="0" fillId="2" borderId="1" pivotButton="0" quotePrefix="0" xfId="0"/>
    <xf numFmtId="0" fontId="0" fillId="2" borderId="1" pivotButton="0" quotePrefix="0" xfId="0"/>
    <xf numFmtId="0" fontId="0" fillId="2" borderId="1" applyAlignment="1" pivotButton="0" quotePrefix="0" xfId="0">
      <alignment vertical="top" wrapText="1"/>
    </xf>
    <xf numFmtId="3" fontId="0" fillId="2" borderId="1" pivotButton="0" quotePrefix="0" xfId="0"/>
    <xf numFmtId="3" fontId="0" fillId="3" borderId="1" applyProtection="1" pivotButton="0" quotePrefix="0" xfId="0">
      <protection locked="0" hidden="0"/>
    </xf>
    <xf numFmtId="0" fontId="0" fillId="3" borderId="1" applyProtection="1" pivotButton="0" quotePrefix="0" xfId="0">
      <protection locked="0" hidden="0"/>
    </xf>
    <xf numFmtId="3" fontId="0" fillId="4" borderId="1" pivotButton="0" quotePrefix="0" xfId="0"/>
    <xf numFmtId="164" fontId="0" fillId="4" borderId="1" pivotButton="0" quotePrefix="0" xfId="0"/>
    <xf numFmtId="0" fontId="0" fillId="3" borderId="1" applyAlignment="1" applyProtection="1" pivotButton="0" quotePrefix="0" xfId="0">
      <alignment vertical="top" wrapText="1"/>
      <protection locked="0" hidden="0"/>
    </xf>
    <xf numFmtId="165" fontId="0" fillId="3" borderId="1" applyProtection="1" pivotButton="0" quotePrefix="0" xfId="0">
      <protection locked="0" hidden="0"/>
    </xf>
    <xf numFmtId="0" fontId="0" fillId="4" borderId="1" pivotButton="0" quotePrefix="0" xfId="0"/>
    <xf numFmtId="0" fontId="7" fillId="5" borderId="0" pivotButton="0" quotePrefix="0" xfId="0"/>
    <xf numFmtId="0" fontId="8" fillId="0" borderId="0" pivotButton="0" quotePrefix="0" xfId="0"/>
    <xf numFmtId="0" fontId="0" fillId="0" borderId="1" pivotButton="0" quotePrefix="0" xfId="0"/>
    <xf numFmtId="1" fontId="4" fillId="0" borderId="1" pivotButton="0" quotePrefix="0" xfId="0"/>
    <xf numFmtId="164" fontId="4" fillId="0" borderId="1" pivotButton="0" quotePrefix="0" xfId="0"/>
    <xf numFmtId="3" fontId="4" fillId="0" borderId="1" pivotButton="0" quotePrefix="0" xfId="0"/>
  </cellXfs>
  <cellStyles count="1">
    <cellStyle name="Normal" xfId="0" builtinId="0" hidden="0"/>
  </cellStyles>
  <dxfs count="6">
    <dxf>
      <font>
        <b val="1"/>
        <color rgb="009B2C22"/>
      </font>
      <fill>
        <patternFill patternType="solid">
          <fgColor rgb="00F9DEDA"/>
        </patternFill>
      </fill>
    </dxf>
    <dxf>
      <font>
        <b val="1"/>
        <color rgb="00276749"/>
      </font>
      <fill>
        <patternFill patternType="solid">
          <fgColor rgb="00DCEFE2"/>
        </patternFill>
      </fill>
    </dxf>
    <dxf>
      <fill>
        <patternFill patternType="solid">
          <fgColor rgb="00F9DEDA"/>
        </patternFill>
      </fill>
    </dxf>
    <dxf>
      <fill>
        <patternFill patternType="solid">
          <fgColor rgb="00FBEBD0"/>
        </patternFill>
      </fill>
    </dxf>
    <dxf>
      <fill>
        <patternFill patternType="solid">
          <fgColor rgb="00DCEFE2"/>
        </patternFill>
      </fill>
    </dxf>
    <dxf>
      <fill>
        <patternFill patternType="solid">
          <fgColor rgb="00E2E8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17"/>
  <sheetViews>
    <sheetView showGridLines="0" workbookViewId="0">
      <selection activeCell="A1" sqref="A1"/>
    </sheetView>
  </sheetViews>
  <sheetFormatPr baseColWidth="8" defaultRowHeight="15"/>
  <cols>
    <col width="3" customWidth="1" min="1" max="1"/>
    <col width="30" customWidth="1" min="2" max="2"/>
    <col width="92" customWidth="1" min="3" max="3"/>
  </cols>
  <sheetData>
    <row r="2">
      <c r="B2" s="1" t="inlineStr">
        <is>
          <t>MẪU RA QUYẾT ĐỊNH DỰ BÁO</t>
        </is>
      </c>
    </row>
    <row r="3">
      <c r="B3" s="2" t="inlineStr">
        <is>
          <t>Phiếu phê duyệt bổ sung hàng theo dự báo P10/P50/P90</t>
        </is>
      </c>
    </row>
    <row r="4">
      <c r="B4" s="3" t="inlineStr">
        <is>
          <t>Kỳ dự báo 16 ngày: 31/07/2017 → 15/08/2017 · mô hình XGBoost · 1782 chuỗi · Cửa hàng: tất cả 54 · Nhóm hàng: tất cả 33 · Nhãn rủi ro: tất cả</t>
        </is>
      </c>
    </row>
    <row r="6" ht="36" customHeight="1">
      <c r="B6" s="4" t="inlineStr">
        <is>
          <t>1. Đọc dự báo</t>
        </is>
      </c>
      <c r="C6" s="5" t="inlineStr">
        <is>
          <t>Các cột nền xám (P10, P50, P90, mục tiêu A/B/C, đề xuất) lấy nguyên từ pipeline và được khóa. P50 là trung vị; khoảng P10–P90 kỳ vọng chứa khoảng 80% khả năng (bao phủ thực tế của lần chạy: 75,40%).</t>
        </is>
      </c>
    </row>
    <row r="7" ht="36" customHeight="1">
      <c r="B7" s="4" t="inlineStr">
        <is>
          <t>2. Nhập tồn kho thực</t>
        </is>
      </c>
      <c r="C7" s="5" t="inlineStr">
        <is>
          <t>Nhập 'Tồn kho thực tế' và 'Hàng đang về'. Nếu để trống, cột 'SL cần theo tồn thực' dùng số lượng đề xuất của pipeline (tính theo vị thế giả định 0,8 × P50).</t>
        </is>
      </c>
    </row>
    <row r="8" ht="36" customHeight="1">
      <c r="B8" s="4" t="inlineStr">
        <is>
          <t>3. Chọn quyết định</t>
        </is>
      </c>
      <c r="C8" s="5" t="inlineStr">
        <is>
          <t>Duyệt: đồng ý đề xuất · Điều chỉnh: đổi phương án hoặc số lượng · Từ chối: không bổ sung · Yêu cầu xem lại: cần thêm thông tin.</t>
        </is>
      </c>
    </row>
    <row r="9" ht="36" customHeight="1">
      <c r="B9" s="4" t="inlineStr">
        <is>
          <t>4. Chọn phương án</t>
        </is>
      </c>
      <c r="C9" s="5" t="inlineStr">
        <is>
          <t>A = mức P50 (tồn dư thấp, ~50% nguy cơ thiếu hàng) · B = q* = 0,75 (cân bằng Cu/Co) · C = P90 (bảo thủ) · Khác = tự nhập số lượng.</t>
        </is>
      </c>
    </row>
    <row r="10" ht="36" customHeight="1">
      <c r="B10" s="4" t="inlineStr">
        <is>
          <t>5. Ghi số lượng &amp; lý do</t>
        </is>
      </c>
      <c r="C10" s="5" t="inlineStr">
        <is>
          <t>Nhập 'Số lượng cuối', 'Lý do', 'Người duyệt', 'Ngày duyệt'. Theo POL-HITL-001, mọi quyết định phải có người duyệt và lý do.</t>
        </is>
      </c>
    </row>
    <row r="11" ht="36" customHeight="1">
      <c r="B11" s="4" t="inlineStr">
        <is>
          <t>6. Kiểm soát tự động</t>
        </is>
      </c>
      <c r="C11" s="5" t="inlineStr">
        <is>
          <t>Cột 'Kiểm soát' cảnh báo khi thiếu lý do/người duyệt, số lượng cuối vượt mục tiêu P90 hoặc lệch hơn 30% so với nhu cầu theo tồn thực, và khi kịch bản khuyến mãi có ngoại suy.</t>
        </is>
      </c>
    </row>
    <row r="12" ht="36" customHeight="1">
      <c r="B12" s="4" t="inlineStr">
        <is>
          <t>Giới hạn</t>
        </is>
      </c>
      <c r="C12" s="5" t="inlineStr">
        <is>
          <t>Chi phí Cu = 3, Co = 1 là giả định; không có giá bán, biên lợi nhuận, thời gian cung ứng thực. Kịch bản khuyến mãi là dự báo có điều kiện, không phải tác động nhân quả.</t>
        </is>
      </c>
    </row>
    <row r="14">
      <c r="B14" s="6" t="inlineStr">
        <is>
          <t>Chú thích màu</t>
        </is>
      </c>
    </row>
    <row r="15">
      <c r="B15" s="7" t="n"/>
      <c r="C15" t="inlineStr">
        <is>
          <t>Dữ liệu dự báo – khóa</t>
        </is>
      </c>
    </row>
    <row r="16">
      <c r="B16" s="8" t="n"/>
      <c r="C16" t="inlineStr">
        <is>
          <t>Ô người lập kế hoạch nhập</t>
        </is>
      </c>
    </row>
    <row r="17">
      <c r="B17" s="9" t="n"/>
      <c r="C17" t="inlineStr">
        <is>
          <t>Công thức tự tính</t>
        </is>
      </c>
    </row>
  </sheetData>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AC1786"/>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9" customWidth="1" min="3" max="3"/>
    <col width="24" customWidth="1" min="4" max="4"/>
    <col width="10" customWidth="1" min="5" max="5"/>
    <col width="11" customWidth="1" min="6" max="6"/>
    <col width="26" customWidth="1" min="7" max="7"/>
    <col width="10" customWidth="1" min="8" max="8"/>
    <col width="10" customWidth="1" min="9" max="9"/>
    <col width="10" customWidth="1" min="10" max="10"/>
    <col width="11" customWidth="1" min="11" max="11"/>
    <col width="11" customWidth="1" min="12" max="12"/>
    <col width="11" customWidth="1" min="13" max="13"/>
    <col width="9" customWidth="1" min="14" max="14"/>
    <col width="13" customWidth="1" min="15" max="15"/>
    <col width="20" customWidth="1" min="16" max="16"/>
    <col width="9" customWidth="1" min="17" max="17"/>
    <col width="12" customWidth="1" min="18" max="18"/>
    <col width="11" customWidth="1" min="19" max="19"/>
    <col width="15" customWidth="1" min="20" max="20"/>
    <col width="10" customWidth="1" min="21" max="21"/>
    <col width="12" customWidth="1" min="22" max="22"/>
    <col width="12" customWidth="1" min="23" max="23"/>
    <col width="12" customWidth="1" min="24" max="24"/>
    <col width="11" customWidth="1" min="25" max="25"/>
    <col width="34" customWidth="1" min="26" max="26"/>
    <col width="16" customWidth="1" min="27" max="27"/>
    <col width="12" customWidth="1" min="28" max="28"/>
    <col width="26" customWidth="1" min="29" max="29"/>
  </cols>
  <sheetData>
    <row r="1">
      <c r="A1" s="10" t="inlineStr">
        <is>
          <t>PHIẾU PHÊ DUYỆT BỔ SUNG HÀNG THEO DỰ BÁO</t>
        </is>
      </c>
    </row>
    <row r="2">
      <c r="A2" s="3" t="inlineStr">
        <is>
          <t>Kỳ 31/07/2017 → 15/08/2017 · XGBoost · đơn vị: tổng 16 ngày · ô vàng = nhập</t>
        </is>
      </c>
    </row>
    <row r="3">
      <c r="A3" s="11" t="inlineStr">
        <is>
          <t>THÔNG TIN DỰ BÁO (KHÓA)</t>
        </is>
      </c>
      <c r="R3" s="12" t="inlineStr">
        <is>
          <t>NGƯỜI LẬP KẾ HOẠCH NHẬP / TỰ TÍNH</t>
        </is>
      </c>
    </row>
    <row r="4" ht="44" customHeight="1">
      <c r="A4" s="13" t="inlineStr">
        <is>
          <t>Ưu tiên #</t>
        </is>
      </c>
      <c r="B4" s="13" t="inlineStr">
        <is>
          <t>Mã phiếu</t>
        </is>
      </c>
      <c r="C4" s="13" t="inlineStr">
        <is>
          <t>Cửa hàng</t>
        </is>
      </c>
      <c r="D4" s="13" t="inlineStr">
        <is>
          <t>Nhóm hàng</t>
        </is>
      </c>
      <c r="E4" s="13" t="inlineStr">
        <is>
          <t>Nhãn rủi ro</t>
        </is>
      </c>
      <c r="F4" s="13" t="inlineStr">
        <is>
          <t>Tin cậy</t>
        </is>
      </c>
      <c r="G4" s="13" t="inlineStr">
        <is>
          <t>Mã lý do</t>
        </is>
      </c>
      <c r="H4" s="13" t="inlineStr">
        <is>
          <t>P10 kỳ</t>
        </is>
      </c>
      <c r="I4" s="13" t="inlineStr">
        <is>
          <t>P50 kỳ</t>
        </is>
      </c>
      <c r="J4" s="13" t="inlineStr">
        <is>
          <t>P90 kỳ</t>
        </is>
      </c>
      <c r="K4" s="13" t="inlineStr">
        <is>
          <t>Mục tiêu A (P50)</t>
        </is>
      </c>
      <c r="L4" s="13" t="inlineStr">
        <is>
          <t>Mục tiêu B (q*)</t>
        </is>
      </c>
      <c r="M4" s="13" t="inlineStr">
        <is>
          <t>Mục tiêu C (P90)</t>
        </is>
      </c>
      <c r="N4" s="13" t="inlineStr">
        <is>
          <t>PA đề xuất</t>
        </is>
      </c>
      <c r="O4" s="13" t="inlineStr">
        <is>
          <t>SL đề xuất (vị thế giả định)</t>
        </is>
      </c>
      <c r="P4" s="13" t="inlineStr">
        <is>
          <t>Khuyến mãi</t>
        </is>
      </c>
      <c r="Q4" s="13" t="inlineStr">
        <is>
          <t>Ngoại suy KM</t>
        </is>
      </c>
      <c r="R4" s="14" t="inlineStr">
        <is>
          <t>Tồn kho thực tế</t>
        </is>
      </c>
      <c r="S4" s="14" t="inlineStr">
        <is>
          <t>Hàng đang về</t>
        </is>
      </c>
      <c r="T4" s="14" t="inlineStr">
        <is>
          <t>Quyết định</t>
        </is>
      </c>
      <c r="U4" s="14" t="inlineStr">
        <is>
          <t>Phương án chọn</t>
        </is>
      </c>
      <c r="V4" s="15" t="inlineStr">
        <is>
          <t>Mục tiêu theo PA</t>
        </is>
      </c>
      <c r="W4" s="15" t="inlineStr">
        <is>
          <t>SL cần theo tồn thực</t>
        </is>
      </c>
      <c r="X4" s="14" t="inlineStr">
        <is>
          <t>Số lượng cuối</t>
        </is>
      </c>
      <c r="Y4" s="15" t="inlineStr">
        <is>
          <t>Chênh so với đề xuất</t>
        </is>
      </c>
      <c r="Z4" s="14" t="inlineStr">
        <is>
          <t>Lý do / ghi chú</t>
        </is>
      </c>
      <c r="AA4" s="14" t="inlineStr">
        <is>
          <t>Người duyệt</t>
        </is>
      </c>
      <c r="AB4" s="14" t="inlineStr">
        <is>
          <t>Ngày duyệt</t>
        </is>
      </c>
      <c r="AC4" s="15" t="inlineStr">
        <is>
          <t>Kiểm soát</t>
        </is>
      </c>
    </row>
    <row r="5">
      <c r="A5" s="16" t="n">
        <v>1</v>
      </c>
      <c r="B5" s="17" t="inlineStr">
        <is>
          <t>DEC-S10-BEVERAGES</t>
        </is>
      </c>
      <c r="C5" s="16" t="n">
        <v>10</v>
      </c>
      <c r="D5" s="17" t="inlineStr">
        <is>
          <t>BEVERAGES</t>
        </is>
      </c>
      <c r="E5" s="17" t="inlineStr">
        <is>
          <t>HIGH</t>
        </is>
      </c>
      <c r="F5" s="17" t="inlineStr">
        <is>
          <t>THẤP</t>
        </is>
      </c>
      <c r="G5" s="18" t="inlineStr">
        <is>
          <t>RISK_HIGH · LARGE_SERIES</t>
        </is>
      </c>
      <c r="H5" s="19" t="n">
        <v>16082.91399199219</v>
      </c>
      <c r="I5" s="19" t="n">
        <v>22172.71472167969</v>
      </c>
      <c r="J5" s="19" t="n">
        <v>33099.20840429688</v>
      </c>
      <c r="K5" s="19" t="n">
        <v>22172.71472167969</v>
      </c>
      <c r="L5" s="19" t="n">
        <v>29001.77327331543</v>
      </c>
      <c r="M5" s="19" t="n">
        <v>33099.20840429688</v>
      </c>
      <c r="N5" s="17" t="inlineStr">
        <is>
          <t>C</t>
        </is>
      </c>
      <c r="O5" s="19" t="n">
        <v>15361.03662695313</v>
      </c>
      <c r="P5" s="18" t="inlineStr">
        <is>
          <t>KHÔNG ĐỀ XUẤT TĂNG</t>
        </is>
      </c>
      <c r="Q5" s="17" t="inlineStr">
        <is>
          <t>Không</t>
        </is>
      </c>
      <c r="R5" s="20" t="n"/>
      <c r="S5" s="20" t="n"/>
      <c r="T5" s="21" t="n"/>
      <c r="U5" s="21" t="n"/>
      <c r="V5" s="22">
        <f>IF(U5="A",K5,IF(U5="B",L5,IF(U5="C",M5,IF(N5="A",K5,IF(N5="B",L5,M5)))))</f>
        <v/>
      </c>
      <c r="W5" s="22">
        <f>IF(R5="",O5,MAX(V5-R5-N(S5),0))</f>
        <v/>
      </c>
      <c r="X5" s="20" t="n"/>
      <c r="Y5" s="23">
        <f>IF(OR(X5="",W5=0),"",X5/W5-1)</f>
        <v/>
      </c>
      <c r="Z5" s="24" t="n"/>
      <c r="AA5" s="21" t="n"/>
      <c r="AB5" s="25" t="n"/>
      <c r="AC5" s="26">
        <f>IF(T5="","Chưa quyết định",IF(OR(Z5="",AA5=""),"⚠ Thiếu lý do/người duyệt",IF(AND(X5&lt;&gt;"",N(X5)+N(R5)+N(S5)&gt;M5*1.001,R5&lt;&gt;""),"⚠ Vượt mục tiêu P90",IF(AND(Y5&lt;&gt;"",ABS(N(Y5))&gt;0.3),"⚠ Lệch &gt; 30% so với nhu cầu",IF(Q5="Có","ℹ Kiểm tra ngoại suy KM","✓ Hợp lệ")))))</f>
        <v/>
      </c>
    </row>
    <row r="6">
      <c r="A6" s="16" t="n">
        <v>2</v>
      </c>
      <c r="B6" s="17" t="inlineStr">
        <is>
          <t>DEC-S54-GROCERY_I</t>
        </is>
      </c>
      <c r="C6" s="16" t="n">
        <v>54</v>
      </c>
      <c r="D6" s="17" t="inlineStr">
        <is>
          <t>GROCERY I</t>
        </is>
      </c>
      <c r="E6" s="17" t="inlineStr">
        <is>
          <t>MEDIUM</t>
        </is>
      </c>
      <c r="F6" s="17" t="inlineStr">
        <is>
          <t>TRUNG BÌNH</t>
        </is>
      </c>
      <c r="G6" s="18" t="inlineStr">
        <is>
          <t>RISK_MEDIUM · LARGE_SERIES</t>
        </is>
      </c>
      <c r="H6" s="19" t="n">
        <v>46293.95112617187</v>
      </c>
      <c r="I6" s="19" t="n">
        <v>52973.68627929688</v>
      </c>
      <c r="J6" s="19" t="n">
        <v>65109.33081054688</v>
      </c>
      <c r="K6" s="19" t="n">
        <v>52973.68627929688</v>
      </c>
      <c r="L6" s="19" t="n">
        <v>60558.46411132813</v>
      </c>
      <c r="M6" s="19" t="n">
        <v>65109.33081054688</v>
      </c>
      <c r="N6" s="17" t="inlineStr">
        <is>
          <t>C</t>
        </is>
      </c>
      <c r="O6" s="19" t="n">
        <v>22730.38178710937</v>
      </c>
      <c r="P6" s="18" t="inlineStr">
        <is>
          <t>KHÔNG ĐỀ XUẤT TĂNG</t>
        </is>
      </c>
      <c r="Q6" s="17" t="inlineStr">
        <is>
          <t>Không</t>
        </is>
      </c>
      <c r="R6" s="20" t="n"/>
      <c r="S6" s="20" t="n"/>
      <c r="T6" s="21" t="n"/>
      <c r="U6" s="21" t="n"/>
      <c r="V6" s="22">
        <f>IF(U6="A",K6,IF(U6="B",L6,IF(U6="C",M6,IF(N6="A",K6,IF(N6="B",L6,M6)))))</f>
        <v/>
      </c>
      <c r="W6" s="22">
        <f>IF(R6="",O6,MAX(V6-R6-N(S6),0))</f>
        <v/>
      </c>
      <c r="X6" s="20" t="n"/>
      <c r="Y6" s="23">
        <f>IF(OR(X6="",W6=0),"",X6/W6-1)</f>
        <v/>
      </c>
      <c r="Z6" s="24" t="n"/>
      <c r="AA6" s="21" t="n"/>
      <c r="AB6" s="25" t="n"/>
      <c r="AC6" s="26">
        <f>IF(T6="","Chưa quyết định",IF(OR(Z6="",AA6=""),"⚠ Thiếu lý do/người duyệt",IF(AND(X6&lt;&gt;"",N(X6)+N(R6)+N(S6)&gt;M6*1.001,R6&lt;&gt;""),"⚠ Vượt mục tiêu P90",IF(AND(Y6&lt;&gt;"",ABS(N(Y6))&gt;0.3),"⚠ Lệch &gt; 30% so với nhu cầu",IF(Q6="Có","ℹ Kiểm tra ngoại suy KM","✓ Hợp lệ")))))</f>
        <v/>
      </c>
    </row>
    <row r="7">
      <c r="A7" s="16" t="n">
        <v>3</v>
      </c>
      <c r="B7" s="17" t="inlineStr">
        <is>
          <t>DEC-S31-BEVERAGES</t>
        </is>
      </c>
      <c r="C7" s="16" t="n">
        <v>31</v>
      </c>
      <c r="D7" s="17" t="inlineStr">
        <is>
          <t>BEVERAGES</t>
        </is>
      </c>
      <c r="E7" s="17" t="inlineStr">
        <is>
          <t>MEDIUM</t>
        </is>
      </c>
      <c r="F7" s="17" t="inlineStr">
        <is>
          <t>TRUNG BÌNH</t>
        </is>
      </c>
      <c r="G7" s="18" t="inlineStr">
        <is>
          <t>RISK_MEDIUM · LARGE_SERIES</t>
        </is>
      </c>
      <c r="H7" s="19" t="n">
        <v>45716.82588203125</v>
      </c>
      <c r="I7" s="19" t="n">
        <v>52396.56103515625</v>
      </c>
      <c r="J7" s="19" t="n">
        <v>64532.20556640625</v>
      </c>
      <c r="K7" s="19" t="n">
        <v>52396.56103515625</v>
      </c>
      <c r="L7" s="19" t="n">
        <v>59981.3388671875</v>
      </c>
      <c r="M7" s="19" t="n">
        <v>64532.20556640625</v>
      </c>
      <c r="N7" s="17" t="inlineStr">
        <is>
          <t>C</t>
        </is>
      </c>
      <c r="O7" s="19" t="n">
        <v>22614.95673828125</v>
      </c>
      <c r="P7" s="18" t="inlineStr">
        <is>
          <t>KHÔNG ĐỀ XUẤT TĂNG</t>
        </is>
      </c>
      <c r="Q7" s="17" t="inlineStr">
        <is>
          <t>Không</t>
        </is>
      </c>
      <c r="R7" s="20" t="n"/>
      <c r="S7" s="20" t="n"/>
      <c r="T7" s="21" t="n"/>
      <c r="U7" s="21" t="n"/>
      <c r="V7" s="22">
        <f>IF(U7="A",K7,IF(U7="B",L7,IF(U7="C",M7,IF(N7="A",K7,IF(N7="B",L7,M7)))))</f>
        <v/>
      </c>
      <c r="W7" s="22">
        <f>IF(R7="",O7,MAX(V7-R7-N(S7),0))</f>
        <v/>
      </c>
      <c r="X7" s="20" t="n"/>
      <c r="Y7" s="23">
        <f>IF(OR(X7="",W7=0),"",X7/W7-1)</f>
        <v/>
      </c>
      <c r="Z7" s="24" t="n"/>
      <c r="AA7" s="21" t="n"/>
      <c r="AB7" s="25" t="n"/>
      <c r="AC7" s="26">
        <f>IF(T7="","Chưa quyết định",IF(OR(Z7="",AA7=""),"⚠ Thiếu lý do/người duyệt",IF(AND(X7&lt;&gt;"",N(X7)+N(R7)+N(S7)&gt;M7*1.001,R7&lt;&gt;""),"⚠ Vượt mục tiêu P90",IF(AND(Y7&lt;&gt;"",ABS(N(Y7))&gt;0.3),"⚠ Lệch &gt; 30% so với nhu cầu",IF(Q7="Có","ℹ Kiểm tra ngoại suy KM","✓ Hợp lệ")))))</f>
        <v/>
      </c>
    </row>
    <row r="8">
      <c r="A8" s="16" t="n">
        <v>4</v>
      </c>
      <c r="B8" s="17" t="inlineStr">
        <is>
          <t>DEC-S02-BEVERAGES</t>
        </is>
      </c>
      <c r="C8" s="16" t="n">
        <v>2</v>
      </c>
      <c r="D8" s="17" t="inlineStr">
        <is>
          <t>BEVERAGES</t>
        </is>
      </c>
      <c r="E8" s="17" t="inlineStr">
        <is>
          <t>MEDIUM</t>
        </is>
      </c>
      <c r="F8" s="17" t="inlineStr">
        <is>
          <t>TRUNG BÌNH</t>
        </is>
      </c>
      <c r="G8" s="18" t="inlineStr">
        <is>
          <t>RISK_MEDIUM · LARGE_SERIES</t>
        </is>
      </c>
      <c r="H8" s="19" t="n">
        <v>45168.17182929687</v>
      </c>
      <c r="I8" s="19" t="n">
        <v>51847.90698242188</v>
      </c>
      <c r="J8" s="19" t="n">
        <v>63983.55151367188</v>
      </c>
      <c r="K8" s="19" t="n">
        <v>51847.90698242188</v>
      </c>
      <c r="L8" s="19" t="n">
        <v>59432.68481445313</v>
      </c>
      <c r="M8" s="19" t="n">
        <v>63983.55151367188</v>
      </c>
      <c r="N8" s="17" t="inlineStr">
        <is>
          <t>C</t>
        </is>
      </c>
      <c r="O8" s="19" t="n">
        <v>22505.22592773437</v>
      </c>
      <c r="P8" s="18" t="inlineStr">
        <is>
          <t>KHÔNG ĐỀ XUẤT TĂNG</t>
        </is>
      </c>
      <c r="Q8" s="17" t="inlineStr">
        <is>
          <t>Không</t>
        </is>
      </c>
      <c r="R8" s="20" t="n"/>
      <c r="S8" s="20" t="n"/>
      <c r="T8" s="21" t="n"/>
      <c r="U8" s="21" t="n"/>
      <c r="V8" s="22">
        <f>IF(U8="A",K8,IF(U8="B",L8,IF(U8="C",M8,IF(N8="A",K8,IF(N8="B",L8,M8)))))</f>
        <v/>
      </c>
      <c r="W8" s="22">
        <f>IF(R8="",O8,MAX(V8-R8-N(S8),0))</f>
        <v/>
      </c>
      <c r="X8" s="20" t="n"/>
      <c r="Y8" s="23">
        <f>IF(OR(X8="",W8=0),"",X8/W8-1)</f>
        <v/>
      </c>
      <c r="Z8" s="24" t="n"/>
      <c r="AA8" s="21" t="n"/>
      <c r="AB8" s="25" t="n"/>
      <c r="AC8" s="26">
        <f>IF(T8="","Chưa quyết định",IF(OR(Z8="",AA8=""),"⚠ Thiếu lý do/người duyệt",IF(AND(X8&lt;&gt;"",N(X8)+N(R8)+N(S8)&gt;M8*1.001,R8&lt;&gt;""),"⚠ Vượt mục tiêu P90",IF(AND(Y8&lt;&gt;"",ABS(N(Y8))&gt;0.3),"⚠ Lệch &gt; 30% so với nhu cầu",IF(Q8="Có","ℹ Kiểm tra ngoại suy KM","✓ Hợp lệ")))))</f>
        <v/>
      </c>
    </row>
    <row r="9">
      <c r="A9" s="16" t="n">
        <v>5</v>
      </c>
      <c r="B9" s="17" t="inlineStr">
        <is>
          <t>DEC-S29-BEVERAGES</t>
        </is>
      </c>
      <c r="C9" s="16" t="n">
        <v>29</v>
      </c>
      <c r="D9" s="17" t="inlineStr">
        <is>
          <t>BEVERAGES</t>
        </is>
      </c>
      <c r="E9" s="17" t="inlineStr">
        <is>
          <t>MEDIUM</t>
        </is>
      </c>
      <c r="F9" s="17" t="inlineStr">
        <is>
          <t>TRUNG BÌNH</t>
        </is>
      </c>
      <c r="G9" s="18" t="inlineStr">
        <is>
          <t>RISK_MEDIUM · LARGE_SERIES</t>
        </is>
      </c>
      <c r="H9" s="19" t="n">
        <v>44699.620315625</v>
      </c>
      <c r="I9" s="19" t="n">
        <v>51379.35546875</v>
      </c>
      <c r="J9" s="19" t="n">
        <v>63515</v>
      </c>
      <c r="K9" s="19" t="n">
        <v>51379.35546875</v>
      </c>
      <c r="L9" s="19" t="n">
        <v>58964.13330078125</v>
      </c>
      <c r="M9" s="19" t="n">
        <v>63515</v>
      </c>
      <c r="N9" s="17" t="inlineStr">
        <is>
          <t>C</t>
        </is>
      </c>
      <c r="O9" s="19" t="n">
        <v>22411.515625</v>
      </c>
      <c r="P9" s="18" t="inlineStr">
        <is>
          <t>KHÔNG ĐỀ XUẤT TĂNG</t>
        </is>
      </c>
      <c r="Q9" s="17" t="inlineStr">
        <is>
          <t>Không</t>
        </is>
      </c>
      <c r="R9" s="20" t="n"/>
      <c r="S9" s="20" t="n"/>
      <c r="T9" s="21" t="n"/>
      <c r="U9" s="21" t="n"/>
      <c r="V9" s="22">
        <f>IF(U9="A",K9,IF(U9="B",L9,IF(U9="C",M9,IF(N9="A",K9,IF(N9="B",L9,M9)))))</f>
        <v/>
      </c>
      <c r="W9" s="22">
        <f>IF(R9="",O9,MAX(V9-R9-N(S9),0))</f>
        <v/>
      </c>
      <c r="X9" s="20" t="n"/>
      <c r="Y9" s="23">
        <f>IF(OR(X9="",W9=0),"",X9/W9-1)</f>
        <v/>
      </c>
      <c r="Z9" s="24" t="n"/>
      <c r="AA9" s="21" t="n"/>
      <c r="AB9" s="25" t="n"/>
      <c r="AC9" s="26">
        <f>IF(T9="","Chưa quyết định",IF(OR(Z9="",AA9=""),"⚠ Thiếu lý do/người duyệt",IF(AND(X9&lt;&gt;"",N(X9)+N(R9)+N(S9)&gt;M9*1.001,R9&lt;&gt;""),"⚠ Vượt mục tiêu P90",IF(AND(Y9&lt;&gt;"",ABS(N(Y9))&gt;0.3),"⚠ Lệch &gt; 30% so với nhu cầu",IF(Q9="Có","ℹ Kiểm tra ngoại suy KM","✓ Hợp lệ")))))</f>
        <v/>
      </c>
    </row>
    <row r="10">
      <c r="A10" s="16" t="n">
        <v>6</v>
      </c>
      <c r="B10" s="17" t="inlineStr">
        <is>
          <t>DEC-S33-GROCERY_I</t>
        </is>
      </c>
      <c r="C10" s="16" t="n">
        <v>33</v>
      </c>
      <c r="D10" s="17" t="inlineStr">
        <is>
          <t>GROCERY I</t>
        </is>
      </c>
      <c r="E10" s="17" t="inlineStr">
        <is>
          <t>MEDIUM</t>
        </is>
      </c>
      <c r="F10" s="17" t="inlineStr">
        <is>
          <t>TRUNG BÌNH</t>
        </is>
      </c>
      <c r="G10" s="18" t="inlineStr">
        <is>
          <t>RISK_MEDIUM · LARGE_SERIES</t>
        </is>
      </c>
      <c r="H10" s="19" t="n">
        <v>44555.38008125</v>
      </c>
      <c r="I10" s="19" t="n">
        <v>51235.115234375</v>
      </c>
      <c r="J10" s="19" t="n">
        <v>63370.759765625</v>
      </c>
      <c r="K10" s="19" t="n">
        <v>51235.115234375</v>
      </c>
      <c r="L10" s="19" t="n">
        <v>58819.89306640625</v>
      </c>
      <c r="M10" s="19" t="n">
        <v>63370.759765625</v>
      </c>
      <c r="N10" s="17" t="inlineStr">
        <is>
          <t>C</t>
        </is>
      </c>
      <c r="O10" s="19" t="n">
        <v>22382.667578125</v>
      </c>
      <c r="P10" s="18" t="inlineStr">
        <is>
          <t>KHÔNG ĐỀ XUẤT TĂNG</t>
        </is>
      </c>
      <c r="Q10" s="17" t="inlineStr">
        <is>
          <t>Không</t>
        </is>
      </c>
      <c r="R10" s="20" t="n"/>
      <c r="S10" s="20" t="n"/>
      <c r="T10" s="21" t="n"/>
      <c r="U10" s="21" t="n"/>
      <c r="V10" s="22">
        <f>IF(U10="A",K10,IF(U10="B",L10,IF(U10="C",M10,IF(N10="A",K10,IF(N10="B",L10,M10)))))</f>
        <v/>
      </c>
      <c r="W10" s="22">
        <f>IF(R10="",O10,MAX(V10-R10-N(S10),0))</f>
        <v/>
      </c>
      <c r="X10" s="20" t="n"/>
      <c r="Y10" s="23">
        <f>IF(OR(X10="",W10=0),"",X10/W10-1)</f>
        <v/>
      </c>
      <c r="Z10" s="24" t="n"/>
      <c r="AA10" s="21" t="n"/>
      <c r="AB10" s="25" t="n"/>
      <c r="AC10" s="26">
        <f>IF(T10="","Chưa quyết định",IF(OR(Z10="",AA10=""),"⚠ Thiếu lý do/người duyệt",IF(AND(X10&lt;&gt;"",N(X10)+N(R10)+N(S10)&gt;M10*1.001,R10&lt;&gt;""),"⚠ Vượt mục tiêu P90",IF(AND(Y10&lt;&gt;"",ABS(N(Y10))&gt;0.3),"⚠ Lệch &gt; 30% so với nhu cầu",IF(Q10="Có","ℹ Kiểm tra ngoại suy KM","✓ Hợp lệ")))))</f>
        <v/>
      </c>
    </row>
    <row r="11">
      <c r="A11" s="16" t="n">
        <v>7</v>
      </c>
      <c r="B11" s="17" t="inlineStr">
        <is>
          <t>DEC-S05-GROCERY_I</t>
        </is>
      </c>
      <c r="C11" s="16" t="n">
        <v>5</v>
      </c>
      <c r="D11" s="17" t="inlineStr">
        <is>
          <t>GROCERY I</t>
        </is>
      </c>
      <c r="E11" s="17" t="inlineStr">
        <is>
          <t>MEDIUM</t>
        </is>
      </c>
      <c r="F11" s="17" t="inlineStr">
        <is>
          <t>TRUNG BÌNH</t>
        </is>
      </c>
      <c r="G11" s="18" t="inlineStr">
        <is>
          <t>RISK_MEDIUM · LARGE_SERIES</t>
        </is>
      </c>
      <c r="H11" s="19" t="n">
        <v>43658.01020820312</v>
      </c>
      <c r="I11" s="19" t="n">
        <v>50337.74536132812</v>
      </c>
      <c r="J11" s="19" t="n">
        <v>62473.38989257812</v>
      </c>
      <c r="K11" s="19" t="n">
        <v>50337.74536132812</v>
      </c>
      <c r="L11" s="19" t="n">
        <v>57922.52319335938</v>
      </c>
      <c r="M11" s="19" t="n">
        <v>62473.38989257812</v>
      </c>
      <c r="N11" s="17" t="inlineStr">
        <is>
          <t>C</t>
        </is>
      </c>
      <c r="O11" s="19" t="n">
        <v>22203.19360351562</v>
      </c>
      <c r="P11" s="18" t="inlineStr">
        <is>
          <t>KHÔNG ĐỀ XUẤT TĂNG</t>
        </is>
      </c>
      <c r="Q11" s="17" t="inlineStr">
        <is>
          <t>Không</t>
        </is>
      </c>
      <c r="R11" s="20" t="n"/>
      <c r="S11" s="20" t="n"/>
      <c r="T11" s="21" t="n"/>
      <c r="U11" s="21" t="n"/>
      <c r="V11" s="22">
        <f>IF(U11="A",K11,IF(U11="B",L11,IF(U11="C",M11,IF(N11="A",K11,IF(N11="B",L11,M11)))))</f>
        <v/>
      </c>
      <c r="W11" s="22">
        <f>IF(R11="",O11,MAX(V11-R11-N(S11),0))</f>
        <v/>
      </c>
      <c r="X11" s="20" t="n"/>
      <c r="Y11" s="23">
        <f>IF(OR(X11="",W11=0),"",X11/W11-1)</f>
        <v/>
      </c>
      <c r="Z11" s="24" t="n"/>
      <c r="AA11" s="21" t="n"/>
      <c r="AB11" s="25" t="n"/>
      <c r="AC11" s="26">
        <f>IF(T11="","Chưa quyết định",IF(OR(Z11="",AA11=""),"⚠ Thiếu lý do/người duyệt",IF(AND(X11&lt;&gt;"",N(X11)+N(R11)+N(S11)&gt;M11*1.001,R11&lt;&gt;""),"⚠ Vượt mục tiêu P90",IF(AND(Y11&lt;&gt;"",ABS(N(Y11))&gt;0.3),"⚠ Lệch &gt; 30% so với nhu cầu",IF(Q11="Có","ℹ Kiểm tra ngoại suy KM","✓ Hợp lệ")))))</f>
        <v/>
      </c>
    </row>
    <row r="12">
      <c r="A12" s="16" t="n">
        <v>8</v>
      </c>
      <c r="B12" s="17" t="inlineStr">
        <is>
          <t>DEC-S18-GROCERY_I</t>
        </is>
      </c>
      <c r="C12" s="16" t="n">
        <v>18</v>
      </c>
      <c r="D12" s="17" t="inlineStr">
        <is>
          <t>GROCERY I</t>
        </is>
      </c>
      <c r="E12" s="17" t="inlineStr">
        <is>
          <t>MEDIUM</t>
        </is>
      </c>
      <c r="F12" s="17" t="inlineStr">
        <is>
          <t>TRUNG BÌNH</t>
        </is>
      </c>
      <c r="G12" s="18" t="inlineStr">
        <is>
          <t>RISK_MEDIUM · LARGE_SERIES</t>
        </is>
      </c>
      <c r="H12" s="19" t="n">
        <v>42572.440628125</v>
      </c>
      <c r="I12" s="19" t="n">
        <v>49252.17578125</v>
      </c>
      <c r="J12" s="19" t="n">
        <v>61387.8203125</v>
      </c>
      <c r="K12" s="19" t="n">
        <v>49252.17578125</v>
      </c>
      <c r="L12" s="19" t="n">
        <v>56836.95361328125</v>
      </c>
      <c r="M12" s="19" t="n">
        <v>61387.8203125</v>
      </c>
      <c r="N12" s="17" t="inlineStr">
        <is>
          <t>C</t>
        </is>
      </c>
      <c r="O12" s="19" t="n">
        <v>21986.0796875</v>
      </c>
      <c r="P12" s="18" t="inlineStr">
        <is>
          <t>KHÔNG ĐỀ XUẤT TĂNG</t>
        </is>
      </c>
      <c r="Q12" s="17" t="inlineStr">
        <is>
          <t>Không</t>
        </is>
      </c>
      <c r="R12" s="20" t="n"/>
      <c r="S12" s="20" t="n"/>
      <c r="T12" s="21" t="n"/>
      <c r="U12" s="21" t="n"/>
      <c r="V12" s="22">
        <f>IF(U12="A",K12,IF(U12="B",L12,IF(U12="C",M12,IF(N12="A",K12,IF(N12="B",L12,M12)))))</f>
        <v/>
      </c>
      <c r="W12" s="22">
        <f>IF(R12="",O12,MAX(V12-R12-N(S12),0))</f>
        <v/>
      </c>
      <c r="X12" s="20" t="n"/>
      <c r="Y12" s="23">
        <f>IF(OR(X12="",W12=0),"",X12/W12-1)</f>
        <v/>
      </c>
      <c r="Z12" s="24" t="n"/>
      <c r="AA12" s="21" t="n"/>
      <c r="AB12" s="25" t="n"/>
      <c r="AC12" s="26">
        <f>IF(T12="","Chưa quyết định",IF(OR(Z12="",AA12=""),"⚠ Thiếu lý do/người duyệt",IF(AND(X12&lt;&gt;"",N(X12)+N(R12)+N(S12)&gt;M12*1.001,R12&lt;&gt;""),"⚠ Vượt mục tiêu P90",IF(AND(Y12&lt;&gt;"",ABS(N(Y12))&gt;0.3),"⚠ Lệch &gt; 30% so với nhu cầu",IF(Q12="Có","ℹ Kiểm tra ngoại suy KM","✓ Hợp lệ")))))</f>
        <v/>
      </c>
    </row>
    <row r="13">
      <c r="A13" s="16" t="n">
        <v>9</v>
      </c>
      <c r="B13" s="17" t="inlineStr">
        <is>
          <t>DEC-S37-BEVERAGES</t>
        </is>
      </c>
      <c r="C13" s="16" t="n">
        <v>37</v>
      </c>
      <c r="D13" s="17" t="inlineStr">
        <is>
          <t>BEVERAGES</t>
        </is>
      </c>
      <c r="E13" s="17" t="inlineStr">
        <is>
          <t>MEDIUM</t>
        </is>
      </c>
      <c r="F13" s="17" t="inlineStr">
        <is>
          <t>TRUNG BÌNH</t>
        </is>
      </c>
      <c r="G13" s="18" t="inlineStr">
        <is>
          <t>RISK_MEDIUM · LARGE_SERIES</t>
        </is>
      </c>
      <c r="H13" s="19" t="n">
        <v>42154.80244453125</v>
      </c>
      <c r="I13" s="19" t="n">
        <v>48834.53759765625</v>
      </c>
      <c r="J13" s="19" t="n">
        <v>60970.18212890625</v>
      </c>
      <c r="K13" s="19" t="n">
        <v>48834.53759765625</v>
      </c>
      <c r="L13" s="19" t="n">
        <v>56419.3154296875</v>
      </c>
      <c r="M13" s="19" t="n">
        <v>60970.18212890625</v>
      </c>
      <c r="N13" s="17" t="inlineStr">
        <is>
          <t>C</t>
        </is>
      </c>
      <c r="O13" s="19" t="n">
        <v>21902.55205078125</v>
      </c>
      <c r="P13" s="18" t="inlineStr">
        <is>
          <t>KHÔNG ĐỀ XUẤT TĂNG</t>
        </is>
      </c>
      <c r="Q13" s="17" t="inlineStr">
        <is>
          <t>Không</t>
        </is>
      </c>
      <c r="R13" s="20" t="n"/>
      <c r="S13" s="20" t="n"/>
      <c r="T13" s="21" t="n"/>
      <c r="U13" s="21" t="n"/>
      <c r="V13" s="22">
        <f>IF(U13="A",K13,IF(U13="B",L13,IF(U13="C",M13,IF(N13="A",K13,IF(N13="B",L13,M13)))))</f>
        <v/>
      </c>
      <c r="W13" s="22">
        <f>IF(R13="",O13,MAX(V13-R13-N(S13),0))</f>
        <v/>
      </c>
      <c r="X13" s="20" t="n"/>
      <c r="Y13" s="23">
        <f>IF(OR(X13="",W13=0),"",X13/W13-1)</f>
        <v/>
      </c>
      <c r="Z13" s="24" t="n"/>
      <c r="AA13" s="21" t="n"/>
      <c r="AB13" s="25" t="n"/>
      <c r="AC13" s="26">
        <f>IF(T13="","Chưa quyết định",IF(OR(Z13="",AA13=""),"⚠ Thiếu lý do/người duyệt",IF(AND(X13&lt;&gt;"",N(X13)+N(R13)+N(S13)&gt;M13*1.001,R13&lt;&gt;""),"⚠ Vượt mục tiêu P90",IF(AND(Y13&lt;&gt;"",ABS(N(Y13))&gt;0.3),"⚠ Lệch &gt; 30% so với nhu cầu",IF(Q13="Có","ℹ Kiểm tra ngoại suy KM","✓ Hợp lệ")))))</f>
        <v/>
      </c>
    </row>
    <row r="14">
      <c r="A14" s="16" t="n">
        <v>10</v>
      </c>
      <c r="B14" s="17" t="inlineStr">
        <is>
          <t>DEC-S41-BEVERAGES</t>
        </is>
      </c>
      <c r="C14" s="16" t="n">
        <v>41</v>
      </c>
      <c r="D14" s="17" t="inlineStr">
        <is>
          <t>BEVERAGES</t>
        </is>
      </c>
      <c r="E14" s="17" t="inlineStr">
        <is>
          <t>MEDIUM</t>
        </is>
      </c>
      <c r="F14" s="17" t="inlineStr">
        <is>
          <t>TRUNG BÌNH</t>
        </is>
      </c>
      <c r="G14" s="18" t="inlineStr">
        <is>
          <t>RISK_MEDIUM · LARGE_SERIES</t>
        </is>
      </c>
      <c r="H14" s="19" t="n">
        <v>42080.64448554687</v>
      </c>
      <c r="I14" s="19" t="n">
        <v>48760.37963867188</v>
      </c>
      <c r="J14" s="19" t="n">
        <v>60896.02416992188</v>
      </c>
      <c r="K14" s="19" t="n">
        <v>48760.37963867188</v>
      </c>
      <c r="L14" s="19" t="n">
        <v>56345.15747070313</v>
      </c>
      <c r="M14" s="19" t="n">
        <v>60896.02416992188</v>
      </c>
      <c r="N14" s="17" t="inlineStr">
        <is>
          <t>C</t>
        </is>
      </c>
      <c r="O14" s="19" t="n">
        <v>21887.72045898438</v>
      </c>
      <c r="P14" s="18" t="inlineStr">
        <is>
          <t>KHÔNG ĐỀ XUẤT TĂNG</t>
        </is>
      </c>
      <c r="Q14" s="17" t="inlineStr">
        <is>
          <t>Không</t>
        </is>
      </c>
      <c r="R14" s="20" t="n"/>
      <c r="S14" s="20" t="n"/>
      <c r="T14" s="21" t="n"/>
      <c r="U14" s="21" t="n"/>
      <c r="V14" s="22">
        <f>IF(U14="A",K14,IF(U14="B",L14,IF(U14="C",M14,IF(N14="A",K14,IF(N14="B",L14,M14)))))</f>
        <v/>
      </c>
      <c r="W14" s="22">
        <f>IF(R14="",O14,MAX(V14-R14-N(S14),0))</f>
        <v/>
      </c>
      <c r="X14" s="20" t="n"/>
      <c r="Y14" s="23">
        <f>IF(OR(X14="",W14=0),"",X14/W14-1)</f>
        <v/>
      </c>
      <c r="Z14" s="24" t="n"/>
      <c r="AA14" s="21" t="n"/>
      <c r="AB14" s="25" t="n"/>
      <c r="AC14" s="26">
        <f>IF(T14="","Chưa quyết định",IF(OR(Z14="",AA14=""),"⚠ Thiếu lý do/người duyệt",IF(AND(X14&lt;&gt;"",N(X14)+N(R14)+N(S14)&gt;M14*1.001,R14&lt;&gt;""),"⚠ Vượt mục tiêu P90",IF(AND(Y14&lt;&gt;"",ABS(N(Y14))&gt;0.3),"⚠ Lệch &gt; 30% so với nhu cầu",IF(Q14="Có","ℹ Kiểm tra ngoại suy KM","✓ Hợp lệ")))))</f>
        <v/>
      </c>
    </row>
    <row r="15">
      <c r="A15" s="16" t="n">
        <v>11</v>
      </c>
      <c r="B15" s="17" t="inlineStr">
        <is>
          <t>DEC-S21-BEVERAGES</t>
        </is>
      </c>
      <c r="C15" s="16" t="n">
        <v>21</v>
      </c>
      <c r="D15" s="17" t="inlineStr">
        <is>
          <t>BEVERAGES</t>
        </is>
      </c>
      <c r="E15" s="17" t="inlineStr">
        <is>
          <t>MEDIUM</t>
        </is>
      </c>
      <c r="F15" s="17" t="inlineStr">
        <is>
          <t>TRUNG BÌNH</t>
        </is>
      </c>
      <c r="G15" s="18" t="inlineStr">
        <is>
          <t>RISK_MEDIUM · LARGE_SERIES</t>
        </is>
      </c>
      <c r="H15" s="19" t="n">
        <v>41961.24604804687</v>
      </c>
      <c r="I15" s="19" t="n">
        <v>48640.98120117188</v>
      </c>
      <c r="J15" s="19" t="n">
        <v>60776.62573242188</v>
      </c>
      <c r="K15" s="19" t="n">
        <v>48640.98120117188</v>
      </c>
      <c r="L15" s="19" t="n">
        <v>56225.75903320313</v>
      </c>
      <c r="M15" s="19" t="n">
        <v>60776.62573242188</v>
      </c>
      <c r="N15" s="17" t="inlineStr">
        <is>
          <t>C</t>
        </is>
      </c>
      <c r="O15" s="19" t="n">
        <v>21863.84077148437</v>
      </c>
      <c r="P15" s="18" t="inlineStr">
        <is>
          <t>KHÔNG ĐỀ XUẤT TĂNG</t>
        </is>
      </c>
      <c r="Q15" s="17" t="inlineStr">
        <is>
          <t>Không</t>
        </is>
      </c>
      <c r="R15" s="20" t="n"/>
      <c r="S15" s="20" t="n"/>
      <c r="T15" s="21" t="n"/>
      <c r="U15" s="21" t="n"/>
      <c r="V15" s="22">
        <f>IF(U15="A",K15,IF(U15="B",L15,IF(U15="C",M15,IF(N15="A",K15,IF(N15="B",L15,M15)))))</f>
        <v/>
      </c>
      <c r="W15" s="22">
        <f>IF(R15="",O15,MAX(V15-R15-N(S15),0))</f>
        <v/>
      </c>
      <c r="X15" s="20" t="n"/>
      <c r="Y15" s="23">
        <f>IF(OR(X15="",W15=0),"",X15/W15-1)</f>
        <v/>
      </c>
      <c r="Z15" s="24" t="n"/>
      <c r="AA15" s="21" t="n"/>
      <c r="AB15" s="25" t="n"/>
      <c r="AC15" s="26">
        <f>IF(T15="","Chưa quyết định",IF(OR(Z15="",AA15=""),"⚠ Thiếu lý do/người duyệt",IF(AND(X15&lt;&gt;"",N(X15)+N(R15)+N(S15)&gt;M15*1.001,R15&lt;&gt;""),"⚠ Vượt mục tiêu P90",IF(AND(Y15&lt;&gt;"",ABS(N(Y15))&gt;0.3),"⚠ Lệch &gt; 30% so với nhu cầu",IF(Q15="Có","ℹ Kiểm tra ngoại suy KM","✓ Hợp lệ")))))</f>
        <v/>
      </c>
    </row>
    <row r="16">
      <c r="A16" s="16" t="n">
        <v>12</v>
      </c>
      <c r="B16" s="17" t="inlineStr">
        <is>
          <t>DEC-S36-BEVERAGES</t>
        </is>
      </c>
      <c r="C16" s="16" t="n">
        <v>36</v>
      </c>
      <c r="D16" s="17" t="inlineStr">
        <is>
          <t>BEVERAGES</t>
        </is>
      </c>
      <c r="E16" s="17" t="inlineStr">
        <is>
          <t>MEDIUM</t>
        </is>
      </c>
      <c r="F16" s="17" t="inlineStr">
        <is>
          <t>TRUNG BÌNH</t>
        </is>
      </c>
      <c r="G16" s="18" t="inlineStr">
        <is>
          <t>RISK_MEDIUM · LARGE_SERIES</t>
        </is>
      </c>
      <c r="H16" s="19" t="n">
        <v>41574.38838203125</v>
      </c>
      <c r="I16" s="19" t="n">
        <v>48254.12353515625</v>
      </c>
      <c r="J16" s="19" t="n">
        <v>60389.76806640625</v>
      </c>
      <c r="K16" s="19" t="n">
        <v>48254.12353515625</v>
      </c>
      <c r="L16" s="19" t="n">
        <v>55838.9013671875</v>
      </c>
      <c r="M16" s="19" t="n">
        <v>60389.76806640625</v>
      </c>
      <c r="N16" s="17" t="inlineStr">
        <is>
          <t>C</t>
        </is>
      </c>
      <c r="O16" s="19" t="n">
        <v>21786.46923828125</v>
      </c>
      <c r="P16" s="18" t="inlineStr">
        <is>
          <t>KHÔNG ĐỀ XUẤT TĂNG</t>
        </is>
      </c>
      <c r="Q16" s="17" t="inlineStr">
        <is>
          <t>Không</t>
        </is>
      </c>
      <c r="R16" s="20" t="n"/>
      <c r="S16" s="20" t="n"/>
      <c r="T16" s="21" t="n"/>
      <c r="U16" s="21" t="n"/>
      <c r="V16" s="22">
        <f>IF(U16="A",K16,IF(U16="B",L16,IF(U16="C",M16,IF(N16="A",K16,IF(N16="B",L16,M16)))))</f>
        <v/>
      </c>
      <c r="W16" s="22">
        <f>IF(R16="",O16,MAX(V16-R16-N(S16),0))</f>
        <v/>
      </c>
      <c r="X16" s="20" t="n"/>
      <c r="Y16" s="23">
        <f>IF(OR(X16="",W16=0),"",X16/W16-1)</f>
        <v/>
      </c>
      <c r="Z16" s="24" t="n"/>
      <c r="AA16" s="21" t="n"/>
      <c r="AB16" s="25" t="n"/>
      <c r="AC16" s="26">
        <f>IF(T16="","Chưa quyết định",IF(OR(Z16="",AA16=""),"⚠ Thiếu lý do/người duyệt",IF(AND(X16&lt;&gt;"",N(X16)+N(R16)+N(S16)&gt;M16*1.001,R16&lt;&gt;""),"⚠ Vượt mục tiêu P90",IF(AND(Y16&lt;&gt;"",ABS(N(Y16))&gt;0.3),"⚠ Lệch &gt; 30% so với nhu cầu",IF(Q16="Có","ℹ Kiểm tra ngoại suy KM","✓ Hợp lệ")))))</f>
        <v/>
      </c>
    </row>
    <row r="17">
      <c r="A17" s="16" t="n">
        <v>13</v>
      </c>
      <c r="B17" s="17" t="inlineStr">
        <is>
          <t>DEC-S12-GROCERY_I</t>
        </is>
      </c>
      <c r="C17" s="16" t="n">
        <v>12</v>
      </c>
      <c r="D17" s="17" t="inlineStr">
        <is>
          <t>GROCERY I</t>
        </is>
      </c>
      <c r="E17" s="17" t="inlineStr">
        <is>
          <t>MEDIUM</t>
        </is>
      </c>
      <c r="F17" s="17" t="inlineStr">
        <is>
          <t>TRUNG BÌNH</t>
        </is>
      </c>
      <c r="G17" s="18" t="inlineStr">
        <is>
          <t>RISK_MEDIUM · LARGE_SERIES</t>
        </is>
      </c>
      <c r="H17" s="19" t="n">
        <v>41501.3087921875</v>
      </c>
      <c r="I17" s="19" t="n">
        <v>48181.0439453125</v>
      </c>
      <c r="J17" s="19" t="n">
        <v>60316.6884765625</v>
      </c>
      <c r="K17" s="19" t="n">
        <v>48181.0439453125</v>
      </c>
      <c r="L17" s="19" t="n">
        <v>55765.82177734375</v>
      </c>
      <c r="M17" s="19" t="n">
        <v>60316.6884765625</v>
      </c>
      <c r="N17" s="17" t="inlineStr">
        <is>
          <t>C</t>
        </is>
      </c>
      <c r="O17" s="19" t="n">
        <v>21771.8533203125</v>
      </c>
      <c r="P17" s="18" t="inlineStr">
        <is>
          <t>KHÔNG ĐỀ XUẤT TĂNG</t>
        </is>
      </c>
      <c r="Q17" s="17" t="inlineStr">
        <is>
          <t>Không</t>
        </is>
      </c>
      <c r="R17" s="20" t="n"/>
      <c r="S17" s="20" t="n"/>
      <c r="T17" s="21" t="n"/>
      <c r="U17" s="21" t="n"/>
      <c r="V17" s="22">
        <f>IF(U17="A",K17,IF(U17="B",L17,IF(U17="C",M17,IF(N17="A",K17,IF(N17="B",L17,M17)))))</f>
        <v/>
      </c>
      <c r="W17" s="22">
        <f>IF(R17="",O17,MAX(V17-R17-N(S17),0))</f>
        <v/>
      </c>
      <c r="X17" s="20" t="n"/>
      <c r="Y17" s="23">
        <f>IF(OR(X17="",W17=0),"",X17/W17-1)</f>
        <v/>
      </c>
      <c r="Z17" s="24" t="n"/>
      <c r="AA17" s="21" t="n"/>
      <c r="AB17" s="25" t="n"/>
      <c r="AC17" s="26">
        <f>IF(T17="","Chưa quyết định",IF(OR(Z17="",AA17=""),"⚠ Thiếu lý do/người duyệt",IF(AND(X17&lt;&gt;"",N(X17)+N(R17)+N(S17)&gt;M17*1.001,R17&lt;&gt;""),"⚠ Vượt mục tiêu P90",IF(AND(Y17&lt;&gt;"",ABS(N(Y17))&gt;0.3),"⚠ Lệch &gt; 30% so với nhu cầu",IF(Q17="Có","ℹ Kiểm tra ngoại suy KM","✓ Hợp lệ")))))</f>
        <v/>
      </c>
    </row>
    <row r="18">
      <c r="A18" s="16" t="n">
        <v>14</v>
      </c>
      <c r="B18" s="17" t="inlineStr">
        <is>
          <t>DEC-S14-GROCERY_I</t>
        </is>
      </c>
      <c r="C18" s="16" t="n">
        <v>14</v>
      </c>
      <c r="D18" s="17" t="inlineStr">
        <is>
          <t>GROCERY I</t>
        </is>
      </c>
      <c r="E18" s="17" t="inlineStr">
        <is>
          <t>MEDIUM</t>
        </is>
      </c>
      <c r="F18" s="17" t="inlineStr">
        <is>
          <t>TRUNG BÌNH</t>
        </is>
      </c>
      <c r="G18" s="18" t="inlineStr">
        <is>
          <t>RISK_MEDIUM · LARGE_SERIES</t>
        </is>
      </c>
      <c r="H18" s="19" t="n">
        <v>41494.1808625</v>
      </c>
      <c r="I18" s="19" t="n">
        <v>48173.916015625</v>
      </c>
      <c r="J18" s="19" t="n">
        <v>60309.560546875</v>
      </c>
      <c r="K18" s="19" t="n">
        <v>48173.916015625</v>
      </c>
      <c r="L18" s="19" t="n">
        <v>55758.69384765625</v>
      </c>
      <c r="M18" s="19" t="n">
        <v>60309.560546875</v>
      </c>
      <c r="N18" s="17" t="inlineStr">
        <is>
          <t>C</t>
        </is>
      </c>
      <c r="O18" s="19" t="n">
        <v>21770.427734375</v>
      </c>
      <c r="P18" s="18" t="inlineStr">
        <is>
          <t>KHÔNG ĐỀ XUẤT TĂNG</t>
        </is>
      </c>
      <c r="Q18" s="17" t="inlineStr">
        <is>
          <t>Không</t>
        </is>
      </c>
      <c r="R18" s="20" t="n"/>
      <c r="S18" s="20" t="n"/>
      <c r="T18" s="21" t="n"/>
      <c r="U18" s="21" t="n"/>
      <c r="V18" s="22">
        <f>IF(U18="A",K18,IF(U18="B",L18,IF(U18="C",M18,IF(N18="A",K18,IF(N18="B",L18,M18)))))</f>
        <v/>
      </c>
      <c r="W18" s="22">
        <f>IF(R18="",O18,MAX(V18-R18-N(S18),0))</f>
        <v/>
      </c>
      <c r="X18" s="20" t="n"/>
      <c r="Y18" s="23">
        <f>IF(OR(X18="",W18=0),"",X18/W18-1)</f>
        <v/>
      </c>
      <c r="Z18" s="24" t="n"/>
      <c r="AA18" s="21" t="n"/>
      <c r="AB18" s="25" t="n"/>
      <c r="AC18" s="26">
        <f>IF(T18="","Chưa quyết định",IF(OR(Z18="",AA18=""),"⚠ Thiếu lý do/người duyệt",IF(AND(X18&lt;&gt;"",N(X18)+N(R18)+N(S18)&gt;M18*1.001,R18&lt;&gt;""),"⚠ Vượt mục tiêu P90",IF(AND(Y18&lt;&gt;"",ABS(N(Y18))&gt;0.3),"⚠ Lệch &gt; 30% so với nhu cầu",IF(Q18="Có","ℹ Kiểm tra ngoại suy KM","✓ Hợp lệ")))))</f>
        <v/>
      </c>
    </row>
    <row r="19">
      <c r="A19" s="16" t="n">
        <v>15</v>
      </c>
      <c r="B19" s="17" t="inlineStr">
        <is>
          <t>DEC-S46-PRODUCE</t>
        </is>
      </c>
      <c r="C19" s="16" t="n">
        <v>46</v>
      </c>
      <c r="D19" s="17" t="inlineStr">
        <is>
          <t>PRODUCE</t>
        </is>
      </c>
      <c r="E19" s="17" t="inlineStr">
        <is>
          <t>MEDIUM</t>
        </is>
      </c>
      <c r="F19" s="17" t="inlineStr">
        <is>
          <t>TRUNG BÌNH</t>
        </is>
      </c>
      <c r="G19" s="18" t="inlineStr">
        <is>
          <t>RISK_MEDIUM · LARGE_SERIES</t>
        </is>
      </c>
      <c r="H19" s="19" t="n">
        <v>41267.78425605469</v>
      </c>
      <c r="I19" s="19" t="n">
        <v>47947.51940917969</v>
      </c>
      <c r="J19" s="19" t="n">
        <v>60083.16394042969</v>
      </c>
      <c r="K19" s="19" t="n">
        <v>47947.51940917969</v>
      </c>
      <c r="L19" s="19" t="n">
        <v>55532.29724121094</v>
      </c>
      <c r="M19" s="19" t="n">
        <v>60083.16394042969</v>
      </c>
      <c r="N19" s="17" t="inlineStr">
        <is>
          <t>C</t>
        </is>
      </c>
      <c r="O19" s="19" t="n">
        <v>21725.14841308594</v>
      </c>
      <c r="P19" s="18" t="inlineStr">
        <is>
          <t>KHÔNG ĐỀ XUẤT TĂNG</t>
        </is>
      </c>
      <c r="Q19" s="17" t="inlineStr">
        <is>
          <t>Không</t>
        </is>
      </c>
      <c r="R19" s="20" t="n"/>
      <c r="S19" s="20" t="n"/>
      <c r="T19" s="21" t="n"/>
      <c r="U19" s="21" t="n"/>
      <c r="V19" s="22">
        <f>IF(U19="A",K19,IF(U19="B",L19,IF(U19="C",M19,IF(N19="A",K19,IF(N19="B",L19,M19)))))</f>
        <v/>
      </c>
      <c r="W19" s="22">
        <f>IF(R19="",O19,MAX(V19-R19-N(S19),0))</f>
        <v/>
      </c>
      <c r="X19" s="20" t="n"/>
      <c r="Y19" s="23">
        <f>IF(OR(X19="",W19=0),"",X19/W19-1)</f>
        <v/>
      </c>
      <c r="Z19" s="24" t="n"/>
      <c r="AA19" s="21" t="n"/>
      <c r="AB19" s="25" t="n"/>
      <c r="AC19" s="26">
        <f>IF(T19="","Chưa quyết định",IF(OR(Z19="",AA19=""),"⚠ Thiếu lý do/người duyệt",IF(AND(X19&lt;&gt;"",N(X19)+N(R19)+N(S19)&gt;M19*1.001,R19&lt;&gt;""),"⚠ Vượt mục tiêu P90",IF(AND(Y19&lt;&gt;"",ABS(N(Y19))&gt;0.3),"⚠ Lệch &gt; 30% so với nhu cầu",IF(Q19="Có","ℹ Kiểm tra ngoại suy KM","✓ Hợp lệ")))))</f>
        <v/>
      </c>
    </row>
    <row r="20">
      <c r="A20" s="16" t="n">
        <v>16</v>
      </c>
      <c r="B20" s="17" t="inlineStr">
        <is>
          <t>DEC-S38-BEVERAGES</t>
        </is>
      </c>
      <c r="C20" s="16" t="n">
        <v>38</v>
      </c>
      <c r="D20" s="17" t="inlineStr">
        <is>
          <t>BEVERAGES</t>
        </is>
      </c>
      <c r="E20" s="17" t="inlineStr">
        <is>
          <t>MEDIUM</t>
        </is>
      </c>
      <c r="F20" s="17" t="inlineStr">
        <is>
          <t>TRUNG BÌNH</t>
        </is>
      </c>
      <c r="G20" s="18" t="inlineStr">
        <is>
          <t>RISK_MEDIUM · LARGE_SERIES</t>
        </is>
      </c>
      <c r="H20" s="19" t="n">
        <v>40664.40766914062</v>
      </c>
      <c r="I20" s="19" t="n">
        <v>47344.14282226562</v>
      </c>
      <c r="J20" s="19" t="n">
        <v>59479.78735351562</v>
      </c>
      <c r="K20" s="19" t="n">
        <v>47344.14282226562</v>
      </c>
      <c r="L20" s="19" t="n">
        <v>54928.92065429688</v>
      </c>
      <c r="M20" s="19" t="n">
        <v>59479.78735351562</v>
      </c>
      <c r="N20" s="17" t="inlineStr">
        <is>
          <t>C</t>
        </is>
      </c>
      <c r="O20" s="19" t="n">
        <v>21604.47309570313</v>
      </c>
      <c r="P20" s="18" t="inlineStr">
        <is>
          <t>KHÔNG ĐỀ XUẤT TĂNG</t>
        </is>
      </c>
      <c r="Q20" s="17" t="inlineStr">
        <is>
          <t>Không</t>
        </is>
      </c>
      <c r="R20" s="20" t="n"/>
      <c r="S20" s="20" t="n"/>
      <c r="T20" s="21" t="n"/>
      <c r="U20" s="21" t="n"/>
      <c r="V20" s="22">
        <f>IF(U20="A",K20,IF(U20="B",L20,IF(U20="C",M20,IF(N20="A",K20,IF(N20="B",L20,M20)))))</f>
        <v/>
      </c>
      <c r="W20" s="22">
        <f>IF(R20="",O20,MAX(V20-R20-N(S20),0))</f>
        <v/>
      </c>
      <c r="X20" s="20" t="n"/>
      <c r="Y20" s="23">
        <f>IF(OR(X20="",W20=0),"",X20/W20-1)</f>
        <v/>
      </c>
      <c r="Z20" s="24" t="n"/>
      <c r="AA20" s="21" t="n"/>
      <c r="AB20" s="25" t="n"/>
      <c r="AC20" s="26">
        <f>IF(T20="","Chưa quyết định",IF(OR(Z20="",AA20=""),"⚠ Thiếu lý do/người duyệt",IF(AND(X20&lt;&gt;"",N(X20)+N(R20)+N(S20)&gt;M20*1.001,R20&lt;&gt;""),"⚠ Vượt mục tiêu P90",IF(AND(Y20&lt;&gt;"",ABS(N(Y20))&gt;0.3),"⚠ Lệch &gt; 30% so với nhu cầu",IF(Q20="Có","ℹ Kiểm tra ngoại suy KM","✓ Hợp lệ")))))</f>
        <v/>
      </c>
    </row>
    <row r="21">
      <c r="A21" s="16" t="n">
        <v>17</v>
      </c>
      <c r="B21" s="17" t="inlineStr">
        <is>
          <t>DEC-S42-BEVERAGES</t>
        </is>
      </c>
      <c r="C21" s="16" t="n">
        <v>42</v>
      </c>
      <c r="D21" s="17" t="inlineStr">
        <is>
          <t>BEVERAGES</t>
        </is>
      </c>
      <c r="E21" s="17" t="inlineStr">
        <is>
          <t>MEDIUM</t>
        </is>
      </c>
      <c r="F21" s="17" t="inlineStr">
        <is>
          <t>TRUNG BÌNH</t>
        </is>
      </c>
      <c r="G21" s="18" t="inlineStr">
        <is>
          <t>RISK_MEDIUM · LARGE_SERIES</t>
        </is>
      </c>
      <c r="H21" s="19" t="n">
        <v>40137.74458320312</v>
      </c>
      <c r="I21" s="19" t="n">
        <v>46817.47973632812</v>
      </c>
      <c r="J21" s="19" t="n">
        <v>58953.12426757812</v>
      </c>
      <c r="K21" s="19" t="n">
        <v>46817.47973632812</v>
      </c>
      <c r="L21" s="19" t="n">
        <v>54402.25756835938</v>
      </c>
      <c r="M21" s="19" t="n">
        <v>58953.12426757812</v>
      </c>
      <c r="N21" s="17" t="inlineStr">
        <is>
          <t>C</t>
        </is>
      </c>
      <c r="O21" s="19" t="n">
        <v>21499.14047851562</v>
      </c>
      <c r="P21" s="18" t="inlineStr">
        <is>
          <t>KHÔNG ĐỀ XUẤT TĂNG</t>
        </is>
      </c>
      <c r="Q21" s="17" t="inlineStr">
        <is>
          <t>Không</t>
        </is>
      </c>
      <c r="R21" s="20" t="n"/>
      <c r="S21" s="20" t="n"/>
      <c r="T21" s="21" t="n"/>
      <c r="U21" s="21" t="n"/>
      <c r="V21" s="22">
        <f>IF(U21="A",K21,IF(U21="B",L21,IF(U21="C",M21,IF(N21="A",K21,IF(N21="B",L21,M21)))))</f>
        <v/>
      </c>
      <c r="W21" s="22">
        <f>IF(R21="",O21,MAX(V21-R21-N(S21),0))</f>
        <v/>
      </c>
      <c r="X21" s="20" t="n"/>
      <c r="Y21" s="23">
        <f>IF(OR(X21="",W21=0),"",X21/W21-1)</f>
        <v/>
      </c>
      <c r="Z21" s="24" t="n"/>
      <c r="AA21" s="21" t="n"/>
      <c r="AB21" s="25" t="n"/>
      <c r="AC21" s="26">
        <f>IF(T21="","Chưa quyết định",IF(OR(Z21="",AA21=""),"⚠ Thiếu lý do/người duyệt",IF(AND(X21&lt;&gt;"",N(X21)+N(R21)+N(S21)&gt;M21*1.001,R21&lt;&gt;""),"⚠ Vượt mục tiêu P90",IF(AND(Y21&lt;&gt;"",ABS(N(Y21))&gt;0.3),"⚠ Lệch &gt; 30% so với nhu cầu",IF(Q21="Có","ℹ Kiểm tra ngoại suy KM","✓ Hợp lệ")))))</f>
        <v/>
      </c>
    </row>
    <row r="22">
      <c r="A22" s="16" t="n">
        <v>18</v>
      </c>
      <c r="B22" s="17" t="inlineStr">
        <is>
          <t>DEC-S15-GROCERY_I</t>
        </is>
      </c>
      <c r="C22" s="16" t="n">
        <v>15</v>
      </c>
      <c r="D22" s="17" t="inlineStr">
        <is>
          <t>GROCERY I</t>
        </is>
      </c>
      <c r="E22" s="17" t="inlineStr">
        <is>
          <t>MEDIUM</t>
        </is>
      </c>
      <c r="F22" s="17" t="inlineStr">
        <is>
          <t>TRUNG BÌNH</t>
        </is>
      </c>
      <c r="G22" s="18" t="inlineStr">
        <is>
          <t>RISK_MEDIUM · LARGE_SERIES</t>
        </is>
      </c>
      <c r="H22" s="19" t="n">
        <v>39303.80537421875</v>
      </c>
      <c r="I22" s="19" t="n">
        <v>45983.54052734375</v>
      </c>
      <c r="J22" s="19" t="n">
        <v>58119.18505859375</v>
      </c>
      <c r="K22" s="19" t="n">
        <v>45983.54052734375</v>
      </c>
      <c r="L22" s="19" t="n">
        <v>53568.318359375</v>
      </c>
      <c r="M22" s="19" t="n">
        <v>58119.18505859375</v>
      </c>
      <c r="N22" s="17" t="inlineStr">
        <is>
          <t>C</t>
        </is>
      </c>
      <c r="O22" s="19" t="n">
        <v>21332.35263671875</v>
      </c>
      <c r="P22" s="18" t="inlineStr">
        <is>
          <t>KHÔNG ĐỀ XUẤT TĂNG</t>
        </is>
      </c>
      <c r="Q22" s="17" t="inlineStr">
        <is>
          <t>Không</t>
        </is>
      </c>
      <c r="R22" s="20" t="n"/>
      <c r="S22" s="20" t="n"/>
      <c r="T22" s="21" t="n"/>
      <c r="U22" s="21" t="n"/>
      <c r="V22" s="22">
        <f>IF(U22="A",K22,IF(U22="B",L22,IF(U22="C",M22,IF(N22="A",K22,IF(N22="B",L22,M22)))))</f>
        <v/>
      </c>
      <c r="W22" s="22">
        <f>IF(R22="",O22,MAX(V22-R22-N(S22),0))</f>
        <v/>
      </c>
      <c r="X22" s="20" t="n"/>
      <c r="Y22" s="23">
        <f>IF(OR(X22="",W22=0),"",X22/W22-1)</f>
        <v/>
      </c>
      <c r="Z22" s="24" t="n"/>
      <c r="AA22" s="21" t="n"/>
      <c r="AB22" s="25" t="n"/>
      <c r="AC22" s="26">
        <f>IF(T22="","Chưa quyết định",IF(OR(Z22="",AA22=""),"⚠ Thiếu lý do/người duyệt",IF(AND(X22&lt;&gt;"",N(X22)+N(R22)+N(S22)&gt;M22*1.001,R22&lt;&gt;""),"⚠ Vượt mục tiêu P90",IF(AND(Y22&lt;&gt;"",ABS(N(Y22))&gt;0.3),"⚠ Lệch &gt; 30% so với nhu cầu",IF(Q22="Có","ℹ Kiểm tra ngoại suy KM","✓ Hợp lệ")))))</f>
        <v/>
      </c>
    </row>
    <row r="23">
      <c r="A23" s="16" t="n">
        <v>19</v>
      </c>
      <c r="B23" s="17" t="inlineStr">
        <is>
          <t>DEC-S13-GROCERY_I</t>
        </is>
      </c>
      <c r="C23" s="16" t="n">
        <v>13</v>
      </c>
      <c r="D23" s="17" t="inlineStr">
        <is>
          <t>GROCERY I</t>
        </is>
      </c>
      <c r="E23" s="17" t="inlineStr">
        <is>
          <t>MEDIUM</t>
        </is>
      </c>
      <c r="F23" s="17" t="inlineStr">
        <is>
          <t>TRUNG BÌNH</t>
        </is>
      </c>
      <c r="G23" s="18" t="inlineStr">
        <is>
          <t>RISK_MEDIUM · LARGE_SERIES</t>
        </is>
      </c>
      <c r="H23" s="19" t="n">
        <v>39238.8068390625</v>
      </c>
      <c r="I23" s="19" t="n">
        <v>45918.5419921875</v>
      </c>
      <c r="J23" s="19" t="n">
        <v>58054.1865234375</v>
      </c>
      <c r="K23" s="19" t="n">
        <v>45918.5419921875</v>
      </c>
      <c r="L23" s="19" t="n">
        <v>53503.31982421875</v>
      </c>
      <c r="M23" s="19" t="n">
        <v>58054.1865234375</v>
      </c>
      <c r="N23" s="17" t="inlineStr">
        <is>
          <t>C</t>
        </is>
      </c>
      <c r="O23" s="19" t="n">
        <v>21319.3529296875</v>
      </c>
      <c r="P23" s="18" t="inlineStr">
        <is>
          <t>KHÔNG ĐỀ XUẤT TĂNG</t>
        </is>
      </c>
      <c r="Q23" s="17" t="inlineStr">
        <is>
          <t>Không</t>
        </is>
      </c>
      <c r="R23" s="20" t="n"/>
      <c r="S23" s="20" t="n"/>
      <c r="T23" s="21" t="n"/>
      <c r="U23" s="21" t="n"/>
      <c r="V23" s="22">
        <f>IF(U23="A",K23,IF(U23="B",L23,IF(U23="C",M23,IF(N23="A",K23,IF(N23="B",L23,M23)))))</f>
        <v/>
      </c>
      <c r="W23" s="22">
        <f>IF(R23="",O23,MAX(V23-R23-N(S23),0))</f>
        <v/>
      </c>
      <c r="X23" s="20" t="n"/>
      <c r="Y23" s="23">
        <f>IF(OR(X23="",W23=0),"",X23/W23-1)</f>
        <v/>
      </c>
      <c r="Z23" s="24" t="n"/>
      <c r="AA23" s="21" t="n"/>
      <c r="AB23" s="25" t="n"/>
      <c r="AC23" s="26">
        <f>IF(T23="","Chưa quyết định",IF(OR(Z23="",AA23=""),"⚠ Thiếu lý do/người duyệt",IF(AND(X23&lt;&gt;"",N(X23)+N(R23)+N(S23)&gt;M23*1.001,R23&lt;&gt;""),"⚠ Vượt mục tiêu P90",IF(AND(Y23&lt;&gt;"",ABS(N(Y23))&gt;0.3),"⚠ Lệch &gt; 30% so với nhu cầu",IF(Q23="Có","ℹ Kiểm tra ngoại suy KM","✓ Hợp lệ")))))</f>
        <v/>
      </c>
    </row>
    <row r="24">
      <c r="A24" s="16" t="n">
        <v>20</v>
      </c>
      <c r="B24" s="17" t="inlineStr">
        <is>
          <t>DEC-S27-PRODUCE</t>
        </is>
      </c>
      <c r="C24" s="16" t="n">
        <v>27</v>
      </c>
      <c r="D24" s="17" t="inlineStr">
        <is>
          <t>PRODUCE</t>
        </is>
      </c>
      <c r="E24" s="17" t="inlineStr">
        <is>
          <t>MEDIUM</t>
        </is>
      </c>
      <c r="F24" s="17" t="inlineStr">
        <is>
          <t>TRUNG BÌNH</t>
        </is>
      </c>
      <c r="G24" s="18" t="inlineStr">
        <is>
          <t>RISK_MEDIUM · LARGE_SERIES</t>
        </is>
      </c>
      <c r="H24" s="19" t="n">
        <v>38964.58992011719</v>
      </c>
      <c r="I24" s="19" t="n">
        <v>45644.32507324219</v>
      </c>
      <c r="J24" s="19" t="n">
        <v>57779.96960449219</v>
      </c>
      <c r="K24" s="19" t="n">
        <v>45644.32507324219</v>
      </c>
      <c r="L24" s="19" t="n">
        <v>53229.10290527344</v>
      </c>
      <c r="M24" s="19" t="n">
        <v>57779.96960449219</v>
      </c>
      <c r="N24" s="17" t="inlineStr">
        <is>
          <t>C</t>
        </is>
      </c>
      <c r="O24" s="19" t="n">
        <v>21264.50954589844</v>
      </c>
      <c r="P24" s="18" t="inlineStr">
        <is>
          <t>KHÔNG ĐỀ XUẤT TĂNG</t>
        </is>
      </c>
      <c r="Q24" s="17" t="inlineStr">
        <is>
          <t>Không</t>
        </is>
      </c>
      <c r="R24" s="20" t="n"/>
      <c r="S24" s="20" t="n"/>
      <c r="T24" s="21" t="n"/>
      <c r="U24" s="21" t="n"/>
      <c r="V24" s="22">
        <f>IF(U24="A",K24,IF(U24="B",L24,IF(U24="C",M24,IF(N24="A",K24,IF(N24="B",L24,M24)))))</f>
        <v/>
      </c>
      <c r="W24" s="22">
        <f>IF(R24="",O24,MAX(V24-R24-N(S24),0))</f>
        <v/>
      </c>
      <c r="X24" s="20" t="n"/>
      <c r="Y24" s="23">
        <f>IF(OR(X24="",W24=0),"",X24/W24-1)</f>
        <v/>
      </c>
      <c r="Z24" s="24" t="n"/>
      <c r="AA24" s="21" t="n"/>
      <c r="AB24" s="25" t="n"/>
      <c r="AC24" s="26">
        <f>IF(T24="","Chưa quyết định",IF(OR(Z24="",AA24=""),"⚠ Thiếu lý do/người duyệt",IF(AND(X24&lt;&gt;"",N(X24)+N(R24)+N(S24)&gt;M24*1.001,R24&lt;&gt;""),"⚠ Vượt mục tiêu P90",IF(AND(Y24&lt;&gt;"",ABS(N(Y24))&gt;0.3),"⚠ Lệch &gt; 30% so với nhu cầu",IF(Q24="Có","ℹ Kiểm tra ngoại suy KM","✓ Hợp lệ")))))</f>
        <v/>
      </c>
    </row>
    <row r="25">
      <c r="A25" s="16" t="n">
        <v>21</v>
      </c>
      <c r="B25" s="17" t="inlineStr">
        <is>
          <t>DEC-S45-CLEANING</t>
        </is>
      </c>
      <c r="C25" s="16" t="n">
        <v>45</v>
      </c>
      <c r="D25" s="17" t="inlineStr">
        <is>
          <t>CLEANING</t>
        </is>
      </c>
      <c r="E25" s="17" t="inlineStr">
        <is>
          <t>MEDIUM</t>
        </is>
      </c>
      <c r="F25" s="17" t="inlineStr">
        <is>
          <t>TRUNG BÌNH</t>
        </is>
      </c>
      <c r="G25" s="18" t="inlineStr">
        <is>
          <t>RISK_MEDIUM · LARGE_SERIES</t>
        </is>
      </c>
      <c r="H25" s="19" t="n">
        <v>38593.23493964844</v>
      </c>
      <c r="I25" s="19" t="n">
        <v>45272.97009277344</v>
      </c>
      <c r="J25" s="19" t="n">
        <v>57408.61462402344</v>
      </c>
      <c r="K25" s="19" t="n">
        <v>45272.97009277344</v>
      </c>
      <c r="L25" s="19" t="n">
        <v>52857.74792480469</v>
      </c>
      <c r="M25" s="19" t="n">
        <v>57408.61462402344</v>
      </c>
      <c r="N25" s="17" t="inlineStr">
        <is>
          <t>C</t>
        </is>
      </c>
      <c r="O25" s="19" t="n">
        <v>21190.23854980469</v>
      </c>
      <c r="P25" s="18" t="inlineStr">
        <is>
          <t>KHÔNG ĐỀ XUẤT TĂNG</t>
        </is>
      </c>
      <c r="Q25" s="17" t="inlineStr">
        <is>
          <t>Không</t>
        </is>
      </c>
      <c r="R25" s="20" t="n"/>
      <c r="S25" s="20" t="n"/>
      <c r="T25" s="21" t="n"/>
      <c r="U25" s="21" t="n"/>
      <c r="V25" s="22">
        <f>IF(U25="A",K25,IF(U25="B",L25,IF(U25="C",M25,IF(N25="A",K25,IF(N25="B",L25,M25)))))</f>
        <v/>
      </c>
      <c r="W25" s="22">
        <f>IF(R25="",O25,MAX(V25-R25-N(S25),0))</f>
        <v/>
      </c>
      <c r="X25" s="20" t="n"/>
      <c r="Y25" s="23">
        <f>IF(OR(X25="",W25=0),"",X25/W25-1)</f>
        <v/>
      </c>
      <c r="Z25" s="24" t="n"/>
      <c r="AA25" s="21" t="n"/>
      <c r="AB25" s="25" t="n"/>
      <c r="AC25" s="26">
        <f>IF(T25="","Chưa quyết định",IF(OR(Z25="",AA25=""),"⚠ Thiếu lý do/người duyệt",IF(AND(X25&lt;&gt;"",N(X25)+N(R25)+N(S25)&gt;M25*1.001,R25&lt;&gt;""),"⚠ Vượt mục tiêu P90",IF(AND(Y25&lt;&gt;"",ABS(N(Y25))&gt;0.3),"⚠ Lệch &gt; 30% so với nhu cầu",IF(Q25="Có","ℹ Kiểm tra ngoại suy KM","✓ Hợp lệ")))))</f>
        <v/>
      </c>
    </row>
    <row r="26">
      <c r="A26" s="16" t="n">
        <v>22</v>
      </c>
      <c r="B26" s="17" t="inlineStr">
        <is>
          <t>DEC-S44-CLEANING</t>
        </is>
      </c>
      <c r="C26" s="16" t="n">
        <v>44</v>
      </c>
      <c r="D26" s="17" t="inlineStr">
        <is>
          <t>CLEANING</t>
        </is>
      </c>
      <c r="E26" s="17" t="inlineStr">
        <is>
          <t>MEDIUM</t>
        </is>
      </c>
      <c r="F26" s="17" t="inlineStr">
        <is>
          <t>TRUNG BÌNH</t>
        </is>
      </c>
      <c r="G26" s="18" t="inlineStr">
        <is>
          <t>RISK_MEDIUM · LARGE_SERIES</t>
        </is>
      </c>
      <c r="H26" s="19" t="n">
        <v>38590.27668769531</v>
      </c>
      <c r="I26" s="19" t="n">
        <v>45270.01184082031</v>
      </c>
      <c r="J26" s="19" t="n">
        <v>57405.65637207031</v>
      </c>
      <c r="K26" s="19" t="n">
        <v>45270.01184082031</v>
      </c>
      <c r="L26" s="19" t="n">
        <v>52854.78967285156</v>
      </c>
      <c r="M26" s="19" t="n">
        <v>57405.65637207031</v>
      </c>
      <c r="N26" s="17" t="inlineStr">
        <is>
          <t>C</t>
        </is>
      </c>
      <c r="O26" s="19" t="n">
        <v>21189.64689941406</v>
      </c>
      <c r="P26" s="18" t="inlineStr">
        <is>
          <t>KHÔNG ĐỀ XUẤT TĂNG</t>
        </is>
      </c>
      <c r="Q26" s="17" t="inlineStr">
        <is>
          <t>Không</t>
        </is>
      </c>
      <c r="R26" s="20" t="n"/>
      <c r="S26" s="20" t="n"/>
      <c r="T26" s="21" t="n"/>
      <c r="U26" s="21" t="n"/>
      <c r="V26" s="22">
        <f>IF(U26="A",K26,IF(U26="B",L26,IF(U26="C",M26,IF(N26="A",K26,IF(N26="B",L26,M26)))))</f>
        <v/>
      </c>
      <c r="W26" s="22">
        <f>IF(R26="",O26,MAX(V26-R26-N(S26),0))</f>
        <v/>
      </c>
      <c r="X26" s="20" t="n"/>
      <c r="Y26" s="23">
        <f>IF(OR(X26="",W26=0),"",X26/W26-1)</f>
        <v/>
      </c>
      <c r="Z26" s="24" t="n"/>
      <c r="AA26" s="21" t="n"/>
      <c r="AB26" s="25" t="n"/>
      <c r="AC26" s="26">
        <f>IF(T26="","Chưa quyết định",IF(OR(Z26="",AA26=""),"⚠ Thiếu lý do/người duyệt",IF(AND(X26&lt;&gt;"",N(X26)+N(R26)+N(S26)&gt;M26*1.001,R26&lt;&gt;""),"⚠ Vượt mục tiêu P90",IF(AND(Y26&lt;&gt;"",ABS(N(Y26))&gt;0.3),"⚠ Lệch &gt; 30% so với nhu cầu",IF(Q26="Có","ℹ Kiểm tra ngoại suy KM","✓ Hợp lệ")))))</f>
        <v/>
      </c>
    </row>
    <row r="27">
      <c r="A27" s="16" t="n">
        <v>23</v>
      </c>
      <c r="B27" s="17" t="inlineStr">
        <is>
          <t>DEC-S37-PRODUCE</t>
        </is>
      </c>
      <c r="C27" s="16" t="n">
        <v>37</v>
      </c>
      <c r="D27" s="17" t="inlineStr">
        <is>
          <t>PRODUCE</t>
        </is>
      </c>
      <c r="E27" s="17" t="inlineStr">
        <is>
          <t>MEDIUM</t>
        </is>
      </c>
      <c r="F27" s="17" t="inlineStr">
        <is>
          <t>TRUNG BÌNH</t>
        </is>
      </c>
      <c r="G27" s="18" t="inlineStr">
        <is>
          <t>RISK_MEDIUM · LARGE_SERIES</t>
        </is>
      </c>
      <c r="H27" s="19" t="n">
        <v>37344.1408234375</v>
      </c>
      <c r="I27" s="19" t="n">
        <v>44023.8759765625</v>
      </c>
      <c r="J27" s="19" t="n">
        <v>56159.5205078125</v>
      </c>
      <c r="K27" s="19" t="n">
        <v>44023.8759765625</v>
      </c>
      <c r="L27" s="19" t="n">
        <v>51608.65380859375</v>
      </c>
      <c r="M27" s="19" t="n">
        <v>56159.5205078125</v>
      </c>
      <c r="N27" s="17" t="inlineStr">
        <is>
          <t>C</t>
        </is>
      </c>
      <c r="O27" s="19" t="n">
        <v>20940.4197265625</v>
      </c>
      <c r="P27" s="18" t="inlineStr">
        <is>
          <t>KHÔNG ĐỀ XUẤT TĂNG</t>
        </is>
      </c>
      <c r="Q27" s="17" t="inlineStr">
        <is>
          <t>Không</t>
        </is>
      </c>
      <c r="R27" s="20" t="n"/>
      <c r="S27" s="20" t="n"/>
      <c r="T27" s="21" t="n"/>
      <c r="U27" s="21" t="n"/>
      <c r="V27" s="22">
        <f>IF(U27="A",K27,IF(U27="B",L27,IF(U27="C",M27,IF(N27="A",K27,IF(N27="B",L27,M27)))))</f>
        <v/>
      </c>
      <c r="W27" s="22">
        <f>IF(R27="",O27,MAX(V27-R27-N(S27),0))</f>
        <v/>
      </c>
      <c r="X27" s="20" t="n"/>
      <c r="Y27" s="23">
        <f>IF(OR(X27="",W27=0),"",X27/W27-1)</f>
        <v/>
      </c>
      <c r="Z27" s="24" t="n"/>
      <c r="AA27" s="21" t="n"/>
      <c r="AB27" s="25" t="n"/>
      <c r="AC27" s="26">
        <f>IF(T27="","Chưa quyết định",IF(OR(Z27="",AA27=""),"⚠ Thiếu lý do/người duyệt",IF(AND(X27&lt;&gt;"",N(X27)+N(R27)+N(S27)&gt;M27*1.001,R27&lt;&gt;""),"⚠ Vượt mục tiêu P90",IF(AND(Y27&lt;&gt;"",ABS(N(Y27))&gt;0.3),"⚠ Lệch &gt; 30% so với nhu cầu",IF(Q27="Có","ℹ Kiểm tra ngoại suy KM","✓ Hợp lệ")))))</f>
        <v/>
      </c>
    </row>
    <row r="28">
      <c r="A28" s="16" t="n">
        <v>24</v>
      </c>
      <c r="B28" s="17" t="inlineStr">
        <is>
          <t>DEC-S42-PRODUCE</t>
        </is>
      </c>
      <c r="C28" s="16" t="n">
        <v>42</v>
      </c>
      <c r="D28" s="17" t="inlineStr">
        <is>
          <t>PRODUCE</t>
        </is>
      </c>
      <c r="E28" s="17" t="inlineStr">
        <is>
          <t>MEDIUM</t>
        </is>
      </c>
      <c r="F28" s="17" t="inlineStr">
        <is>
          <t>TRUNG BÌNH</t>
        </is>
      </c>
      <c r="G28" s="18" t="inlineStr">
        <is>
          <t>RISK_MEDIUM · LARGE_SERIES</t>
        </is>
      </c>
      <c r="H28" s="19" t="n">
        <v>37155.5880890625</v>
      </c>
      <c r="I28" s="19" t="n">
        <v>43835.3232421875</v>
      </c>
      <c r="J28" s="19" t="n">
        <v>55970.9677734375</v>
      </c>
      <c r="K28" s="19" t="n">
        <v>43835.3232421875</v>
      </c>
      <c r="L28" s="19" t="n">
        <v>51420.10107421875</v>
      </c>
      <c r="M28" s="19" t="n">
        <v>55970.9677734375</v>
      </c>
      <c r="N28" s="17" t="inlineStr">
        <is>
          <t>C</t>
        </is>
      </c>
      <c r="O28" s="19" t="n">
        <v>20902.7091796875</v>
      </c>
      <c r="P28" s="18" t="inlineStr">
        <is>
          <t>KHÔNG ĐỀ XUẤT TĂNG</t>
        </is>
      </c>
      <c r="Q28" s="17" t="inlineStr">
        <is>
          <t>Không</t>
        </is>
      </c>
      <c r="R28" s="20" t="n"/>
      <c r="S28" s="20" t="n"/>
      <c r="T28" s="21" t="n"/>
      <c r="U28" s="21" t="n"/>
      <c r="V28" s="22">
        <f>IF(U28="A",K28,IF(U28="B",L28,IF(U28="C",M28,IF(N28="A",K28,IF(N28="B",L28,M28)))))</f>
        <v/>
      </c>
      <c r="W28" s="22">
        <f>IF(R28="",O28,MAX(V28-R28-N(S28),0))</f>
        <v/>
      </c>
      <c r="X28" s="20" t="n"/>
      <c r="Y28" s="23">
        <f>IF(OR(X28="",W28=0),"",X28/W28-1)</f>
        <v/>
      </c>
      <c r="Z28" s="24" t="n"/>
      <c r="AA28" s="21" t="n"/>
      <c r="AB28" s="25" t="n"/>
      <c r="AC28" s="26">
        <f>IF(T28="","Chưa quyết định",IF(OR(Z28="",AA28=""),"⚠ Thiếu lý do/người duyệt",IF(AND(X28&lt;&gt;"",N(X28)+N(R28)+N(S28)&gt;M28*1.001,R28&lt;&gt;""),"⚠ Vượt mục tiêu P90",IF(AND(Y28&lt;&gt;"",ABS(N(Y28))&gt;0.3),"⚠ Lệch &gt; 30% so với nhu cầu",IF(Q28="Có","ℹ Kiểm tra ngoại suy KM","✓ Hợp lệ")))))</f>
        <v/>
      </c>
    </row>
    <row r="29">
      <c r="A29" s="16" t="n">
        <v>25</v>
      </c>
      <c r="B29" s="17" t="inlineStr">
        <is>
          <t>DEC-S04-BEVERAGES</t>
        </is>
      </c>
      <c r="C29" s="16" t="n">
        <v>4</v>
      </c>
      <c r="D29" s="17" t="inlineStr">
        <is>
          <t>BEVERAGES</t>
        </is>
      </c>
      <c r="E29" s="17" t="inlineStr">
        <is>
          <t>MEDIUM</t>
        </is>
      </c>
      <c r="F29" s="17" t="inlineStr">
        <is>
          <t>TRUNG BÌNH</t>
        </is>
      </c>
      <c r="G29" s="18" t="inlineStr">
        <is>
          <t>RISK_MEDIUM · LARGE_SERIES</t>
        </is>
      </c>
      <c r="H29" s="19" t="n">
        <v>37081.61128242187</v>
      </c>
      <c r="I29" s="19" t="n">
        <v>43761.34643554688</v>
      </c>
      <c r="J29" s="19" t="n">
        <v>55896.99096679688</v>
      </c>
      <c r="K29" s="19" t="n">
        <v>43761.34643554688</v>
      </c>
      <c r="L29" s="19" t="n">
        <v>51346.12426757813</v>
      </c>
      <c r="M29" s="19" t="n">
        <v>55896.99096679688</v>
      </c>
      <c r="N29" s="17" t="inlineStr">
        <is>
          <t>C</t>
        </is>
      </c>
      <c r="O29" s="19" t="n">
        <v>20887.91381835938</v>
      </c>
      <c r="P29" s="18" t="inlineStr">
        <is>
          <t>KHÔNG ĐỀ XUẤT TĂNG</t>
        </is>
      </c>
      <c r="Q29" s="17" t="inlineStr">
        <is>
          <t>Không</t>
        </is>
      </c>
      <c r="R29" s="20" t="n"/>
      <c r="S29" s="20" t="n"/>
      <c r="T29" s="21" t="n"/>
      <c r="U29" s="21" t="n"/>
      <c r="V29" s="22">
        <f>IF(U29="A",K29,IF(U29="B",L29,IF(U29="C",M29,IF(N29="A",K29,IF(N29="B",L29,M29)))))</f>
        <v/>
      </c>
      <c r="W29" s="22">
        <f>IF(R29="",O29,MAX(V29-R29-N(S29),0))</f>
        <v/>
      </c>
      <c r="X29" s="20" t="n"/>
      <c r="Y29" s="23">
        <f>IF(OR(X29="",W29=0),"",X29/W29-1)</f>
        <v/>
      </c>
      <c r="Z29" s="24" t="n"/>
      <c r="AA29" s="21" t="n"/>
      <c r="AB29" s="25" t="n"/>
      <c r="AC29" s="26">
        <f>IF(T29="","Chưa quyết định",IF(OR(Z29="",AA29=""),"⚠ Thiếu lý do/người duyệt",IF(AND(X29&lt;&gt;"",N(X29)+N(R29)+N(S29)&gt;M29*1.001,R29&lt;&gt;""),"⚠ Vượt mục tiêu P90",IF(AND(Y29&lt;&gt;"",ABS(N(Y29))&gt;0.3),"⚠ Lệch &gt; 30% so với nhu cầu",IF(Q29="Có","ℹ Kiểm tra ngoại suy KM","✓ Hợp lệ")))))</f>
        <v/>
      </c>
    </row>
    <row r="30">
      <c r="A30" s="16" t="n">
        <v>26</v>
      </c>
      <c r="B30" s="17" t="inlineStr">
        <is>
          <t>DEC-S44-DAIRY</t>
        </is>
      </c>
      <c r="C30" s="16" t="n">
        <v>44</v>
      </c>
      <c r="D30" s="17" t="inlineStr">
        <is>
          <t>DAIRY</t>
        </is>
      </c>
      <c r="E30" s="17" t="inlineStr">
        <is>
          <t>MEDIUM</t>
        </is>
      </c>
      <c r="F30" s="17" t="inlineStr">
        <is>
          <t>TRUNG BÌNH</t>
        </is>
      </c>
      <c r="G30" s="18" t="inlineStr">
        <is>
          <t>RISK_MEDIUM · LARGE_SERIES</t>
        </is>
      </c>
      <c r="H30" s="19" t="n">
        <v>36897.53950507812</v>
      </c>
      <c r="I30" s="19" t="n">
        <v>43577.27465820312</v>
      </c>
      <c r="J30" s="19" t="n">
        <v>55712.91918945312</v>
      </c>
      <c r="K30" s="19" t="n">
        <v>43577.27465820312</v>
      </c>
      <c r="L30" s="19" t="n">
        <v>51162.05249023438</v>
      </c>
      <c r="M30" s="19" t="n">
        <v>55712.91918945312</v>
      </c>
      <c r="N30" s="17" t="inlineStr">
        <is>
          <t>C</t>
        </is>
      </c>
      <c r="O30" s="19" t="n">
        <v>20851.09946289062</v>
      </c>
      <c r="P30" s="18" t="inlineStr">
        <is>
          <t>KHÔNG ĐỀ XUẤT TĂNG</t>
        </is>
      </c>
      <c r="Q30" s="17" t="inlineStr">
        <is>
          <t>Không</t>
        </is>
      </c>
      <c r="R30" s="20" t="n"/>
      <c r="S30" s="20" t="n"/>
      <c r="T30" s="21" t="n"/>
      <c r="U30" s="21" t="n"/>
      <c r="V30" s="22">
        <f>IF(U30="A",K30,IF(U30="B",L30,IF(U30="C",M30,IF(N30="A",K30,IF(N30="B",L30,M30)))))</f>
        <v/>
      </c>
      <c r="W30" s="22">
        <f>IF(R30="",O30,MAX(V30-R30-N(S30),0))</f>
        <v/>
      </c>
      <c r="X30" s="20" t="n"/>
      <c r="Y30" s="23">
        <f>IF(OR(X30="",W30=0),"",X30/W30-1)</f>
        <v/>
      </c>
      <c r="Z30" s="24" t="n"/>
      <c r="AA30" s="21" t="n"/>
      <c r="AB30" s="25" t="n"/>
      <c r="AC30" s="26">
        <f>IF(T30="","Chưa quyết định",IF(OR(Z30="",AA30=""),"⚠ Thiếu lý do/người duyệt",IF(AND(X30&lt;&gt;"",N(X30)+N(R30)+N(S30)&gt;M30*1.001,R30&lt;&gt;""),"⚠ Vượt mục tiêu P90",IF(AND(Y30&lt;&gt;"",ABS(N(Y30))&gt;0.3),"⚠ Lệch &gt; 30% so với nhu cầu",IF(Q30="Có","ℹ Kiểm tra ngoại suy KM","✓ Hợp lệ")))))</f>
        <v/>
      </c>
    </row>
    <row r="31">
      <c r="A31" s="16" t="n">
        <v>27</v>
      </c>
      <c r="B31" s="17" t="inlineStr">
        <is>
          <t>DEC-S19-BEVERAGES</t>
        </is>
      </c>
      <c r="C31" s="16" t="n">
        <v>19</v>
      </c>
      <c r="D31" s="17" t="inlineStr">
        <is>
          <t>BEVERAGES</t>
        </is>
      </c>
      <c r="E31" s="17" t="inlineStr">
        <is>
          <t>MEDIUM</t>
        </is>
      </c>
      <c r="F31" s="17" t="inlineStr">
        <is>
          <t>TRUNG BÌNH</t>
        </is>
      </c>
      <c r="G31" s="18" t="inlineStr">
        <is>
          <t>RISK_MEDIUM · LARGE_SERIES</t>
        </is>
      </c>
      <c r="H31" s="19" t="n">
        <v>35966.11885078125</v>
      </c>
      <c r="I31" s="19" t="n">
        <v>42645.85400390625</v>
      </c>
      <c r="J31" s="19" t="n">
        <v>54781.49853515625</v>
      </c>
      <c r="K31" s="19" t="n">
        <v>42645.85400390625</v>
      </c>
      <c r="L31" s="19" t="n">
        <v>50230.6318359375</v>
      </c>
      <c r="M31" s="19" t="n">
        <v>54781.49853515625</v>
      </c>
      <c r="N31" s="17" t="inlineStr">
        <is>
          <t>C</t>
        </is>
      </c>
      <c r="O31" s="19" t="n">
        <v>20664.81533203125</v>
      </c>
      <c r="P31" s="18" t="inlineStr">
        <is>
          <t>KHÔNG ĐỀ XUẤT TĂNG</t>
        </is>
      </c>
      <c r="Q31" s="17" t="inlineStr">
        <is>
          <t>Không</t>
        </is>
      </c>
      <c r="R31" s="20" t="n"/>
      <c r="S31" s="20" t="n"/>
      <c r="T31" s="21" t="n"/>
      <c r="U31" s="21" t="n"/>
      <c r="V31" s="22">
        <f>IF(U31="A",K31,IF(U31="B",L31,IF(U31="C",M31,IF(N31="A",K31,IF(N31="B",L31,M31)))))</f>
        <v/>
      </c>
      <c r="W31" s="22">
        <f>IF(R31="",O31,MAX(V31-R31-N(S31),0))</f>
        <v/>
      </c>
      <c r="X31" s="20" t="n"/>
      <c r="Y31" s="23">
        <f>IF(OR(X31="",W31=0),"",X31/W31-1)</f>
        <v/>
      </c>
      <c r="Z31" s="24" t="n"/>
      <c r="AA31" s="21" t="n"/>
      <c r="AB31" s="25" t="n"/>
      <c r="AC31" s="26">
        <f>IF(T31="","Chưa quyết định",IF(OR(Z31="",AA31=""),"⚠ Thiếu lý do/người duyệt",IF(AND(X31&lt;&gt;"",N(X31)+N(R31)+N(S31)&gt;M31*1.001,R31&lt;&gt;""),"⚠ Vượt mục tiêu P90",IF(AND(Y31&lt;&gt;"",ABS(N(Y31))&gt;0.3),"⚠ Lệch &gt; 30% so với nhu cầu",IF(Q31="Có","ℹ Kiểm tra ngoại suy KM","✓ Hợp lệ")))))</f>
        <v/>
      </c>
    </row>
    <row r="32">
      <c r="A32" s="16" t="n">
        <v>28</v>
      </c>
      <c r="B32" s="17" t="inlineStr">
        <is>
          <t>DEC-S06-PRODUCE</t>
        </is>
      </c>
      <c r="C32" s="16" t="n">
        <v>6</v>
      </c>
      <c r="D32" s="17" t="inlineStr">
        <is>
          <t>PRODUCE</t>
        </is>
      </c>
      <c r="E32" s="17" t="inlineStr">
        <is>
          <t>MEDIUM</t>
        </is>
      </c>
      <c r="F32" s="17" t="inlineStr">
        <is>
          <t>TRUNG BÌNH</t>
        </is>
      </c>
      <c r="G32" s="18" t="inlineStr">
        <is>
          <t>RISK_MEDIUM · LARGE_SERIES</t>
        </is>
      </c>
      <c r="H32" s="19" t="n">
        <v>35841.6056671875</v>
      </c>
      <c r="I32" s="19" t="n">
        <v>42521.3408203125</v>
      </c>
      <c r="J32" s="19" t="n">
        <v>54656.9853515625</v>
      </c>
      <c r="K32" s="19" t="n">
        <v>42521.3408203125</v>
      </c>
      <c r="L32" s="19" t="n">
        <v>50106.11865234375</v>
      </c>
      <c r="M32" s="19" t="n">
        <v>54656.9853515625</v>
      </c>
      <c r="N32" s="17" t="inlineStr">
        <is>
          <t>C</t>
        </is>
      </c>
      <c r="O32" s="19" t="n">
        <v>20639.9126953125</v>
      </c>
      <c r="P32" s="18" t="inlineStr">
        <is>
          <t>KHÔNG ĐỀ XUẤT TĂNG</t>
        </is>
      </c>
      <c r="Q32" s="17" t="inlineStr">
        <is>
          <t>Không</t>
        </is>
      </c>
      <c r="R32" s="20" t="n"/>
      <c r="S32" s="20" t="n"/>
      <c r="T32" s="21" t="n"/>
      <c r="U32" s="21" t="n"/>
      <c r="V32" s="22">
        <f>IF(U32="A",K32,IF(U32="B",L32,IF(U32="C",M32,IF(N32="A",K32,IF(N32="B",L32,M32)))))</f>
        <v/>
      </c>
      <c r="W32" s="22">
        <f>IF(R32="",O32,MAX(V32-R32-N(S32),0))</f>
        <v/>
      </c>
      <c r="X32" s="20" t="n"/>
      <c r="Y32" s="23">
        <f>IF(OR(X32="",W32=0),"",X32/W32-1)</f>
        <v/>
      </c>
      <c r="Z32" s="24" t="n"/>
      <c r="AA32" s="21" t="n"/>
      <c r="AB32" s="25" t="n"/>
      <c r="AC32" s="26">
        <f>IF(T32="","Chưa quyết định",IF(OR(Z32="",AA32=""),"⚠ Thiếu lý do/người duyệt",IF(AND(X32&lt;&gt;"",N(X32)+N(R32)+N(S32)&gt;M32*1.001,R32&lt;&gt;""),"⚠ Vượt mục tiêu P90",IF(AND(Y32&lt;&gt;"",ABS(N(Y32))&gt;0.3),"⚠ Lệch &gt; 30% so với nhu cầu",IF(Q32="Có","ℹ Kiểm tra ngoại suy KM","✓ Hợp lệ")))))</f>
        <v/>
      </c>
    </row>
    <row r="33">
      <c r="A33" s="16" t="n">
        <v>29</v>
      </c>
      <c r="B33" s="17" t="inlineStr">
        <is>
          <t>DEC-S46-CLEANING</t>
        </is>
      </c>
      <c r="C33" s="16" t="n">
        <v>46</v>
      </c>
      <c r="D33" s="17" t="inlineStr">
        <is>
          <t>CLEANING</t>
        </is>
      </c>
      <c r="E33" s="17" t="inlineStr">
        <is>
          <t>MEDIUM</t>
        </is>
      </c>
      <c r="F33" s="17" t="inlineStr">
        <is>
          <t>TRUNG BÌNH</t>
        </is>
      </c>
      <c r="G33" s="18" t="inlineStr">
        <is>
          <t>RISK_MEDIUM · LARGE_SERIES</t>
        </is>
      </c>
      <c r="H33" s="19" t="n">
        <v>35832.5021515625</v>
      </c>
      <c r="I33" s="19" t="n">
        <v>42512.2373046875</v>
      </c>
      <c r="J33" s="19" t="n">
        <v>54647.8818359375</v>
      </c>
      <c r="K33" s="19" t="n">
        <v>42512.2373046875</v>
      </c>
      <c r="L33" s="19" t="n">
        <v>50097.01513671875</v>
      </c>
      <c r="M33" s="19" t="n">
        <v>54647.8818359375</v>
      </c>
      <c r="N33" s="17" t="inlineStr">
        <is>
          <t>C</t>
        </is>
      </c>
      <c r="O33" s="19" t="n">
        <v>20638.0919921875</v>
      </c>
      <c r="P33" s="18" t="inlineStr">
        <is>
          <t>KHÔNG ĐỀ XUẤT TĂNG</t>
        </is>
      </c>
      <c r="Q33" s="17" t="inlineStr">
        <is>
          <t>Không</t>
        </is>
      </c>
      <c r="R33" s="20" t="n"/>
      <c r="S33" s="20" t="n"/>
      <c r="T33" s="21" t="n"/>
      <c r="U33" s="21" t="n"/>
      <c r="V33" s="22">
        <f>IF(U33="A",K33,IF(U33="B",L33,IF(U33="C",M33,IF(N33="A",K33,IF(N33="B",L33,M33)))))</f>
        <v/>
      </c>
      <c r="W33" s="22">
        <f>IF(R33="",O33,MAX(V33-R33-N(S33),0))</f>
        <v/>
      </c>
      <c r="X33" s="20" t="n"/>
      <c r="Y33" s="23">
        <f>IF(OR(X33="",W33=0),"",X33/W33-1)</f>
        <v/>
      </c>
      <c r="Z33" s="24" t="n"/>
      <c r="AA33" s="21" t="n"/>
      <c r="AB33" s="25" t="n"/>
      <c r="AC33" s="26">
        <f>IF(T33="","Chưa quyết định",IF(OR(Z33="",AA33=""),"⚠ Thiếu lý do/người duyệt",IF(AND(X33&lt;&gt;"",N(X33)+N(R33)+N(S33)&gt;M33*1.001,R33&lt;&gt;""),"⚠ Vượt mục tiêu P90",IF(AND(Y33&lt;&gt;"",ABS(N(Y33))&gt;0.3),"⚠ Lệch &gt; 30% so với nhu cầu",IF(Q33="Có","ℹ Kiểm tra ngoại suy KM","✓ Hợp lệ")))))</f>
        <v/>
      </c>
    </row>
    <row r="34">
      <c r="A34" s="16" t="n">
        <v>30</v>
      </c>
      <c r="B34" s="17" t="inlineStr">
        <is>
          <t>DEC-S18-BEVERAGES</t>
        </is>
      </c>
      <c r="C34" s="16" t="n">
        <v>18</v>
      </c>
      <c r="D34" s="17" t="inlineStr">
        <is>
          <t>BEVERAGES</t>
        </is>
      </c>
      <c r="E34" s="17" t="inlineStr">
        <is>
          <t>MEDIUM</t>
        </is>
      </c>
      <c r="F34" s="17" t="inlineStr">
        <is>
          <t>TRUNG BÌNH</t>
        </is>
      </c>
      <c r="G34" s="18" t="inlineStr">
        <is>
          <t>RISK_MEDIUM · LARGE_SERIES</t>
        </is>
      </c>
      <c r="H34" s="19" t="n">
        <v>35466.7902375</v>
      </c>
      <c r="I34" s="19" t="n">
        <v>42146.525390625</v>
      </c>
      <c r="J34" s="19" t="n">
        <v>54282.169921875</v>
      </c>
      <c r="K34" s="19" t="n">
        <v>42146.525390625</v>
      </c>
      <c r="L34" s="19" t="n">
        <v>49731.30322265625</v>
      </c>
      <c r="M34" s="19" t="n">
        <v>54282.169921875</v>
      </c>
      <c r="N34" s="17" t="inlineStr">
        <is>
          <t>C</t>
        </is>
      </c>
      <c r="O34" s="19" t="n">
        <v>20564.949609375</v>
      </c>
      <c r="P34" s="18" t="inlineStr">
        <is>
          <t>KHÔNG ĐỀ XUẤT TĂNG</t>
        </is>
      </c>
      <c r="Q34" s="17" t="inlineStr">
        <is>
          <t>Không</t>
        </is>
      </c>
      <c r="R34" s="20" t="n"/>
      <c r="S34" s="20" t="n"/>
      <c r="T34" s="21" t="n"/>
      <c r="U34" s="21" t="n"/>
      <c r="V34" s="22">
        <f>IF(U34="A",K34,IF(U34="B",L34,IF(U34="C",M34,IF(N34="A",K34,IF(N34="B",L34,M34)))))</f>
        <v/>
      </c>
      <c r="W34" s="22">
        <f>IF(R34="",O34,MAX(V34-R34-N(S34),0))</f>
        <v/>
      </c>
      <c r="X34" s="20" t="n"/>
      <c r="Y34" s="23">
        <f>IF(OR(X34="",W34=0),"",X34/W34-1)</f>
        <v/>
      </c>
      <c r="Z34" s="24" t="n"/>
      <c r="AA34" s="21" t="n"/>
      <c r="AB34" s="25" t="n"/>
      <c r="AC34" s="26">
        <f>IF(T34="","Chưa quyết định",IF(OR(Z34="",AA34=""),"⚠ Thiếu lý do/người duyệt",IF(AND(X34&lt;&gt;"",N(X34)+N(R34)+N(S34)&gt;M34*1.001,R34&lt;&gt;""),"⚠ Vượt mục tiêu P90",IF(AND(Y34&lt;&gt;"",ABS(N(Y34))&gt;0.3),"⚠ Lệch &gt; 30% so với nhu cầu",IF(Q34="Có","ℹ Kiểm tra ngoại suy KM","✓ Hợp lệ")))))</f>
        <v/>
      </c>
    </row>
    <row r="35">
      <c r="A35" s="16" t="n">
        <v>31</v>
      </c>
      <c r="B35" s="17" t="inlineStr">
        <is>
          <t>DEC-S47-CLEANING</t>
        </is>
      </c>
      <c r="C35" s="16" t="n">
        <v>47</v>
      </c>
      <c r="D35" s="17" t="inlineStr">
        <is>
          <t>CLEANING</t>
        </is>
      </c>
      <c r="E35" s="17" t="inlineStr">
        <is>
          <t>MEDIUM</t>
        </is>
      </c>
      <c r="F35" s="17" t="inlineStr">
        <is>
          <t>TRUNG BÌNH</t>
        </is>
      </c>
      <c r="G35" s="18" t="inlineStr">
        <is>
          <t>RISK_MEDIUM · LARGE_SERIES</t>
        </is>
      </c>
      <c r="H35" s="19" t="n">
        <v>35346.97615058594</v>
      </c>
      <c r="I35" s="19" t="n">
        <v>42026.71130371094</v>
      </c>
      <c r="J35" s="19" t="n">
        <v>54162.35583496094</v>
      </c>
      <c r="K35" s="19" t="n">
        <v>42026.71130371094</v>
      </c>
      <c r="L35" s="19" t="n">
        <v>49611.48913574219</v>
      </c>
      <c r="M35" s="19" t="n">
        <v>54162.35583496094</v>
      </c>
      <c r="N35" s="17" t="inlineStr">
        <is>
          <t>C</t>
        </is>
      </c>
      <c r="O35" s="19" t="n">
        <v>20540.98679199219</v>
      </c>
      <c r="P35" s="18" t="inlineStr">
        <is>
          <t>KHÔNG ĐỀ XUẤT TĂNG</t>
        </is>
      </c>
      <c r="Q35" s="17" t="inlineStr">
        <is>
          <t>Không</t>
        </is>
      </c>
      <c r="R35" s="20" t="n"/>
      <c r="S35" s="20" t="n"/>
      <c r="T35" s="21" t="n"/>
      <c r="U35" s="21" t="n"/>
      <c r="V35" s="22">
        <f>IF(U35="A",K35,IF(U35="B",L35,IF(U35="C",M35,IF(N35="A",K35,IF(N35="B",L35,M35)))))</f>
        <v/>
      </c>
      <c r="W35" s="22">
        <f>IF(R35="",O35,MAX(V35-R35-N(S35),0))</f>
        <v/>
      </c>
      <c r="X35" s="20" t="n"/>
      <c r="Y35" s="23">
        <f>IF(OR(X35="",W35=0),"",X35/W35-1)</f>
        <v/>
      </c>
      <c r="Z35" s="24" t="n"/>
      <c r="AA35" s="21" t="n"/>
      <c r="AB35" s="25" t="n"/>
      <c r="AC35" s="26">
        <f>IF(T35="","Chưa quyết định",IF(OR(Z35="",AA35=""),"⚠ Thiếu lý do/người duyệt",IF(AND(X35&lt;&gt;"",N(X35)+N(R35)+N(S35)&gt;M35*1.001,R35&lt;&gt;""),"⚠ Vượt mục tiêu P90",IF(AND(Y35&lt;&gt;"",ABS(N(Y35))&gt;0.3),"⚠ Lệch &gt; 30% so với nhu cầu",IF(Q35="Có","ℹ Kiểm tra ngoại suy KM","✓ Hợp lệ")))))</f>
        <v/>
      </c>
    </row>
    <row r="36">
      <c r="A36" s="16" t="n">
        <v>32</v>
      </c>
      <c r="B36" s="17" t="inlineStr">
        <is>
          <t>DEC-S01-GROCERY_I</t>
        </is>
      </c>
      <c r="C36" s="16" t="n">
        <v>1</v>
      </c>
      <c r="D36" s="17" t="inlineStr">
        <is>
          <t>GROCERY I</t>
        </is>
      </c>
      <c r="E36" s="17" t="inlineStr">
        <is>
          <t>MEDIUM</t>
        </is>
      </c>
      <c r="F36" s="17" t="inlineStr">
        <is>
          <t>TRUNG BÌNH</t>
        </is>
      </c>
      <c r="G36" s="18" t="inlineStr">
        <is>
          <t>RISK_MEDIUM · LARGE_SERIES</t>
        </is>
      </c>
      <c r="H36" s="19" t="n">
        <v>35913.1953640625</v>
      </c>
      <c r="I36" s="19" t="n">
        <v>42002.99609375</v>
      </c>
      <c r="J36" s="19" t="n">
        <v>52929.48977636719</v>
      </c>
      <c r="K36" s="19" t="n">
        <v>42002.99609375</v>
      </c>
      <c r="L36" s="19" t="n">
        <v>48832.05464538575</v>
      </c>
      <c r="M36" s="19" t="n">
        <v>52929.48977636719</v>
      </c>
      <c r="N36" s="17" t="inlineStr">
        <is>
          <t>C</t>
        </is>
      </c>
      <c r="O36" s="19" t="n">
        <v>19327.09290136719</v>
      </c>
      <c r="P36" s="18" t="inlineStr">
        <is>
          <t>KHÔNG ĐỀ XUẤT TĂNG</t>
        </is>
      </c>
      <c r="Q36" s="17" t="inlineStr">
        <is>
          <t>Không</t>
        </is>
      </c>
      <c r="R36" s="20" t="n"/>
      <c r="S36" s="20" t="n"/>
      <c r="T36" s="21" t="n"/>
      <c r="U36" s="21" t="n"/>
      <c r="V36" s="22">
        <f>IF(U36="A",K36,IF(U36="B",L36,IF(U36="C",M36,IF(N36="A",K36,IF(N36="B",L36,M36)))))</f>
        <v/>
      </c>
      <c r="W36" s="22">
        <f>IF(R36="",O36,MAX(V36-R36-N(S36),0))</f>
        <v/>
      </c>
      <c r="X36" s="20" t="n"/>
      <c r="Y36" s="23">
        <f>IF(OR(X36="",W36=0),"",X36/W36-1)</f>
        <v/>
      </c>
      <c r="Z36" s="24" t="n"/>
      <c r="AA36" s="21" t="n"/>
      <c r="AB36" s="25" t="n"/>
      <c r="AC36" s="26">
        <f>IF(T36="","Chưa quyết định",IF(OR(Z36="",AA36=""),"⚠ Thiếu lý do/người duyệt",IF(AND(X36&lt;&gt;"",N(X36)+N(R36)+N(S36)&gt;M36*1.001,R36&lt;&gt;""),"⚠ Vượt mục tiêu P90",IF(AND(Y36&lt;&gt;"",ABS(N(Y36))&gt;0.3),"⚠ Lệch &gt; 30% so với nhu cầu",IF(Q36="Có","ℹ Kiểm tra ngoại suy KM","✓ Hợp lệ")))))</f>
        <v/>
      </c>
    </row>
    <row r="37">
      <c r="A37" s="16" t="n">
        <v>33</v>
      </c>
      <c r="B37" s="17" t="inlineStr">
        <is>
          <t>DEC-S22-GROCERY_I</t>
        </is>
      </c>
      <c r="C37" s="16" t="n">
        <v>22</v>
      </c>
      <c r="D37" s="17" t="inlineStr">
        <is>
          <t>GROCERY I</t>
        </is>
      </c>
      <c r="E37" s="17" t="inlineStr">
        <is>
          <t>MEDIUM</t>
        </is>
      </c>
      <c r="F37" s="17" t="inlineStr">
        <is>
          <t>TRUNG BÌNH</t>
        </is>
      </c>
      <c r="G37" s="18" t="inlineStr">
        <is>
          <t>RISK_MEDIUM · LARGE_SERIES</t>
        </is>
      </c>
      <c r="H37" s="19" t="n">
        <v>35042.0060578125</v>
      </c>
      <c r="I37" s="19" t="n">
        <v>41721.7412109375</v>
      </c>
      <c r="J37" s="19" t="n">
        <v>53857.3857421875</v>
      </c>
      <c r="K37" s="19" t="n">
        <v>41721.7412109375</v>
      </c>
      <c r="L37" s="19" t="n">
        <v>49306.51904296875</v>
      </c>
      <c r="M37" s="19" t="n">
        <v>53857.3857421875</v>
      </c>
      <c r="N37" s="17" t="inlineStr">
        <is>
          <t>C</t>
        </is>
      </c>
      <c r="O37" s="19" t="n">
        <v>20479.9927734375</v>
      </c>
      <c r="P37" s="18" t="inlineStr">
        <is>
          <t>KHÔNG ĐỀ XUẤT TĂNG</t>
        </is>
      </c>
      <c r="Q37" s="17" t="inlineStr">
        <is>
          <t>Không</t>
        </is>
      </c>
      <c r="R37" s="20" t="n"/>
      <c r="S37" s="20" t="n"/>
      <c r="T37" s="21" t="n"/>
      <c r="U37" s="21" t="n"/>
      <c r="V37" s="22">
        <f>IF(U37="A",K37,IF(U37="B",L37,IF(U37="C",M37,IF(N37="A",K37,IF(N37="B",L37,M37)))))</f>
        <v/>
      </c>
      <c r="W37" s="22">
        <f>IF(R37="",O37,MAX(V37-R37-N(S37),0))</f>
        <v/>
      </c>
      <c r="X37" s="20" t="n"/>
      <c r="Y37" s="23">
        <f>IF(OR(X37="",W37=0),"",X37/W37-1)</f>
        <v/>
      </c>
      <c r="Z37" s="24" t="n"/>
      <c r="AA37" s="21" t="n"/>
      <c r="AB37" s="25" t="n"/>
      <c r="AC37" s="26">
        <f>IF(T37="","Chưa quyết định",IF(OR(Z37="",AA37=""),"⚠ Thiếu lý do/người duyệt",IF(AND(X37&lt;&gt;"",N(X37)+N(R37)+N(S37)&gt;M37*1.001,R37&lt;&gt;""),"⚠ Vượt mục tiêu P90",IF(AND(Y37&lt;&gt;"",ABS(N(Y37))&gt;0.3),"⚠ Lệch &gt; 30% so với nhu cầu",IF(Q37="Có","ℹ Kiểm tra ngoại suy KM","✓ Hợp lệ")))))</f>
        <v/>
      </c>
    </row>
    <row r="38">
      <c r="A38" s="16" t="n">
        <v>34</v>
      </c>
      <c r="B38" s="17" t="inlineStr">
        <is>
          <t>DEC-S10-GROCERY_I</t>
        </is>
      </c>
      <c r="C38" s="16" t="n">
        <v>10</v>
      </c>
      <c r="D38" s="17" t="inlineStr">
        <is>
          <t>GROCERY I</t>
        </is>
      </c>
      <c r="E38" s="17" t="inlineStr">
        <is>
          <t>MEDIUM</t>
        </is>
      </c>
      <c r="F38" s="17" t="inlineStr">
        <is>
          <t>TRUNG BÌNH</t>
        </is>
      </c>
      <c r="G38" s="18" t="inlineStr">
        <is>
          <t>RISK_MEDIUM · LARGE_SERIES</t>
        </is>
      </c>
      <c r="H38" s="19" t="n">
        <v>34986.03266914062</v>
      </c>
      <c r="I38" s="19" t="n">
        <v>41665.76782226562</v>
      </c>
      <c r="J38" s="19" t="n">
        <v>53801.41235351562</v>
      </c>
      <c r="K38" s="19" t="n">
        <v>41665.76782226562</v>
      </c>
      <c r="L38" s="19" t="n">
        <v>49250.54565429688</v>
      </c>
      <c r="M38" s="19" t="n">
        <v>53801.41235351562</v>
      </c>
      <c r="N38" s="17" t="inlineStr">
        <is>
          <t>C</t>
        </is>
      </c>
      <c r="O38" s="19" t="n">
        <v>20468.79809570312</v>
      </c>
      <c r="P38" s="18" t="inlineStr">
        <is>
          <t>KHÔNG ĐỀ XUẤT TĂNG</t>
        </is>
      </c>
      <c r="Q38" s="17" t="inlineStr">
        <is>
          <t>Không</t>
        </is>
      </c>
      <c r="R38" s="20" t="n"/>
      <c r="S38" s="20" t="n"/>
      <c r="T38" s="21" t="n"/>
      <c r="U38" s="21" t="n"/>
      <c r="V38" s="22">
        <f>IF(U38="A",K38,IF(U38="B",L38,IF(U38="C",M38,IF(N38="A",K38,IF(N38="B",L38,M38)))))</f>
        <v/>
      </c>
      <c r="W38" s="22">
        <f>IF(R38="",O38,MAX(V38-R38-N(S38),0))</f>
        <v/>
      </c>
      <c r="X38" s="20" t="n"/>
      <c r="Y38" s="23">
        <f>IF(OR(X38="",W38=0),"",X38/W38-1)</f>
        <v/>
      </c>
      <c r="Z38" s="24" t="n"/>
      <c r="AA38" s="21" t="n"/>
      <c r="AB38" s="25" t="n"/>
      <c r="AC38" s="26">
        <f>IF(T38="","Chưa quyết định",IF(OR(Z38="",AA38=""),"⚠ Thiếu lý do/người duyệt",IF(AND(X38&lt;&gt;"",N(X38)+N(R38)+N(S38)&gt;M38*1.001,R38&lt;&gt;""),"⚠ Vượt mục tiêu P90",IF(AND(Y38&lt;&gt;"",ABS(N(Y38))&gt;0.3),"⚠ Lệch &gt; 30% so với nhu cầu",IF(Q38="Có","ℹ Kiểm tra ngoại suy KM","✓ Hợp lệ")))))</f>
        <v/>
      </c>
    </row>
    <row r="39">
      <c r="A39" s="16" t="n">
        <v>35</v>
      </c>
      <c r="B39" s="17" t="inlineStr">
        <is>
          <t>DEC-S34-BEVERAGES</t>
        </is>
      </c>
      <c r="C39" s="16" t="n">
        <v>34</v>
      </c>
      <c r="D39" s="17" t="inlineStr">
        <is>
          <t>BEVERAGES</t>
        </is>
      </c>
      <c r="E39" s="17" t="inlineStr">
        <is>
          <t>MEDIUM</t>
        </is>
      </c>
      <c r="F39" s="17" t="inlineStr">
        <is>
          <t>TRUNG BÌNH</t>
        </is>
      </c>
      <c r="G39" s="18" t="inlineStr">
        <is>
          <t>RISK_MEDIUM · LARGE_SERIES</t>
        </is>
      </c>
      <c r="H39" s="19" t="n">
        <v>33415.31733710937</v>
      </c>
      <c r="I39" s="19" t="n">
        <v>40095.05249023438</v>
      </c>
      <c r="J39" s="19" t="n">
        <v>52230.69702148438</v>
      </c>
      <c r="K39" s="19" t="n">
        <v>40095.05249023438</v>
      </c>
      <c r="L39" s="19" t="n">
        <v>47679.83032226562</v>
      </c>
      <c r="M39" s="19" t="n">
        <v>52230.69702148438</v>
      </c>
      <c r="N39" s="17" t="inlineStr">
        <is>
          <t>C</t>
        </is>
      </c>
      <c r="O39" s="19" t="n">
        <v>20154.65502929688</v>
      </c>
      <c r="P39" s="18" t="inlineStr">
        <is>
          <t>KHÔNG ĐỀ XUẤT TĂNG</t>
        </is>
      </c>
      <c r="Q39" s="17" t="inlineStr">
        <is>
          <t>Không</t>
        </is>
      </c>
      <c r="R39" s="20" t="n"/>
      <c r="S39" s="20" t="n"/>
      <c r="T39" s="21" t="n"/>
      <c r="U39" s="21" t="n"/>
      <c r="V39" s="22">
        <f>IF(U39="A",K39,IF(U39="B",L39,IF(U39="C",M39,IF(N39="A",K39,IF(N39="B",L39,M39)))))</f>
        <v/>
      </c>
      <c r="W39" s="22">
        <f>IF(R39="",O39,MAX(V39-R39-N(S39),0))</f>
        <v/>
      </c>
      <c r="X39" s="20" t="n"/>
      <c r="Y39" s="23">
        <f>IF(OR(X39="",W39=0),"",X39/W39-1)</f>
        <v/>
      </c>
      <c r="Z39" s="24" t="n"/>
      <c r="AA39" s="21" t="n"/>
      <c r="AB39" s="25" t="n"/>
      <c r="AC39" s="26">
        <f>IF(T39="","Chưa quyết định",IF(OR(Z39="",AA39=""),"⚠ Thiếu lý do/người duyệt",IF(AND(X39&lt;&gt;"",N(X39)+N(R39)+N(S39)&gt;M39*1.001,R39&lt;&gt;""),"⚠ Vượt mục tiêu P90",IF(AND(Y39&lt;&gt;"",ABS(N(Y39))&gt;0.3),"⚠ Lệch &gt; 30% so với nhu cầu",IF(Q39="Có","ℹ Kiểm tra ngoại suy KM","✓ Hợp lệ")))))</f>
        <v/>
      </c>
    </row>
    <row r="40">
      <c r="A40" s="16" t="n">
        <v>36</v>
      </c>
      <c r="B40" s="17" t="inlineStr">
        <is>
          <t>DEC-S02-PRODUCE</t>
        </is>
      </c>
      <c r="C40" s="16" t="n">
        <v>2</v>
      </c>
      <c r="D40" s="17" t="inlineStr">
        <is>
          <t>PRODUCE</t>
        </is>
      </c>
      <c r="E40" s="17" t="inlineStr">
        <is>
          <t>MEDIUM</t>
        </is>
      </c>
      <c r="F40" s="17" t="inlineStr">
        <is>
          <t>TRUNG BÌNH</t>
        </is>
      </c>
      <c r="G40" s="18" t="inlineStr">
        <is>
          <t>RISK_MEDIUM · LARGE_SERIES</t>
        </is>
      </c>
      <c r="H40" s="19" t="n">
        <v>33258.76325996094</v>
      </c>
      <c r="I40" s="19" t="n">
        <v>39938.49841308594</v>
      </c>
      <c r="J40" s="19" t="n">
        <v>52074.14294433594</v>
      </c>
      <c r="K40" s="19" t="n">
        <v>39938.49841308594</v>
      </c>
      <c r="L40" s="19" t="n">
        <v>47523.27624511719</v>
      </c>
      <c r="M40" s="19" t="n">
        <v>52074.14294433594</v>
      </c>
      <c r="N40" s="17" t="inlineStr">
        <is>
          <t>C</t>
        </is>
      </c>
      <c r="O40" s="19" t="n">
        <v>20123.34421386719</v>
      </c>
      <c r="P40" s="18" t="inlineStr">
        <is>
          <t>KHÔNG ĐỀ XUẤT TĂNG</t>
        </is>
      </c>
      <c r="Q40" s="17" t="inlineStr">
        <is>
          <t>Không</t>
        </is>
      </c>
      <c r="R40" s="20" t="n"/>
      <c r="S40" s="20" t="n"/>
      <c r="T40" s="21" t="n"/>
      <c r="U40" s="21" t="n"/>
      <c r="V40" s="22">
        <f>IF(U40="A",K40,IF(U40="B",L40,IF(U40="C",M40,IF(N40="A",K40,IF(N40="B",L40,M40)))))</f>
        <v/>
      </c>
      <c r="W40" s="22">
        <f>IF(R40="",O40,MAX(V40-R40-N(S40),0))</f>
        <v/>
      </c>
      <c r="X40" s="20" t="n"/>
      <c r="Y40" s="23">
        <f>IF(OR(X40="",W40=0),"",X40/W40-1)</f>
        <v/>
      </c>
      <c r="Z40" s="24" t="n"/>
      <c r="AA40" s="21" t="n"/>
      <c r="AB40" s="25" t="n"/>
      <c r="AC40" s="26">
        <f>IF(T40="","Chưa quyết định",IF(OR(Z40="",AA40=""),"⚠ Thiếu lý do/người duyệt",IF(AND(X40&lt;&gt;"",N(X40)+N(R40)+N(S40)&gt;M40*1.001,R40&lt;&gt;""),"⚠ Vượt mục tiêu P90",IF(AND(Y40&lt;&gt;"",ABS(N(Y40))&gt;0.3),"⚠ Lệch &gt; 30% so với nhu cầu",IF(Q40="Có","ℹ Kiểm tra ngoại suy KM","✓ Hợp lệ")))))</f>
        <v/>
      </c>
    </row>
    <row r="41">
      <c r="A41" s="16" t="n">
        <v>37</v>
      </c>
      <c r="B41" s="17" t="inlineStr">
        <is>
          <t>DEC-S45-DAIRY</t>
        </is>
      </c>
      <c r="C41" s="16" t="n">
        <v>45</v>
      </c>
      <c r="D41" s="17" t="inlineStr">
        <is>
          <t>DAIRY</t>
        </is>
      </c>
      <c r="E41" s="17" t="inlineStr">
        <is>
          <t>MEDIUM</t>
        </is>
      </c>
      <c r="F41" s="17" t="inlineStr">
        <is>
          <t>TRUNG BÌNH</t>
        </is>
      </c>
      <c r="G41" s="18" t="inlineStr">
        <is>
          <t>RISK_MEDIUM · LARGE_SERIES</t>
        </is>
      </c>
      <c r="H41" s="19" t="n">
        <v>32323.77278144532</v>
      </c>
      <c r="I41" s="19" t="n">
        <v>39003.50793457031</v>
      </c>
      <c r="J41" s="19" t="n">
        <v>51139.15246582031</v>
      </c>
      <c r="K41" s="19" t="n">
        <v>39003.50793457031</v>
      </c>
      <c r="L41" s="19" t="n">
        <v>46588.28576660156</v>
      </c>
      <c r="M41" s="19" t="n">
        <v>51139.15246582031</v>
      </c>
      <c r="N41" s="17" t="inlineStr">
        <is>
          <t>C</t>
        </is>
      </c>
      <c r="O41" s="19" t="n">
        <v>19936.34611816406</v>
      </c>
      <c r="P41" s="18" t="inlineStr">
        <is>
          <t>KHÔNG ĐỀ XUẤT TĂNG</t>
        </is>
      </c>
      <c r="Q41" s="17" t="inlineStr">
        <is>
          <t>Không</t>
        </is>
      </c>
      <c r="R41" s="20" t="n"/>
      <c r="S41" s="20" t="n"/>
      <c r="T41" s="21" t="n"/>
      <c r="U41" s="21" t="n"/>
      <c r="V41" s="22">
        <f>IF(U41="A",K41,IF(U41="B",L41,IF(U41="C",M41,IF(N41="A",K41,IF(N41="B",L41,M41)))))</f>
        <v/>
      </c>
      <c r="W41" s="22">
        <f>IF(R41="",O41,MAX(V41-R41-N(S41),0))</f>
        <v/>
      </c>
      <c r="X41" s="20" t="n"/>
      <c r="Y41" s="23">
        <f>IF(OR(X41="",W41=0),"",X41/W41-1)</f>
        <v/>
      </c>
      <c r="Z41" s="24" t="n"/>
      <c r="AA41" s="21" t="n"/>
      <c r="AB41" s="25" t="n"/>
      <c r="AC41" s="26">
        <f>IF(T41="","Chưa quyết định",IF(OR(Z41="",AA41=""),"⚠ Thiếu lý do/người duyệt",IF(AND(X41&lt;&gt;"",N(X41)+N(R41)+N(S41)&gt;M41*1.001,R41&lt;&gt;""),"⚠ Vượt mục tiêu P90",IF(AND(Y41&lt;&gt;"",ABS(N(Y41))&gt;0.3),"⚠ Lệch &gt; 30% so với nhu cầu",IF(Q41="Có","ℹ Kiểm tra ngoại suy KM","✓ Hợp lệ")))))</f>
        <v/>
      </c>
    </row>
    <row r="42">
      <c r="A42" s="16" t="n">
        <v>38</v>
      </c>
      <c r="B42" s="17" t="inlineStr">
        <is>
          <t>DEC-S01-PRODUCE</t>
        </is>
      </c>
      <c r="C42" s="16" t="n">
        <v>1</v>
      </c>
      <c r="D42" s="17" t="inlineStr">
        <is>
          <t>PRODUCE</t>
        </is>
      </c>
      <c r="E42" s="17" t="inlineStr">
        <is>
          <t>MEDIUM</t>
        </is>
      </c>
      <c r="F42" s="17" t="inlineStr">
        <is>
          <t>TRUNG BÌNH</t>
        </is>
      </c>
      <c r="G42" s="18" t="inlineStr">
        <is>
          <t>RISK_MEDIUM · LARGE_SERIES</t>
        </is>
      </c>
      <c r="H42" s="19" t="n">
        <v>32808.74040800781</v>
      </c>
      <c r="I42" s="19" t="n">
        <v>38898.54113769531</v>
      </c>
      <c r="J42" s="19" t="n">
        <v>49825.0348203125</v>
      </c>
      <c r="K42" s="19" t="n">
        <v>38898.54113769531</v>
      </c>
      <c r="L42" s="19" t="n">
        <v>45727.59968933106</v>
      </c>
      <c r="M42" s="19" t="n">
        <v>49825.0348203125</v>
      </c>
      <c r="N42" s="17" t="inlineStr">
        <is>
          <t>C</t>
        </is>
      </c>
      <c r="O42" s="19" t="n">
        <v>18706.20191015625</v>
      </c>
      <c r="P42" s="18" t="inlineStr">
        <is>
          <t>KHÔNG ĐỀ XUẤT TĂNG</t>
        </is>
      </c>
      <c r="Q42" s="17" t="inlineStr">
        <is>
          <t>Không</t>
        </is>
      </c>
      <c r="R42" s="20" t="n"/>
      <c r="S42" s="20" t="n"/>
      <c r="T42" s="21" t="n"/>
      <c r="U42" s="21" t="n"/>
      <c r="V42" s="22">
        <f>IF(U42="A",K42,IF(U42="B",L42,IF(U42="C",M42,IF(N42="A",K42,IF(N42="B",L42,M42)))))</f>
        <v/>
      </c>
      <c r="W42" s="22">
        <f>IF(R42="",O42,MAX(V42-R42-N(S42),0))</f>
        <v/>
      </c>
      <c r="X42" s="20" t="n"/>
      <c r="Y42" s="23">
        <f>IF(OR(X42="",W42=0),"",X42/W42-1)</f>
        <v/>
      </c>
      <c r="Z42" s="24" t="n"/>
      <c r="AA42" s="21" t="n"/>
      <c r="AB42" s="25" t="n"/>
      <c r="AC42" s="26">
        <f>IF(T42="","Chưa quyết định",IF(OR(Z42="",AA42=""),"⚠ Thiếu lý do/người duyệt",IF(AND(X42&lt;&gt;"",N(X42)+N(R42)+N(S42)&gt;M42*1.001,R42&lt;&gt;""),"⚠ Vượt mục tiêu P90",IF(AND(Y42&lt;&gt;"",ABS(N(Y42))&gt;0.3),"⚠ Lệch &gt; 30% so với nhu cầu",IF(Q42="Có","ℹ Kiểm tra ngoại suy KM","✓ Hợp lệ")))))</f>
        <v/>
      </c>
    </row>
    <row r="43">
      <c r="A43" s="16" t="n">
        <v>39</v>
      </c>
      <c r="B43" s="17" t="inlineStr">
        <is>
          <t>DEC-S49-DAIRY</t>
        </is>
      </c>
      <c r="C43" s="16" t="n">
        <v>49</v>
      </c>
      <c r="D43" s="17" t="inlineStr">
        <is>
          <t>DAIRY</t>
        </is>
      </c>
      <c r="E43" s="17" t="inlineStr">
        <is>
          <t>MEDIUM</t>
        </is>
      </c>
      <c r="F43" s="17" t="inlineStr">
        <is>
          <t>TRUNG BÌNH</t>
        </is>
      </c>
      <c r="G43" s="18" t="inlineStr">
        <is>
          <t>RISK_MEDIUM · LARGE_SERIES</t>
        </is>
      </c>
      <c r="H43" s="19" t="n">
        <v>31895.35786445312</v>
      </c>
      <c r="I43" s="19" t="n">
        <v>38575.09301757812</v>
      </c>
      <c r="J43" s="19" t="n">
        <v>50710.73754882812</v>
      </c>
      <c r="K43" s="19" t="n">
        <v>38575.09301757812</v>
      </c>
      <c r="L43" s="19" t="n">
        <v>46159.87084960938</v>
      </c>
      <c r="M43" s="19" t="n">
        <v>50710.73754882812</v>
      </c>
      <c r="N43" s="17" t="inlineStr">
        <is>
          <t>C</t>
        </is>
      </c>
      <c r="O43" s="19" t="n">
        <v>19850.66313476563</v>
      </c>
      <c r="P43" s="18" t="inlineStr">
        <is>
          <t>KHÔNG ĐỀ XUẤT TĂNG</t>
        </is>
      </c>
      <c r="Q43" s="17" t="inlineStr">
        <is>
          <t>Không</t>
        </is>
      </c>
      <c r="R43" s="20" t="n"/>
      <c r="S43" s="20" t="n"/>
      <c r="T43" s="21" t="n"/>
      <c r="U43" s="21" t="n"/>
      <c r="V43" s="22">
        <f>IF(U43="A",K43,IF(U43="B",L43,IF(U43="C",M43,IF(N43="A",K43,IF(N43="B",L43,M43)))))</f>
        <v/>
      </c>
      <c r="W43" s="22">
        <f>IF(R43="",O43,MAX(V43-R43-N(S43),0))</f>
        <v/>
      </c>
      <c r="X43" s="20" t="n"/>
      <c r="Y43" s="23">
        <f>IF(OR(X43="",W43=0),"",X43/W43-1)</f>
        <v/>
      </c>
      <c r="Z43" s="24" t="n"/>
      <c r="AA43" s="21" t="n"/>
      <c r="AB43" s="25" t="n"/>
      <c r="AC43" s="26">
        <f>IF(T43="","Chưa quyết định",IF(OR(Z43="",AA43=""),"⚠ Thiếu lý do/người duyệt",IF(AND(X43&lt;&gt;"",N(X43)+N(R43)+N(S43)&gt;M43*1.001,R43&lt;&gt;""),"⚠ Vượt mục tiêu P90",IF(AND(Y43&lt;&gt;"",ABS(N(Y43))&gt;0.3),"⚠ Lệch &gt; 30% so với nhu cầu",IF(Q43="Có","ℹ Kiểm tra ngoại suy KM","✓ Hợp lệ")))))</f>
        <v/>
      </c>
    </row>
    <row r="44">
      <c r="A44" s="16" t="n">
        <v>40</v>
      </c>
      <c r="B44" s="17" t="inlineStr">
        <is>
          <t>DEC-S53-BEVERAGES</t>
        </is>
      </c>
      <c r="C44" s="16" t="n">
        <v>53</v>
      </c>
      <c r="D44" s="17" t="inlineStr">
        <is>
          <t>BEVERAGES</t>
        </is>
      </c>
      <c r="E44" s="17" t="inlineStr">
        <is>
          <t>MEDIUM</t>
        </is>
      </c>
      <c r="F44" s="17" t="inlineStr">
        <is>
          <t>TRUNG BÌNH</t>
        </is>
      </c>
      <c r="G44" s="18" t="inlineStr">
        <is>
          <t>RISK_MEDIUM · LARGE_SERIES</t>
        </is>
      </c>
      <c r="H44" s="19" t="n">
        <v>31822.09577949219</v>
      </c>
      <c r="I44" s="19" t="n">
        <v>38501.83093261719</v>
      </c>
      <c r="J44" s="19" t="n">
        <v>50637.47546386719</v>
      </c>
      <c r="K44" s="19" t="n">
        <v>38501.83093261719</v>
      </c>
      <c r="L44" s="19" t="n">
        <v>46086.60876464844</v>
      </c>
      <c r="M44" s="19" t="n">
        <v>50637.47546386719</v>
      </c>
      <c r="N44" s="17" t="inlineStr">
        <is>
          <t>C</t>
        </is>
      </c>
      <c r="O44" s="19" t="n">
        <v>19836.01071777344</v>
      </c>
      <c r="P44" s="18" t="inlineStr">
        <is>
          <t>KHÔNG ĐỀ XUẤT TĂNG</t>
        </is>
      </c>
      <c r="Q44" s="17" t="inlineStr">
        <is>
          <t>Không</t>
        </is>
      </c>
      <c r="R44" s="20" t="n"/>
      <c r="S44" s="20" t="n"/>
      <c r="T44" s="21" t="n"/>
      <c r="U44" s="21" t="n"/>
      <c r="V44" s="22">
        <f>IF(U44="A",K44,IF(U44="B",L44,IF(U44="C",M44,IF(N44="A",K44,IF(N44="B",L44,M44)))))</f>
        <v/>
      </c>
      <c r="W44" s="22">
        <f>IF(R44="",O44,MAX(V44-R44-N(S44),0))</f>
        <v/>
      </c>
      <c r="X44" s="20" t="n"/>
      <c r="Y44" s="23">
        <f>IF(OR(X44="",W44=0),"",X44/W44-1)</f>
        <v/>
      </c>
      <c r="Z44" s="24" t="n"/>
      <c r="AA44" s="21" t="n"/>
      <c r="AB44" s="25" t="n"/>
      <c r="AC44" s="26">
        <f>IF(T44="","Chưa quyết định",IF(OR(Z44="",AA44=""),"⚠ Thiếu lý do/người duyệt",IF(AND(X44&lt;&gt;"",N(X44)+N(R44)+N(S44)&gt;M44*1.001,R44&lt;&gt;""),"⚠ Vượt mục tiêu P90",IF(AND(Y44&lt;&gt;"",ABS(N(Y44))&gt;0.3),"⚠ Lệch &gt; 30% so với nhu cầu",IF(Q44="Có","ℹ Kiểm tra ngoại suy KM","✓ Hợp lệ")))))</f>
        <v/>
      </c>
    </row>
    <row r="45">
      <c r="A45" s="16" t="n">
        <v>41</v>
      </c>
      <c r="B45" s="17" t="inlineStr">
        <is>
          <t>DEC-S47-DAIRY</t>
        </is>
      </c>
      <c r="C45" s="16" t="n">
        <v>47</v>
      </c>
      <c r="D45" s="17" t="inlineStr">
        <is>
          <t>DAIRY</t>
        </is>
      </c>
      <c r="E45" s="17" t="inlineStr">
        <is>
          <t>MEDIUM</t>
        </is>
      </c>
      <c r="F45" s="17" t="inlineStr">
        <is>
          <t>TRUNG BÌNH</t>
        </is>
      </c>
      <c r="G45" s="18" t="inlineStr">
        <is>
          <t>RISK_MEDIUM · LARGE_SERIES</t>
        </is>
      </c>
      <c r="H45" s="19" t="n">
        <v>31509.75007636719</v>
      </c>
      <c r="I45" s="19" t="n">
        <v>38189.48522949219</v>
      </c>
      <c r="J45" s="19" t="n">
        <v>50325.12976074219</v>
      </c>
      <c r="K45" s="19" t="n">
        <v>38189.48522949219</v>
      </c>
      <c r="L45" s="19" t="n">
        <v>45774.26306152344</v>
      </c>
      <c r="M45" s="19" t="n">
        <v>50325.12976074219</v>
      </c>
      <c r="N45" s="17" t="inlineStr">
        <is>
          <t>C</t>
        </is>
      </c>
      <c r="O45" s="19" t="n">
        <v>19773.54157714844</v>
      </c>
      <c r="P45" s="18" t="inlineStr">
        <is>
          <t>KHÔNG ĐỀ XUẤT TĂNG</t>
        </is>
      </c>
      <c r="Q45" s="17" t="inlineStr">
        <is>
          <t>Không</t>
        </is>
      </c>
      <c r="R45" s="20" t="n"/>
      <c r="S45" s="20" t="n"/>
      <c r="T45" s="21" t="n"/>
      <c r="U45" s="21" t="n"/>
      <c r="V45" s="22">
        <f>IF(U45="A",K45,IF(U45="B",L45,IF(U45="C",M45,IF(N45="A",K45,IF(N45="B",L45,M45)))))</f>
        <v/>
      </c>
      <c r="W45" s="22">
        <f>IF(R45="",O45,MAX(V45-R45-N(S45),0))</f>
        <v/>
      </c>
      <c r="X45" s="20" t="n"/>
      <c r="Y45" s="23">
        <f>IF(OR(X45="",W45=0),"",X45/W45-1)</f>
        <v/>
      </c>
      <c r="Z45" s="24" t="n"/>
      <c r="AA45" s="21" t="n"/>
      <c r="AB45" s="25" t="n"/>
      <c r="AC45" s="26">
        <f>IF(T45="","Chưa quyết định",IF(OR(Z45="",AA45=""),"⚠ Thiếu lý do/người duyệt",IF(AND(X45&lt;&gt;"",N(X45)+N(R45)+N(S45)&gt;M45*1.001,R45&lt;&gt;""),"⚠ Vượt mục tiêu P90",IF(AND(Y45&lt;&gt;"",ABS(N(Y45))&gt;0.3),"⚠ Lệch &gt; 30% so với nhu cầu",IF(Q45="Có","ℹ Kiểm tra ngoại suy KM","✓ Hợp lệ")))))</f>
        <v/>
      </c>
    </row>
    <row r="46">
      <c r="A46" s="16" t="n">
        <v>42</v>
      </c>
      <c r="B46" s="17" t="inlineStr">
        <is>
          <t>DEC-S50-PRODUCE</t>
        </is>
      </c>
      <c r="C46" s="16" t="n">
        <v>50</v>
      </c>
      <c r="D46" s="17" t="inlineStr">
        <is>
          <t>PRODUCE</t>
        </is>
      </c>
      <c r="E46" s="17" t="inlineStr">
        <is>
          <t>MEDIUM</t>
        </is>
      </c>
      <c r="F46" s="17" t="inlineStr">
        <is>
          <t>TRUNG BÌNH</t>
        </is>
      </c>
      <c r="G46" s="18" t="inlineStr">
        <is>
          <t>RISK_MEDIUM · LARGE_SERIES</t>
        </is>
      </c>
      <c r="H46" s="19" t="n">
        <v>31106.28279121094</v>
      </c>
      <c r="I46" s="19" t="n">
        <v>37786.01794433594</v>
      </c>
      <c r="J46" s="19" t="n">
        <v>49921.66247558594</v>
      </c>
      <c r="K46" s="19" t="n">
        <v>37786.01794433594</v>
      </c>
      <c r="L46" s="19" t="n">
        <v>45370.79577636719</v>
      </c>
      <c r="M46" s="19" t="n">
        <v>49921.66247558594</v>
      </c>
      <c r="N46" s="17" t="inlineStr">
        <is>
          <t>C</t>
        </is>
      </c>
      <c r="O46" s="19" t="n">
        <v>19692.84812011719</v>
      </c>
      <c r="P46" s="18" t="inlineStr">
        <is>
          <t>KHÔNG ĐỀ XUẤT TĂNG</t>
        </is>
      </c>
      <c r="Q46" s="17" t="inlineStr">
        <is>
          <t>Không</t>
        </is>
      </c>
      <c r="R46" s="20" t="n"/>
      <c r="S46" s="20" t="n"/>
      <c r="T46" s="21" t="n"/>
      <c r="U46" s="21" t="n"/>
      <c r="V46" s="22">
        <f>IF(U46="A",K46,IF(U46="B",L46,IF(U46="C",M46,IF(N46="A",K46,IF(N46="B",L46,M46)))))</f>
        <v/>
      </c>
      <c r="W46" s="22">
        <f>IF(R46="",O46,MAX(V46-R46-N(S46),0))</f>
        <v/>
      </c>
      <c r="X46" s="20" t="n"/>
      <c r="Y46" s="23">
        <f>IF(OR(X46="",W46=0),"",X46/W46-1)</f>
        <v/>
      </c>
      <c r="Z46" s="24" t="n"/>
      <c r="AA46" s="21" t="n"/>
      <c r="AB46" s="25" t="n"/>
      <c r="AC46" s="26">
        <f>IF(T46="","Chưa quyết định",IF(OR(Z46="",AA46=""),"⚠ Thiếu lý do/người duyệt",IF(AND(X46&lt;&gt;"",N(X46)+N(R46)+N(S46)&gt;M46*1.001,R46&lt;&gt;""),"⚠ Vượt mục tiêu P90",IF(AND(Y46&lt;&gt;"",ABS(N(Y46))&gt;0.3),"⚠ Lệch &gt; 30% so với nhu cầu",IF(Q46="Có","ℹ Kiểm tra ngoại suy KM","✓ Hợp lệ")))))</f>
        <v/>
      </c>
    </row>
    <row r="47">
      <c r="A47" s="16" t="n">
        <v>43</v>
      </c>
      <c r="B47" s="17" t="inlineStr">
        <is>
          <t>DEC-S04-PRODUCE</t>
        </is>
      </c>
      <c r="C47" s="16" t="n">
        <v>4</v>
      </c>
      <c r="D47" s="17" t="inlineStr">
        <is>
          <t>PRODUCE</t>
        </is>
      </c>
      <c r="E47" s="17" t="inlineStr">
        <is>
          <t>MEDIUM</t>
        </is>
      </c>
      <c r="F47" s="17" t="inlineStr">
        <is>
          <t>TRUNG BÌNH</t>
        </is>
      </c>
      <c r="G47" s="18" t="inlineStr">
        <is>
          <t>RISK_MEDIUM · LARGE_SERIES</t>
        </is>
      </c>
      <c r="H47" s="19" t="n">
        <v>30773.8732453125</v>
      </c>
      <c r="I47" s="19" t="n">
        <v>37453.6083984375</v>
      </c>
      <c r="J47" s="19" t="n">
        <v>49589.2529296875</v>
      </c>
      <c r="K47" s="19" t="n">
        <v>37453.6083984375</v>
      </c>
      <c r="L47" s="19" t="n">
        <v>45038.38623046875</v>
      </c>
      <c r="M47" s="19" t="n">
        <v>49589.2529296875</v>
      </c>
      <c r="N47" s="17" t="inlineStr">
        <is>
          <t>C</t>
        </is>
      </c>
      <c r="O47" s="19" t="n">
        <v>19626.3662109375</v>
      </c>
      <c r="P47" s="18" t="inlineStr">
        <is>
          <t>KHÔNG ĐỀ XUẤT TĂNG</t>
        </is>
      </c>
      <c r="Q47" s="17" t="inlineStr">
        <is>
          <t>Không</t>
        </is>
      </c>
      <c r="R47" s="20" t="n"/>
      <c r="S47" s="20" t="n"/>
      <c r="T47" s="21" t="n"/>
      <c r="U47" s="21" t="n"/>
      <c r="V47" s="22">
        <f>IF(U47="A",K47,IF(U47="B",L47,IF(U47="C",M47,IF(N47="A",K47,IF(N47="B",L47,M47)))))</f>
        <v/>
      </c>
      <c r="W47" s="22">
        <f>IF(R47="",O47,MAX(V47-R47-N(S47),0))</f>
        <v/>
      </c>
      <c r="X47" s="20" t="n"/>
      <c r="Y47" s="23">
        <f>IF(OR(X47="",W47=0),"",X47/W47-1)</f>
        <v/>
      </c>
      <c r="Z47" s="24" t="n"/>
      <c r="AA47" s="21" t="n"/>
      <c r="AB47" s="25" t="n"/>
      <c r="AC47" s="26">
        <f>IF(T47="","Chưa quyết định",IF(OR(Z47="",AA47=""),"⚠ Thiếu lý do/người duyệt",IF(AND(X47&lt;&gt;"",N(X47)+N(R47)+N(S47)&gt;M47*1.001,R47&lt;&gt;""),"⚠ Vượt mục tiêu P90",IF(AND(Y47&lt;&gt;"",ABS(N(Y47))&gt;0.3),"⚠ Lệch &gt; 30% so với nhu cầu",IF(Q47="Có","ℹ Kiểm tra ngoại suy KM","✓ Hợp lệ")))))</f>
        <v/>
      </c>
    </row>
    <row r="48">
      <c r="A48" s="16" t="n">
        <v>44</v>
      </c>
      <c r="B48" s="17" t="inlineStr">
        <is>
          <t>DEC-S48-CLEANING</t>
        </is>
      </c>
      <c r="C48" s="16" t="n">
        <v>48</v>
      </c>
      <c r="D48" s="17" t="inlineStr">
        <is>
          <t>CLEANING</t>
        </is>
      </c>
      <c r="E48" s="17" t="inlineStr">
        <is>
          <t>MEDIUM</t>
        </is>
      </c>
      <c r="F48" s="17" t="inlineStr">
        <is>
          <t>TRUNG BÌNH</t>
        </is>
      </c>
      <c r="G48" s="18" t="inlineStr">
        <is>
          <t>RISK_MEDIUM · LARGE_SERIES</t>
        </is>
      </c>
      <c r="H48" s="19" t="n">
        <v>30565.29585273438</v>
      </c>
      <c r="I48" s="19" t="n">
        <v>37245.03100585938</v>
      </c>
      <c r="J48" s="19" t="n">
        <v>49380.67553710938</v>
      </c>
      <c r="K48" s="19" t="n">
        <v>37245.03100585938</v>
      </c>
      <c r="L48" s="19" t="n">
        <v>44829.80883789062</v>
      </c>
      <c r="M48" s="19" t="n">
        <v>49380.67553710938</v>
      </c>
      <c r="N48" s="17" t="inlineStr">
        <is>
          <t>C</t>
        </is>
      </c>
      <c r="O48" s="19" t="n">
        <v>19584.65073242188</v>
      </c>
      <c r="P48" s="18" t="inlineStr">
        <is>
          <t>KHÔNG ĐỀ XUẤT TĂNG</t>
        </is>
      </c>
      <c r="Q48" s="17" t="inlineStr">
        <is>
          <t>Không</t>
        </is>
      </c>
      <c r="R48" s="20" t="n"/>
      <c r="S48" s="20" t="n"/>
      <c r="T48" s="21" t="n"/>
      <c r="U48" s="21" t="n"/>
      <c r="V48" s="22">
        <f>IF(U48="A",K48,IF(U48="B",L48,IF(U48="C",M48,IF(N48="A",K48,IF(N48="B",L48,M48)))))</f>
        <v/>
      </c>
      <c r="W48" s="22">
        <f>IF(R48="",O48,MAX(V48-R48-N(S48),0))</f>
        <v/>
      </c>
      <c r="X48" s="20" t="n"/>
      <c r="Y48" s="23">
        <f>IF(OR(X48="",W48=0),"",X48/W48-1)</f>
        <v/>
      </c>
      <c r="Z48" s="24" t="n"/>
      <c r="AA48" s="21" t="n"/>
      <c r="AB48" s="25" t="n"/>
      <c r="AC48" s="26">
        <f>IF(T48="","Chưa quyết định",IF(OR(Z48="",AA48=""),"⚠ Thiếu lý do/người duyệt",IF(AND(X48&lt;&gt;"",N(X48)+N(R48)+N(S48)&gt;M48*1.001,R48&lt;&gt;""),"⚠ Vượt mục tiêu P90",IF(AND(Y48&lt;&gt;"",ABS(N(Y48))&gt;0.3),"⚠ Lệch &gt; 30% so với nhu cầu",IF(Q48="Có","ℹ Kiểm tra ngoại suy KM","✓ Hợp lệ")))))</f>
        <v/>
      </c>
    </row>
    <row r="49">
      <c r="A49" s="16" t="n">
        <v>45</v>
      </c>
      <c r="B49" s="17" t="inlineStr">
        <is>
          <t>DEC-S23-GROCERY_I</t>
        </is>
      </c>
      <c r="C49" s="16" t="n">
        <v>23</v>
      </c>
      <c r="D49" s="17" t="inlineStr">
        <is>
          <t>GROCERY I</t>
        </is>
      </c>
      <c r="E49" s="17" t="inlineStr">
        <is>
          <t>MEDIUM</t>
        </is>
      </c>
      <c r="F49" s="17" t="inlineStr">
        <is>
          <t>TRUNG BÌNH</t>
        </is>
      </c>
      <c r="G49" s="18" t="inlineStr">
        <is>
          <t>RISK_MEDIUM · LARGE_SERIES</t>
        </is>
      </c>
      <c r="H49" s="19" t="n">
        <v>30345.78840644532</v>
      </c>
      <c r="I49" s="19" t="n">
        <v>37025.52355957031</v>
      </c>
      <c r="J49" s="19" t="n">
        <v>49161.16809082031</v>
      </c>
      <c r="K49" s="19" t="n">
        <v>37025.52355957031</v>
      </c>
      <c r="L49" s="19" t="n">
        <v>44610.30139160156</v>
      </c>
      <c r="M49" s="19" t="n">
        <v>49161.16809082031</v>
      </c>
      <c r="N49" s="17" t="inlineStr">
        <is>
          <t>C</t>
        </is>
      </c>
      <c r="O49" s="19" t="n">
        <v>19540.74924316406</v>
      </c>
      <c r="P49" s="18" t="inlineStr">
        <is>
          <t>KHÔNG ĐỀ XUẤT TĂNG</t>
        </is>
      </c>
      <c r="Q49" s="17" t="inlineStr">
        <is>
          <t>Không</t>
        </is>
      </c>
      <c r="R49" s="20" t="n"/>
      <c r="S49" s="20" t="n"/>
      <c r="T49" s="21" t="n"/>
      <c r="U49" s="21" t="n"/>
      <c r="V49" s="22">
        <f>IF(U49="A",K49,IF(U49="B",L49,IF(U49="C",M49,IF(N49="A",K49,IF(N49="B",L49,M49)))))</f>
        <v/>
      </c>
      <c r="W49" s="22">
        <f>IF(R49="",O49,MAX(V49-R49-N(S49),0))</f>
        <v/>
      </c>
      <c r="X49" s="20" t="n"/>
      <c r="Y49" s="23">
        <f>IF(OR(X49="",W49=0),"",X49/W49-1)</f>
        <v/>
      </c>
      <c r="Z49" s="24" t="n"/>
      <c r="AA49" s="21" t="n"/>
      <c r="AB49" s="25" t="n"/>
      <c r="AC49" s="26">
        <f>IF(T49="","Chưa quyết định",IF(OR(Z49="",AA49=""),"⚠ Thiếu lý do/người duyệt",IF(AND(X49&lt;&gt;"",N(X49)+N(R49)+N(S49)&gt;M49*1.001,R49&lt;&gt;""),"⚠ Vượt mục tiêu P90",IF(AND(Y49&lt;&gt;"",ABS(N(Y49))&gt;0.3),"⚠ Lệch &gt; 30% so với nhu cầu",IF(Q49="Có","ℹ Kiểm tra ngoại suy KM","✓ Hợp lệ")))))</f>
        <v/>
      </c>
    </row>
    <row r="50">
      <c r="A50" s="16" t="n">
        <v>46</v>
      </c>
      <c r="B50" s="17" t="inlineStr">
        <is>
          <t>DEC-S41-PRODUCE</t>
        </is>
      </c>
      <c r="C50" s="16" t="n">
        <v>41</v>
      </c>
      <c r="D50" s="17" t="inlineStr">
        <is>
          <t>PRODUCE</t>
        </is>
      </c>
      <c r="E50" s="17" t="inlineStr">
        <is>
          <t>MEDIUM</t>
        </is>
      </c>
      <c r="F50" s="17" t="inlineStr">
        <is>
          <t>TRUNG BÌNH</t>
        </is>
      </c>
      <c r="G50" s="18" t="inlineStr">
        <is>
          <t>RISK_MEDIUM · LARGE_SERIES</t>
        </is>
      </c>
      <c r="H50" s="19" t="n">
        <v>29618.39619453125</v>
      </c>
      <c r="I50" s="19" t="n">
        <v>36298.13134765625</v>
      </c>
      <c r="J50" s="19" t="n">
        <v>48433.77587890625</v>
      </c>
      <c r="K50" s="19" t="n">
        <v>36298.13134765625</v>
      </c>
      <c r="L50" s="19" t="n">
        <v>43882.9091796875</v>
      </c>
      <c r="M50" s="19" t="n">
        <v>48433.77587890625</v>
      </c>
      <c r="N50" s="17" t="inlineStr">
        <is>
          <t>C</t>
        </is>
      </c>
      <c r="O50" s="19" t="n">
        <v>19395.27080078125</v>
      </c>
      <c r="P50" s="18" t="inlineStr">
        <is>
          <t>KHÔNG ĐỀ XUẤT TĂNG</t>
        </is>
      </c>
      <c r="Q50" s="17" t="inlineStr">
        <is>
          <t>Không</t>
        </is>
      </c>
      <c r="R50" s="20" t="n"/>
      <c r="S50" s="20" t="n"/>
      <c r="T50" s="21" t="n"/>
      <c r="U50" s="21" t="n"/>
      <c r="V50" s="22">
        <f>IF(U50="A",K50,IF(U50="B",L50,IF(U50="C",M50,IF(N50="A",K50,IF(N50="B",L50,M50)))))</f>
        <v/>
      </c>
      <c r="W50" s="22">
        <f>IF(R50="",O50,MAX(V50-R50-N(S50),0))</f>
        <v/>
      </c>
      <c r="X50" s="20" t="n"/>
      <c r="Y50" s="23">
        <f>IF(OR(X50="",W50=0),"",X50/W50-1)</f>
        <v/>
      </c>
      <c r="Z50" s="24" t="n"/>
      <c r="AA50" s="21" t="n"/>
      <c r="AB50" s="25" t="n"/>
      <c r="AC50" s="26">
        <f>IF(T50="","Chưa quyết định",IF(OR(Z50="",AA50=""),"⚠ Thiếu lý do/người duyệt",IF(AND(X50&lt;&gt;"",N(X50)+N(R50)+N(S50)&gt;M50*1.001,R50&lt;&gt;""),"⚠ Vượt mục tiêu P90",IF(AND(Y50&lt;&gt;"",ABS(N(Y50))&gt;0.3),"⚠ Lệch &gt; 30% so với nhu cầu",IF(Q50="Có","ℹ Kiểm tra ngoại suy KM","✓ Hợp lệ")))))</f>
        <v/>
      </c>
    </row>
    <row r="51">
      <c r="A51" s="16" t="n">
        <v>47</v>
      </c>
      <c r="B51" s="17" t="inlineStr">
        <is>
          <t>DEC-S16-GROCERY_I</t>
        </is>
      </c>
      <c r="C51" s="16" t="n">
        <v>16</v>
      </c>
      <c r="D51" s="17" t="inlineStr">
        <is>
          <t>GROCERY I</t>
        </is>
      </c>
      <c r="E51" s="17" t="inlineStr">
        <is>
          <t>MEDIUM</t>
        </is>
      </c>
      <c r="F51" s="17" t="inlineStr">
        <is>
          <t>TRUNG BÌNH</t>
        </is>
      </c>
      <c r="G51" s="18" t="inlineStr">
        <is>
          <t>RISK_MEDIUM · LARGE_SERIES</t>
        </is>
      </c>
      <c r="H51" s="19" t="n">
        <v>29304.76631171875</v>
      </c>
      <c r="I51" s="19" t="n">
        <v>35984.50146484375</v>
      </c>
      <c r="J51" s="19" t="n">
        <v>48120.14599609375</v>
      </c>
      <c r="K51" s="19" t="n">
        <v>35984.50146484375</v>
      </c>
      <c r="L51" s="19" t="n">
        <v>43569.279296875</v>
      </c>
      <c r="M51" s="19" t="n">
        <v>48120.14599609375</v>
      </c>
      <c r="N51" s="17" t="inlineStr">
        <is>
          <t>C</t>
        </is>
      </c>
      <c r="O51" s="19" t="n">
        <v>19332.54482421875</v>
      </c>
      <c r="P51" s="18" t="inlineStr">
        <is>
          <t>KHÔNG ĐỀ XUẤT TĂNG</t>
        </is>
      </c>
      <c r="Q51" s="17" t="inlineStr">
        <is>
          <t>Không</t>
        </is>
      </c>
      <c r="R51" s="20" t="n"/>
      <c r="S51" s="20" t="n"/>
      <c r="T51" s="21" t="n"/>
      <c r="U51" s="21" t="n"/>
      <c r="V51" s="22">
        <f>IF(U51="A",K51,IF(U51="B",L51,IF(U51="C",M51,IF(N51="A",K51,IF(N51="B",L51,M51)))))</f>
        <v/>
      </c>
      <c r="W51" s="22">
        <f>IF(R51="",O51,MAX(V51-R51-N(S51),0))</f>
        <v/>
      </c>
      <c r="X51" s="20" t="n"/>
      <c r="Y51" s="23">
        <f>IF(OR(X51="",W51=0),"",X51/W51-1)</f>
        <v/>
      </c>
      <c r="Z51" s="24" t="n"/>
      <c r="AA51" s="21" t="n"/>
      <c r="AB51" s="25" t="n"/>
      <c r="AC51" s="26">
        <f>IF(T51="","Chưa quyết định",IF(OR(Z51="",AA51=""),"⚠ Thiếu lý do/người duyệt",IF(AND(X51&lt;&gt;"",N(X51)+N(R51)+N(S51)&gt;M51*1.001,R51&lt;&gt;""),"⚠ Vượt mục tiêu P90",IF(AND(Y51&lt;&gt;"",ABS(N(Y51))&gt;0.3),"⚠ Lệch &gt; 30% so với nhu cầu",IF(Q51="Có","ℹ Kiểm tra ngoại suy KM","✓ Hợp lệ")))))</f>
        <v/>
      </c>
    </row>
    <row r="52">
      <c r="A52" s="16" t="n">
        <v>48</v>
      </c>
      <c r="B52" s="17" t="inlineStr">
        <is>
          <t>DEC-S33-BEVERAGES</t>
        </is>
      </c>
      <c r="C52" s="16" t="n">
        <v>33</v>
      </c>
      <c r="D52" s="17" t="inlineStr">
        <is>
          <t>BEVERAGES</t>
        </is>
      </c>
      <c r="E52" s="17" t="inlineStr">
        <is>
          <t>MEDIUM</t>
        </is>
      </c>
      <c r="F52" s="17" t="inlineStr">
        <is>
          <t>TRUNG BÌNH</t>
        </is>
      </c>
      <c r="G52" s="18" t="inlineStr">
        <is>
          <t>RISK_MEDIUM · LARGE_SERIES</t>
        </is>
      </c>
      <c r="H52" s="19" t="n">
        <v>29261.41145332032</v>
      </c>
      <c r="I52" s="19" t="n">
        <v>35941.14660644531</v>
      </c>
      <c r="J52" s="19" t="n">
        <v>48076.79113769531</v>
      </c>
      <c r="K52" s="19" t="n">
        <v>35941.14660644531</v>
      </c>
      <c r="L52" s="19" t="n">
        <v>43525.92443847656</v>
      </c>
      <c r="M52" s="19" t="n">
        <v>48076.79113769531</v>
      </c>
      <c r="N52" s="17" t="inlineStr">
        <is>
          <t>C</t>
        </is>
      </c>
      <c r="O52" s="19" t="n">
        <v>19323.87385253906</v>
      </c>
      <c r="P52" s="18" t="inlineStr">
        <is>
          <t>KHÔNG ĐỀ XUẤT TĂNG</t>
        </is>
      </c>
      <c r="Q52" s="17" t="inlineStr">
        <is>
          <t>Không</t>
        </is>
      </c>
      <c r="R52" s="20" t="n"/>
      <c r="S52" s="20" t="n"/>
      <c r="T52" s="21" t="n"/>
      <c r="U52" s="21" t="n"/>
      <c r="V52" s="22">
        <f>IF(U52="A",K52,IF(U52="B",L52,IF(U52="C",M52,IF(N52="A",K52,IF(N52="B",L52,M52)))))</f>
        <v/>
      </c>
      <c r="W52" s="22">
        <f>IF(R52="",O52,MAX(V52-R52-N(S52),0))</f>
        <v/>
      </c>
      <c r="X52" s="20" t="n"/>
      <c r="Y52" s="23">
        <f>IF(OR(X52="",W52=0),"",X52/W52-1)</f>
        <v/>
      </c>
      <c r="Z52" s="24" t="n"/>
      <c r="AA52" s="21" t="n"/>
      <c r="AB52" s="25" t="n"/>
      <c r="AC52" s="26">
        <f>IF(T52="","Chưa quyết định",IF(OR(Z52="",AA52=""),"⚠ Thiếu lý do/người duyệt",IF(AND(X52&lt;&gt;"",N(X52)+N(R52)+N(S52)&gt;M52*1.001,R52&lt;&gt;""),"⚠ Vượt mục tiêu P90",IF(AND(Y52&lt;&gt;"",ABS(N(Y52))&gt;0.3),"⚠ Lệch &gt; 30% so với nhu cầu",IF(Q52="Có","ℹ Kiểm tra ngoại suy KM","✓ Hợp lệ")))))</f>
        <v/>
      </c>
    </row>
    <row r="53">
      <c r="A53" s="16" t="n">
        <v>49</v>
      </c>
      <c r="B53" s="17" t="inlineStr">
        <is>
          <t>DEC-S03-DAIRY</t>
        </is>
      </c>
      <c r="C53" s="16" t="n">
        <v>3</v>
      </c>
      <c r="D53" s="17" t="inlineStr">
        <is>
          <t>DAIRY</t>
        </is>
      </c>
      <c r="E53" s="17" t="inlineStr">
        <is>
          <t>MEDIUM</t>
        </is>
      </c>
      <c r="F53" s="17" t="inlineStr">
        <is>
          <t>TRUNG BÌNH</t>
        </is>
      </c>
      <c r="G53" s="18" t="inlineStr">
        <is>
          <t>RISK_MEDIUM · LARGE_SERIES</t>
        </is>
      </c>
      <c r="H53" s="19" t="n">
        <v>28749.36445625</v>
      </c>
      <c r="I53" s="19" t="n">
        <v>35429.099609375</v>
      </c>
      <c r="J53" s="19" t="n">
        <v>47564.744140625</v>
      </c>
      <c r="K53" s="19" t="n">
        <v>35429.099609375</v>
      </c>
      <c r="L53" s="19" t="n">
        <v>43013.87744140625</v>
      </c>
      <c r="M53" s="19" t="n">
        <v>47564.744140625</v>
      </c>
      <c r="N53" s="17" t="inlineStr">
        <is>
          <t>C</t>
        </is>
      </c>
      <c r="O53" s="19" t="n">
        <v>19221.464453125</v>
      </c>
      <c r="P53" s="18" t="inlineStr">
        <is>
          <t>KHÔNG ĐỀ XUẤT TĂNG</t>
        </is>
      </c>
      <c r="Q53" s="17" t="inlineStr">
        <is>
          <t>Không</t>
        </is>
      </c>
      <c r="R53" s="20" t="n"/>
      <c r="S53" s="20" t="n"/>
      <c r="T53" s="21" t="n"/>
      <c r="U53" s="21" t="n"/>
      <c r="V53" s="22">
        <f>IF(U53="A",K53,IF(U53="B",L53,IF(U53="C",M53,IF(N53="A",K53,IF(N53="B",L53,M53)))))</f>
        <v/>
      </c>
      <c r="W53" s="22">
        <f>IF(R53="",O53,MAX(V53-R53-N(S53),0))</f>
        <v/>
      </c>
      <c r="X53" s="20" t="n"/>
      <c r="Y53" s="23">
        <f>IF(OR(X53="",W53=0),"",X53/W53-1)</f>
        <v/>
      </c>
      <c r="Z53" s="24" t="n"/>
      <c r="AA53" s="21" t="n"/>
      <c r="AB53" s="25" t="n"/>
      <c r="AC53" s="26">
        <f>IF(T53="","Chưa quyết định",IF(OR(Z53="",AA53=""),"⚠ Thiếu lý do/người duyệt",IF(AND(X53&lt;&gt;"",N(X53)+N(R53)+N(S53)&gt;M53*1.001,R53&lt;&gt;""),"⚠ Vượt mục tiêu P90",IF(AND(Y53&lt;&gt;"",ABS(N(Y53))&gt;0.3),"⚠ Lệch &gt; 30% so với nhu cầu",IF(Q53="Có","ℹ Kiểm tra ngoại suy KM","✓ Hợp lệ")))))</f>
        <v/>
      </c>
    </row>
    <row r="54">
      <c r="A54" s="16" t="n">
        <v>50</v>
      </c>
      <c r="B54" s="17" t="inlineStr">
        <is>
          <t>DEC-S01-BEVERAGES</t>
        </is>
      </c>
      <c r="C54" s="16" t="n">
        <v>1</v>
      </c>
      <c r="D54" s="17" t="inlineStr">
        <is>
          <t>BEVERAGES</t>
        </is>
      </c>
      <c r="E54" s="17" t="inlineStr">
        <is>
          <t>MEDIUM</t>
        </is>
      </c>
      <c r="F54" s="17" t="inlineStr">
        <is>
          <t>TRUNG BÌNH</t>
        </is>
      </c>
      <c r="G54" s="18" t="inlineStr">
        <is>
          <t>RISK_MEDIUM · LARGE_SERIES</t>
        </is>
      </c>
      <c r="H54" s="19" t="n">
        <v>29039.97392851562</v>
      </c>
      <c r="I54" s="19" t="n">
        <v>35129.77465820312</v>
      </c>
      <c r="J54" s="19" t="n">
        <v>46056.26834082032</v>
      </c>
      <c r="K54" s="19" t="n">
        <v>35129.77465820312</v>
      </c>
      <c r="L54" s="19" t="n">
        <v>41958.83320983887</v>
      </c>
      <c r="M54" s="19" t="n">
        <v>46056.26834082032</v>
      </c>
      <c r="N54" s="17" t="inlineStr">
        <is>
          <t>C</t>
        </is>
      </c>
      <c r="O54" s="19" t="n">
        <v>17952.44861425782</v>
      </c>
      <c r="P54" s="18" t="inlineStr">
        <is>
          <t>KHÔNG ĐỀ XUẤT TĂNG</t>
        </is>
      </c>
      <c r="Q54" s="17" t="inlineStr">
        <is>
          <t>Không</t>
        </is>
      </c>
      <c r="R54" s="20" t="n"/>
      <c r="S54" s="20" t="n"/>
      <c r="T54" s="21" t="n"/>
      <c r="U54" s="21" t="n"/>
      <c r="V54" s="22">
        <f>IF(U54="A",K54,IF(U54="B",L54,IF(U54="C",M54,IF(N54="A",K54,IF(N54="B",L54,M54)))))</f>
        <v/>
      </c>
      <c r="W54" s="22">
        <f>IF(R54="",O54,MAX(V54-R54-N(S54),0))</f>
        <v/>
      </c>
      <c r="X54" s="20" t="n"/>
      <c r="Y54" s="23">
        <f>IF(OR(X54="",W54=0),"",X54/W54-1)</f>
        <v/>
      </c>
      <c r="Z54" s="24" t="n"/>
      <c r="AA54" s="21" t="n"/>
      <c r="AB54" s="25" t="n"/>
      <c r="AC54" s="26">
        <f>IF(T54="","Chưa quyết định",IF(OR(Z54="",AA54=""),"⚠ Thiếu lý do/người duyệt",IF(AND(X54&lt;&gt;"",N(X54)+N(R54)+N(S54)&gt;M54*1.001,R54&lt;&gt;""),"⚠ Vượt mục tiêu P90",IF(AND(Y54&lt;&gt;"",ABS(N(Y54))&gt;0.3),"⚠ Lệch &gt; 30% so với nhu cầu",IF(Q54="Có","ℹ Kiểm tra ngoại suy KM","✓ Hợp lệ")))))</f>
        <v/>
      </c>
    </row>
    <row r="55">
      <c r="A55" s="16" t="n">
        <v>51</v>
      </c>
      <c r="B55" s="17" t="inlineStr">
        <is>
          <t>DEC-S03-CLEANING</t>
        </is>
      </c>
      <c r="C55" s="16" t="n">
        <v>3</v>
      </c>
      <c r="D55" s="17" t="inlineStr">
        <is>
          <t>CLEANING</t>
        </is>
      </c>
      <c r="E55" s="17" t="inlineStr">
        <is>
          <t>MEDIUM</t>
        </is>
      </c>
      <c r="F55" s="17" t="inlineStr">
        <is>
          <t>TRUNG BÌNH</t>
        </is>
      </c>
      <c r="G55" s="18" t="inlineStr">
        <is>
          <t>RISK_MEDIUM · LARGE_SERIES</t>
        </is>
      </c>
      <c r="H55" s="19" t="n">
        <v>27643.05073554688</v>
      </c>
      <c r="I55" s="19" t="n">
        <v>34322.78588867188</v>
      </c>
      <c r="J55" s="19" t="n">
        <v>46458.43041992188</v>
      </c>
      <c r="K55" s="19" t="n">
        <v>34322.78588867188</v>
      </c>
      <c r="L55" s="19" t="n">
        <v>41907.56372070313</v>
      </c>
      <c r="M55" s="19" t="n">
        <v>46458.43041992188</v>
      </c>
      <c r="N55" s="17" t="inlineStr">
        <is>
          <t>C</t>
        </is>
      </c>
      <c r="O55" s="19" t="n">
        <v>19000.20170898438</v>
      </c>
      <c r="P55" s="18" t="inlineStr">
        <is>
          <t>KHÔNG ĐỀ XUẤT TĂNG</t>
        </is>
      </c>
      <c r="Q55" s="17" t="inlineStr">
        <is>
          <t>Không</t>
        </is>
      </c>
      <c r="R55" s="20" t="n"/>
      <c r="S55" s="20" t="n"/>
      <c r="T55" s="21" t="n"/>
      <c r="U55" s="21" t="n"/>
      <c r="V55" s="22">
        <f>IF(U55="A",K55,IF(U55="B",L55,IF(U55="C",M55,IF(N55="A",K55,IF(N55="B",L55,M55)))))</f>
        <v/>
      </c>
      <c r="W55" s="22">
        <f>IF(R55="",O55,MAX(V55-R55-N(S55),0))</f>
        <v/>
      </c>
      <c r="X55" s="20" t="n"/>
      <c r="Y55" s="23">
        <f>IF(OR(X55="",W55=0),"",X55/W55-1)</f>
        <v/>
      </c>
      <c r="Z55" s="24" t="n"/>
      <c r="AA55" s="21" t="n"/>
      <c r="AB55" s="25" t="n"/>
      <c r="AC55" s="26">
        <f>IF(T55="","Chưa quyết định",IF(OR(Z55="",AA55=""),"⚠ Thiếu lý do/người duyệt",IF(AND(X55&lt;&gt;"",N(X55)+N(R55)+N(S55)&gt;M55*1.001,R55&lt;&gt;""),"⚠ Vượt mục tiêu P90",IF(AND(Y55&lt;&gt;"",ABS(N(Y55))&gt;0.3),"⚠ Lệch &gt; 30% so với nhu cầu",IF(Q55="Có","ℹ Kiểm tra ngoại suy KM","✓ Hợp lệ")))))</f>
        <v/>
      </c>
    </row>
    <row r="56">
      <c r="A56" s="16" t="n">
        <v>52</v>
      </c>
      <c r="B56" s="17" t="inlineStr">
        <is>
          <t>DEC-S53-PRODUCE</t>
        </is>
      </c>
      <c r="C56" s="16" t="n">
        <v>53</v>
      </c>
      <c r="D56" s="17" t="inlineStr">
        <is>
          <t>PRODUCE</t>
        </is>
      </c>
      <c r="E56" s="17" t="inlineStr">
        <is>
          <t>MEDIUM</t>
        </is>
      </c>
      <c r="F56" s="17" t="inlineStr">
        <is>
          <t>TRUNG BÌNH</t>
        </is>
      </c>
      <c r="G56" s="18" t="inlineStr">
        <is>
          <t>RISK_MEDIUM · LARGE_SERIES</t>
        </is>
      </c>
      <c r="H56" s="19" t="n">
        <v>27640.10505683594</v>
      </c>
      <c r="I56" s="19" t="n">
        <v>34319.84020996094</v>
      </c>
      <c r="J56" s="19" t="n">
        <v>46455.48474121094</v>
      </c>
      <c r="K56" s="19" t="n">
        <v>34319.84020996094</v>
      </c>
      <c r="L56" s="19" t="n">
        <v>41904.61804199219</v>
      </c>
      <c r="M56" s="19" t="n">
        <v>46455.48474121094</v>
      </c>
      <c r="N56" s="17" t="inlineStr">
        <is>
          <t>C</t>
        </is>
      </c>
      <c r="O56" s="19" t="n">
        <v>18999.61257324218</v>
      </c>
      <c r="P56" s="18" t="inlineStr">
        <is>
          <t>KHÔNG ĐỀ XUẤT TĂNG</t>
        </is>
      </c>
      <c r="Q56" s="17" t="inlineStr">
        <is>
          <t>Không</t>
        </is>
      </c>
      <c r="R56" s="20" t="n"/>
      <c r="S56" s="20" t="n"/>
      <c r="T56" s="21" t="n"/>
      <c r="U56" s="21" t="n"/>
      <c r="V56" s="22">
        <f>IF(U56="A",K56,IF(U56="B",L56,IF(U56="C",M56,IF(N56="A",K56,IF(N56="B",L56,M56)))))</f>
        <v/>
      </c>
      <c r="W56" s="22">
        <f>IF(R56="",O56,MAX(V56-R56-N(S56),0))</f>
        <v/>
      </c>
      <c r="X56" s="20" t="n"/>
      <c r="Y56" s="23">
        <f>IF(OR(X56="",W56=0),"",X56/W56-1)</f>
        <v/>
      </c>
      <c r="Z56" s="24" t="n"/>
      <c r="AA56" s="21" t="n"/>
      <c r="AB56" s="25" t="n"/>
      <c r="AC56" s="26">
        <f>IF(T56="","Chưa quyết định",IF(OR(Z56="",AA56=""),"⚠ Thiếu lý do/người duyệt",IF(AND(X56&lt;&gt;"",N(X56)+N(R56)+N(S56)&gt;M56*1.001,R56&lt;&gt;""),"⚠ Vượt mục tiêu P90",IF(AND(Y56&lt;&gt;"",ABS(N(Y56))&gt;0.3),"⚠ Lệch &gt; 30% so với nhu cầu",IF(Q56="Có","ℹ Kiểm tra ngoại suy KM","✓ Hợp lệ")))))</f>
        <v/>
      </c>
    </row>
    <row r="57">
      <c r="A57" s="16" t="n">
        <v>53</v>
      </c>
      <c r="B57" s="17" t="inlineStr">
        <is>
          <t>DEC-S38-PRODUCE</t>
        </is>
      </c>
      <c r="C57" s="16" t="n">
        <v>38</v>
      </c>
      <c r="D57" s="17" t="inlineStr">
        <is>
          <t>PRODUCE</t>
        </is>
      </c>
      <c r="E57" s="17" t="inlineStr">
        <is>
          <t>MEDIUM</t>
        </is>
      </c>
      <c r="F57" s="17" t="inlineStr">
        <is>
          <t>TRUNG BÌNH</t>
        </is>
      </c>
      <c r="G57" s="18" t="inlineStr">
        <is>
          <t>RISK_MEDIUM · LARGE_SERIES</t>
        </is>
      </c>
      <c r="H57" s="19" t="n">
        <v>27621.99458320313</v>
      </c>
      <c r="I57" s="19" t="n">
        <v>34301.72973632812</v>
      </c>
      <c r="J57" s="19" t="n">
        <v>46437.37426757812</v>
      </c>
      <c r="K57" s="19" t="n">
        <v>34301.72973632812</v>
      </c>
      <c r="L57" s="19" t="n">
        <v>41886.50756835938</v>
      </c>
      <c r="M57" s="19" t="n">
        <v>46437.37426757812</v>
      </c>
      <c r="N57" s="17" t="inlineStr">
        <is>
          <t>C</t>
        </is>
      </c>
      <c r="O57" s="19" t="n">
        <v>18995.99047851562</v>
      </c>
      <c r="P57" s="18" t="inlineStr">
        <is>
          <t>KHÔNG ĐỀ XUẤT TĂNG</t>
        </is>
      </c>
      <c r="Q57" s="17" t="inlineStr">
        <is>
          <t>Không</t>
        </is>
      </c>
      <c r="R57" s="20" t="n"/>
      <c r="S57" s="20" t="n"/>
      <c r="T57" s="21" t="n"/>
      <c r="U57" s="21" t="n"/>
      <c r="V57" s="22">
        <f>IF(U57="A",K57,IF(U57="B",L57,IF(U57="C",M57,IF(N57="A",K57,IF(N57="B",L57,M57)))))</f>
        <v/>
      </c>
      <c r="W57" s="22">
        <f>IF(R57="",O57,MAX(V57-R57-N(S57),0))</f>
        <v/>
      </c>
      <c r="X57" s="20" t="n"/>
      <c r="Y57" s="23">
        <f>IF(OR(X57="",W57=0),"",X57/W57-1)</f>
        <v/>
      </c>
      <c r="Z57" s="24" t="n"/>
      <c r="AA57" s="21" t="n"/>
      <c r="AB57" s="25" t="n"/>
      <c r="AC57" s="26">
        <f>IF(T57="","Chưa quyết định",IF(OR(Z57="",AA57=""),"⚠ Thiếu lý do/người duyệt",IF(AND(X57&lt;&gt;"",N(X57)+N(R57)+N(S57)&gt;M57*1.001,R57&lt;&gt;""),"⚠ Vượt mục tiêu P90",IF(AND(Y57&lt;&gt;"",ABS(N(Y57))&gt;0.3),"⚠ Lệch &gt; 30% so với nhu cầu",IF(Q57="Có","ℹ Kiểm tra ngoại suy KM","✓ Hợp lệ")))))</f>
        <v/>
      </c>
    </row>
    <row r="58">
      <c r="A58" s="16" t="n">
        <v>54</v>
      </c>
      <c r="B58" s="17" t="inlineStr">
        <is>
          <t>DEC-S49-CLEANING</t>
        </is>
      </c>
      <c r="C58" s="16" t="n">
        <v>49</v>
      </c>
      <c r="D58" s="17" t="inlineStr">
        <is>
          <t>CLEANING</t>
        </is>
      </c>
      <c r="E58" s="17" t="inlineStr">
        <is>
          <t>MEDIUM</t>
        </is>
      </c>
      <c r="F58" s="17" t="inlineStr">
        <is>
          <t>TRUNG BÌNH</t>
        </is>
      </c>
      <c r="G58" s="18" t="inlineStr">
        <is>
          <t>RISK_MEDIUM · LARGE_SERIES</t>
        </is>
      </c>
      <c r="H58" s="19" t="n">
        <v>27484.11030585938</v>
      </c>
      <c r="I58" s="19" t="n">
        <v>34163.84545898438</v>
      </c>
      <c r="J58" s="19" t="n">
        <v>46299.48999023438</v>
      </c>
      <c r="K58" s="19" t="n">
        <v>34163.84545898438</v>
      </c>
      <c r="L58" s="19" t="n">
        <v>41748.62329101562</v>
      </c>
      <c r="M58" s="19" t="n">
        <v>46299.48999023438</v>
      </c>
      <c r="N58" s="17" t="inlineStr">
        <is>
          <t>C</t>
        </is>
      </c>
      <c r="O58" s="19" t="n">
        <v>18968.41362304687</v>
      </c>
      <c r="P58" s="18" t="inlineStr">
        <is>
          <t>KHÔNG ĐỀ XUẤT TĂNG</t>
        </is>
      </c>
      <c r="Q58" s="17" t="inlineStr">
        <is>
          <t>Không</t>
        </is>
      </c>
      <c r="R58" s="20" t="n"/>
      <c r="S58" s="20" t="n"/>
      <c r="T58" s="21" t="n"/>
      <c r="U58" s="21" t="n"/>
      <c r="V58" s="22">
        <f>IF(U58="A",K58,IF(U58="B",L58,IF(U58="C",M58,IF(N58="A",K58,IF(N58="B",L58,M58)))))</f>
        <v/>
      </c>
      <c r="W58" s="22">
        <f>IF(R58="",O58,MAX(V58-R58-N(S58),0))</f>
        <v/>
      </c>
      <c r="X58" s="20" t="n"/>
      <c r="Y58" s="23">
        <f>IF(OR(X58="",W58=0),"",X58/W58-1)</f>
        <v/>
      </c>
      <c r="Z58" s="24" t="n"/>
      <c r="AA58" s="21" t="n"/>
      <c r="AB58" s="25" t="n"/>
      <c r="AC58" s="26">
        <f>IF(T58="","Chưa quyết định",IF(OR(Z58="",AA58=""),"⚠ Thiếu lý do/người duyệt",IF(AND(X58&lt;&gt;"",N(X58)+N(R58)+N(S58)&gt;M58*1.001,R58&lt;&gt;""),"⚠ Vượt mục tiêu P90",IF(AND(Y58&lt;&gt;"",ABS(N(Y58))&gt;0.3),"⚠ Lệch &gt; 30% so với nhu cầu",IF(Q58="Có","ℹ Kiểm tra ngoại suy KM","✓ Hợp lệ")))))</f>
        <v/>
      </c>
    </row>
    <row r="59">
      <c r="A59" s="16" t="n">
        <v>55</v>
      </c>
      <c r="B59" s="17" t="inlineStr">
        <is>
          <t>DEC-S48-PRODUCE</t>
        </is>
      </c>
      <c r="C59" s="16" t="n">
        <v>48</v>
      </c>
      <c r="D59" s="17" t="inlineStr">
        <is>
          <t>PRODUCE</t>
        </is>
      </c>
      <c r="E59" s="17" t="inlineStr">
        <is>
          <t>MEDIUM</t>
        </is>
      </c>
      <c r="F59" s="17" t="inlineStr">
        <is>
          <t>TRUNG BÌNH</t>
        </is>
      </c>
      <c r="G59" s="18" t="inlineStr">
        <is>
          <t>RISK_MEDIUM · LARGE_SERIES</t>
        </is>
      </c>
      <c r="H59" s="19" t="n">
        <v>26691.592971875</v>
      </c>
      <c r="I59" s="19" t="n">
        <v>33371.328125</v>
      </c>
      <c r="J59" s="19" t="n">
        <v>45506.97265625</v>
      </c>
      <c r="K59" s="19" t="n">
        <v>33371.328125</v>
      </c>
      <c r="L59" s="19" t="n">
        <v>40956.10595703125</v>
      </c>
      <c r="M59" s="19" t="n">
        <v>45506.97265625</v>
      </c>
      <c r="N59" s="17" t="inlineStr">
        <is>
          <t>C</t>
        </is>
      </c>
      <c r="O59" s="19" t="n">
        <v>18809.91015625</v>
      </c>
      <c r="P59" s="18" t="inlineStr">
        <is>
          <t>KHÔNG ĐỀ XUẤT TĂNG</t>
        </is>
      </c>
      <c r="Q59" s="17" t="inlineStr">
        <is>
          <t>Không</t>
        </is>
      </c>
      <c r="R59" s="20" t="n"/>
      <c r="S59" s="20" t="n"/>
      <c r="T59" s="21" t="n"/>
      <c r="U59" s="21" t="n"/>
      <c r="V59" s="22">
        <f>IF(U59="A",K59,IF(U59="B",L59,IF(U59="C",M59,IF(N59="A",K59,IF(N59="B",L59,M59)))))</f>
        <v/>
      </c>
      <c r="W59" s="22">
        <f>IF(R59="",O59,MAX(V59-R59-N(S59),0))</f>
        <v/>
      </c>
      <c r="X59" s="20" t="n"/>
      <c r="Y59" s="23">
        <f>IF(OR(X59="",W59=0),"",X59/W59-1)</f>
        <v/>
      </c>
      <c r="Z59" s="24" t="n"/>
      <c r="AA59" s="21" t="n"/>
      <c r="AB59" s="25" t="n"/>
      <c r="AC59" s="26">
        <f>IF(T59="","Chưa quyết định",IF(OR(Z59="",AA59=""),"⚠ Thiếu lý do/người duyệt",IF(AND(X59&lt;&gt;"",N(X59)+N(R59)+N(S59)&gt;M59*1.001,R59&lt;&gt;""),"⚠ Vượt mục tiêu P90",IF(AND(Y59&lt;&gt;"",ABS(N(Y59))&gt;0.3),"⚠ Lệch &gt; 30% so với nhu cầu",IF(Q59="Có","ℹ Kiểm tra ngoại suy KM","✓ Hợp lệ")))))</f>
        <v/>
      </c>
    </row>
    <row r="60">
      <c r="A60" s="16" t="n">
        <v>56</v>
      </c>
      <c r="B60" s="17" t="inlineStr">
        <is>
          <t>DEC-S18-PRODUCE</t>
        </is>
      </c>
      <c r="C60" s="16" t="n">
        <v>18</v>
      </c>
      <c r="D60" s="17" t="inlineStr">
        <is>
          <t>PRODUCE</t>
        </is>
      </c>
      <c r="E60" s="17" t="inlineStr">
        <is>
          <t>MEDIUM</t>
        </is>
      </c>
      <c r="F60" s="17" t="inlineStr">
        <is>
          <t>TRUNG BÌNH</t>
        </is>
      </c>
      <c r="G60" s="18" t="inlineStr">
        <is>
          <t>RISK_MEDIUM · LARGE_SERIES</t>
        </is>
      </c>
      <c r="H60" s="19" t="n">
        <v>26787.2438383789</v>
      </c>
      <c r="I60" s="19" t="n">
        <v>33172.01177978516</v>
      </c>
      <c r="J60" s="19" t="n">
        <v>44703.08088671875</v>
      </c>
      <c r="K60" s="19" t="n">
        <v>33172.01177978516</v>
      </c>
      <c r="L60" s="19" t="n">
        <v>40378.92997161866</v>
      </c>
      <c r="M60" s="19" t="n">
        <v>44703.08088671875</v>
      </c>
      <c r="N60" s="17" t="inlineStr">
        <is>
          <t>C</t>
        </is>
      </c>
      <c r="O60" s="19" t="n">
        <v>18165.47146289062</v>
      </c>
      <c r="P60" s="18" t="inlineStr">
        <is>
          <t>KHÔNG ĐỀ XUẤT TĂNG</t>
        </is>
      </c>
      <c r="Q60" s="17" t="inlineStr">
        <is>
          <t>Không</t>
        </is>
      </c>
      <c r="R60" s="20" t="n"/>
      <c r="S60" s="20" t="n"/>
      <c r="T60" s="21" t="n"/>
      <c r="U60" s="21" t="n"/>
      <c r="V60" s="22">
        <f>IF(U60="A",K60,IF(U60="B",L60,IF(U60="C",M60,IF(N60="A",K60,IF(N60="B",L60,M60)))))</f>
        <v/>
      </c>
      <c r="W60" s="22">
        <f>IF(R60="",O60,MAX(V60-R60-N(S60),0))</f>
        <v/>
      </c>
      <c r="X60" s="20" t="n"/>
      <c r="Y60" s="23">
        <f>IF(OR(X60="",W60=0),"",X60/W60-1)</f>
        <v/>
      </c>
      <c r="Z60" s="24" t="n"/>
      <c r="AA60" s="21" t="n"/>
      <c r="AB60" s="25" t="n"/>
      <c r="AC60" s="26">
        <f>IF(T60="","Chưa quyết định",IF(OR(Z60="",AA60=""),"⚠ Thiếu lý do/người duyệt",IF(AND(X60&lt;&gt;"",N(X60)+N(R60)+N(S60)&gt;M60*1.001,R60&lt;&gt;""),"⚠ Vượt mục tiêu P90",IF(AND(Y60&lt;&gt;"",ABS(N(Y60))&gt;0.3),"⚠ Lệch &gt; 30% so với nhu cầu",IF(Q60="Có","ℹ Kiểm tra ngoại suy KM","✓ Hợp lệ")))))</f>
        <v/>
      </c>
    </row>
    <row r="61">
      <c r="A61" s="16" t="n">
        <v>57</v>
      </c>
      <c r="B61" s="17" t="inlineStr">
        <is>
          <t>DEC-S30-GROCERY_I</t>
        </is>
      </c>
      <c r="C61" s="16" t="n">
        <v>30</v>
      </c>
      <c r="D61" s="17" t="inlineStr">
        <is>
          <t>GROCERY I</t>
        </is>
      </c>
      <c r="E61" s="17" t="inlineStr">
        <is>
          <t>MEDIUM</t>
        </is>
      </c>
      <c r="F61" s="17" t="inlineStr">
        <is>
          <t>TRUNG BÌNH</t>
        </is>
      </c>
      <c r="G61" s="18" t="inlineStr">
        <is>
          <t>RISK_MEDIUM · LARGE_SERIES</t>
        </is>
      </c>
      <c r="H61" s="19" t="n">
        <v>26005.34773261719</v>
      </c>
      <c r="I61" s="19" t="n">
        <v>32685.08288574219</v>
      </c>
      <c r="J61" s="19" t="n">
        <v>44820.72741699219</v>
      </c>
      <c r="K61" s="19" t="n">
        <v>32685.08288574219</v>
      </c>
      <c r="L61" s="19" t="n">
        <v>40269.86071777344</v>
      </c>
      <c r="M61" s="19" t="n">
        <v>44820.72741699219</v>
      </c>
      <c r="N61" s="17" t="inlineStr">
        <is>
          <t>C</t>
        </is>
      </c>
      <c r="O61" s="19" t="n">
        <v>18672.66110839844</v>
      </c>
      <c r="P61" s="18" t="inlineStr">
        <is>
          <t>KHÔNG ĐỀ XUẤT TĂNG</t>
        </is>
      </c>
      <c r="Q61" s="17" t="inlineStr">
        <is>
          <t>Không</t>
        </is>
      </c>
      <c r="R61" s="20" t="n"/>
      <c r="S61" s="20" t="n"/>
      <c r="T61" s="21" t="n"/>
      <c r="U61" s="21" t="n"/>
      <c r="V61" s="22">
        <f>IF(U61="A",K61,IF(U61="B",L61,IF(U61="C",M61,IF(N61="A",K61,IF(N61="B",L61,M61)))))</f>
        <v/>
      </c>
      <c r="W61" s="22">
        <f>IF(R61="",O61,MAX(V61-R61-N(S61),0))</f>
        <v/>
      </c>
      <c r="X61" s="20" t="n"/>
      <c r="Y61" s="23">
        <f>IF(OR(X61="",W61=0),"",X61/W61-1)</f>
        <v/>
      </c>
      <c r="Z61" s="24" t="n"/>
      <c r="AA61" s="21" t="n"/>
      <c r="AB61" s="25" t="n"/>
      <c r="AC61" s="26">
        <f>IF(T61="","Chưa quyết định",IF(OR(Z61="",AA61=""),"⚠ Thiếu lý do/người duyệt",IF(AND(X61&lt;&gt;"",N(X61)+N(R61)+N(S61)&gt;M61*1.001,R61&lt;&gt;""),"⚠ Vượt mục tiêu P90",IF(AND(Y61&lt;&gt;"",ABS(N(Y61))&gt;0.3),"⚠ Lệch &gt; 30% so với nhu cầu",IF(Q61="Có","ℹ Kiểm tra ngoại suy KM","✓ Hợp lệ")))))</f>
        <v/>
      </c>
    </row>
    <row r="62">
      <c r="A62" s="16" t="n">
        <v>58</v>
      </c>
      <c r="B62" s="17" t="inlineStr">
        <is>
          <t>DEC-S11-CLEANING</t>
        </is>
      </c>
      <c r="C62" s="16" t="n">
        <v>11</v>
      </c>
      <c r="D62" s="17" t="inlineStr">
        <is>
          <t>CLEANING</t>
        </is>
      </c>
      <c r="E62" s="17" t="inlineStr">
        <is>
          <t>MEDIUM</t>
        </is>
      </c>
      <c r="F62" s="17" t="inlineStr">
        <is>
          <t>TRUNG BÌNH</t>
        </is>
      </c>
      <c r="G62" s="18" t="inlineStr">
        <is>
          <t>RISK_MEDIUM · LARGE_SERIES</t>
        </is>
      </c>
      <c r="H62" s="19" t="n">
        <v>25782.81428535156</v>
      </c>
      <c r="I62" s="19" t="n">
        <v>32462.54943847656</v>
      </c>
      <c r="J62" s="19" t="n">
        <v>44598.19396972656</v>
      </c>
      <c r="K62" s="19" t="n">
        <v>32462.54943847656</v>
      </c>
      <c r="L62" s="19" t="n">
        <v>40047.32727050781</v>
      </c>
      <c r="M62" s="19" t="n">
        <v>44598.19396972656</v>
      </c>
      <c r="N62" s="17" t="inlineStr">
        <is>
          <t>C</t>
        </is>
      </c>
      <c r="O62" s="19" t="n">
        <v>18628.15441894531</v>
      </c>
      <c r="P62" s="18" t="inlineStr">
        <is>
          <t>KHÔNG ĐỀ XUẤT TĂNG</t>
        </is>
      </c>
      <c r="Q62" s="17" t="inlineStr">
        <is>
          <t>Không</t>
        </is>
      </c>
      <c r="R62" s="20" t="n"/>
      <c r="S62" s="20" t="n"/>
      <c r="T62" s="21" t="n"/>
      <c r="U62" s="21" t="n"/>
      <c r="V62" s="22">
        <f>IF(U62="A",K62,IF(U62="B",L62,IF(U62="C",M62,IF(N62="A",K62,IF(N62="B",L62,M62)))))</f>
        <v/>
      </c>
      <c r="W62" s="22">
        <f>IF(R62="",O62,MAX(V62-R62-N(S62),0))</f>
        <v/>
      </c>
      <c r="X62" s="20" t="n"/>
      <c r="Y62" s="23">
        <f>IF(OR(X62="",W62=0),"",X62/W62-1)</f>
        <v/>
      </c>
      <c r="Z62" s="24" t="n"/>
      <c r="AA62" s="21" t="n"/>
      <c r="AB62" s="25" t="n"/>
      <c r="AC62" s="26">
        <f>IF(T62="","Chưa quyết định",IF(OR(Z62="",AA62=""),"⚠ Thiếu lý do/người duyệt",IF(AND(X62&lt;&gt;"",N(X62)+N(R62)+N(S62)&gt;M62*1.001,R62&lt;&gt;""),"⚠ Vượt mục tiêu P90",IF(AND(Y62&lt;&gt;"",ABS(N(Y62))&gt;0.3),"⚠ Lệch &gt; 30% so với nhu cầu",IF(Q62="Có","ℹ Kiểm tra ngoại suy KM","✓ Hợp lệ")))))</f>
        <v/>
      </c>
    </row>
    <row r="63">
      <c r="A63" s="16" t="n">
        <v>59</v>
      </c>
      <c r="B63" s="17" t="inlineStr">
        <is>
          <t>DEC-S39-PRODUCE</t>
        </is>
      </c>
      <c r="C63" s="16" t="n">
        <v>39</v>
      </c>
      <c r="D63" s="17" t="inlineStr">
        <is>
          <t>PRODUCE</t>
        </is>
      </c>
      <c r="E63" s="17" t="inlineStr">
        <is>
          <t>MEDIUM</t>
        </is>
      </c>
      <c r="F63" s="17" t="inlineStr">
        <is>
          <t>TRUNG BÌNH</t>
        </is>
      </c>
      <c r="G63" s="18" t="inlineStr">
        <is>
          <t>RISK_MEDIUM · LARGE_SERIES</t>
        </is>
      </c>
      <c r="H63" s="19" t="n">
        <v>25292.80439765625</v>
      </c>
      <c r="I63" s="19" t="n">
        <v>31972.53955078125</v>
      </c>
      <c r="J63" s="19" t="n">
        <v>44108.18408203125</v>
      </c>
      <c r="K63" s="19" t="n">
        <v>31972.53955078125</v>
      </c>
      <c r="L63" s="19" t="n">
        <v>39557.3173828125</v>
      </c>
      <c r="M63" s="19" t="n">
        <v>44108.18408203125</v>
      </c>
      <c r="N63" s="17" t="inlineStr">
        <is>
          <t>C</t>
        </is>
      </c>
      <c r="O63" s="19" t="n">
        <v>18530.15244140625</v>
      </c>
      <c r="P63" s="18" t="inlineStr">
        <is>
          <t>KHÔNG ĐỀ XUẤT TĂNG</t>
        </is>
      </c>
      <c r="Q63" s="17" t="inlineStr">
        <is>
          <t>Không</t>
        </is>
      </c>
      <c r="R63" s="20" t="n"/>
      <c r="S63" s="20" t="n"/>
      <c r="T63" s="21" t="n"/>
      <c r="U63" s="21" t="n"/>
      <c r="V63" s="22">
        <f>IF(U63="A",K63,IF(U63="B",L63,IF(U63="C",M63,IF(N63="A",K63,IF(N63="B",L63,M63)))))</f>
        <v/>
      </c>
      <c r="W63" s="22">
        <f>IF(R63="",O63,MAX(V63-R63-N(S63),0))</f>
        <v/>
      </c>
      <c r="X63" s="20" t="n"/>
      <c r="Y63" s="23">
        <f>IF(OR(X63="",W63=0),"",X63/W63-1)</f>
        <v/>
      </c>
      <c r="Z63" s="24" t="n"/>
      <c r="AA63" s="21" t="n"/>
      <c r="AB63" s="25" t="n"/>
      <c r="AC63" s="26">
        <f>IF(T63="","Chưa quyết định",IF(OR(Z63="",AA63=""),"⚠ Thiếu lý do/người duyệt",IF(AND(X63&lt;&gt;"",N(X63)+N(R63)+N(S63)&gt;M63*1.001,R63&lt;&gt;""),"⚠ Vượt mục tiêu P90",IF(AND(Y63&lt;&gt;"",ABS(N(Y63))&gt;0.3),"⚠ Lệch &gt; 30% so với nhu cầu",IF(Q63="Có","ℹ Kiểm tra ngoại suy KM","✓ Hợp lệ")))))</f>
        <v/>
      </c>
    </row>
    <row r="64">
      <c r="A64" s="16" t="n">
        <v>60</v>
      </c>
      <c r="B64" s="17" t="inlineStr">
        <is>
          <t>DEC-S05-BEVERAGES</t>
        </is>
      </c>
      <c r="C64" s="16" t="n">
        <v>5</v>
      </c>
      <c r="D64" s="17" t="inlineStr">
        <is>
          <t>BEVERAGES</t>
        </is>
      </c>
      <c r="E64" s="17" t="inlineStr">
        <is>
          <t>MEDIUM</t>
        </is>
      </c>
      <c r="F64" s="17" t="inlineStr">
        <is>
          <t>TRUNG BÌNH</t>
        </is>
      </c>
      <c r="G64" s="18" t="inlineStr">
        <is>
          <t>RISK_MEDIUM · LARGE_SERIES</t>
        </is>
      </c>
      <c r="H64" s="19" t="n">
        <v>24368.89888007813</v>
      </c>
      <c r="I64" s="19" t="n">
        <v>31048.63403320312</v>
      </c>
      <c r="J64" s="19" t="n">
        <v>43184.27856445312</v>
      </c>
      <c r="K64" s="19" t="n">
        <v>31048.63403320312</v>
      </c>
      <c r="L64" s="19" t="n">
        <v>38633.41186523438</v>
      </c>
      <c r="M64" s="19" t="n">
        <v>43184.27856445312</v>
      </c>
      <c r="N64" s="17" t="inlineStr">
        <is>
          <t>C</t>
        </is>
      </c>
      <c r="O64" s="19" t="n">
        <v>18345.37133789062</v>
      </c>
      <c r="P64" s="18" t="inlineStr">
        <is>
          <t>KHÔNG ĐỀ XUẤT TĂNG</t>
        </is>
      </c>
      <c r="Q64" s="17" t="inlineStr">
        <is>
          <t>Không</t>
        </is>
      </c>
      <c r="R64" s="20" t="n"/>
      <c r="S64" s="20" t="n"/>
      <c r="T64" s="21" t="n"/>
      <c r="U64" s="21" t="n"/>
      <c r="V64" s="22">
        <f>IF(U64="A",K64,IF(U64="B",L64,IF(U64="C",M64,IF(N64="A",K64,IF(N64="B",L64,M64)))))</f>
        <v/>
      </c>
      <c r="W64" s="22">
        <f>IF(R64="",O64,MAX(V64-R64-N(S64),0))</f>
        <v/>
      </c>
      <c r="X64" s="20" t="n"/>
      <c r="Y64" s="23">
        <f>IF(OR(X64="",W64=0),"",X64/W64-1)</f>
        <v/>
      </c>
      <c r="Z64" s="24" t="n"/>
      <c r="AA64" s="21" t="n"/>
      <c r="AB64" s="25" t="n"/>
      <c r="AC64" s="26">
        <f>IF(T64="","Chưa quyết định",IF(OR(Z64="",AA64=""),"⚠ Thiếu lý do/người duyệt",IF(AND(X64&lt;&gt;"",N(X64)+N(R64)+N(S64)&gt;M64*1.001,R64&lt;&gt;""),"⚠ Vượt mục tiêu P90",IF(AND(Y64&lt;&gt;"",ABS(N(Y64))&gt;0.3),"⚠ Lệch &gt; 30% so với nhu cầu",IF(Q64="Có","ℹ Kiểm tra ngoại suy KM","✓ Hợp lệ")))))</f>
        <v/>
      </c>
    </row>
    <row r="65">
      <c r="A65" s="16" t="n">
        <v>61</v>
      </c>
      <c r="B65" s="17" t="inlineStr">
        <is>
          <t>DEC-S35-GROCERY_I</t>
        </is>
      </c>
      <c r="C65" s="16" t="n">
        <v>35</v>
      </c>
      <c r="D65" s="17" t="inlineStr">
        <is>
          <t>GROCERY I</t>
        </is>
      </c>
      <c r="E65" s="17" t="inlineStr">
        <is>
          <t>MEDIUM</t>
        </is>
      </c>
      <c r="F65" s="17" t="inlineStr">
        <is>
          <t>TRUNG BÌNH</t>
        </is>
      </c>
      <c r="G65" s="18" t="inlineStr">
        <is>
          <t>RISK_MEDIUM · LARGE_SERIES</t>
        </is>
      </c>
      <c r="H65" s="19" t="n">
        <v>24225.44636542969</v>
      </c>
      <c r="I65" s="19" t="n">
        <v>30905.18151855469</v>
      </c>
      <c r="J65" s="19" t="n">
        <v>43040.82604980469</v>
      </c>
      <c r="K65" s="19" t="n">
        <v>30905.18151855469</v>
      </c>
      <c r="L65" s="19" t="n">
        <v>38489.95935058594</v>
      </c>
      <c r="M65" s="19" t="n">
        <v>43040.82604980469</v>
      </c>
      <c r="N65" s="17" t="inlineStr">
        <is>
          <t>C</t>
        </is>
      </c>
      <c r="O65" s="19" t="n">
        <v>18316.68083496093</v>
      </c>
      <c r="P65" s="18" t="inlineStr">
        <is>
          <t>KHÔNG ĐỀ XUẤT TĂNG</t>
        </is>
      </c>
      <c r="Q65" s="17" t="inlineStr">
        <is>
          <t>Không</t>
        </is>
      </c>
      <c r="R65" s="20" t="n"/>
      <c r="S65" s="20" t="n"/>
      <c r="T65" s="21" t="n"/>
      <c r="U65" s="21" t="n"/>
      <c r="V65" s="22">
        <f>IF(U65="A",K65,IF(U65="B",L65,IF(U65="C",M65,IF(N65="A",K65,IF(N65="B",L65,M65)))))</f>
        <v/>
      </c>
      <c r="W65" s="22">
        <f>IF(R65="",O65,MAX(V65-R65-N(S65),0))</f>
        <v/>
      </c>
      <c r="X65" s="20" t="n"/>
      <c r="Y65" s="23">
        <f>IF(OR(X65="",W65=0),"",X65/W65-1)</f>
        <v/>
      </c>
      <c r="Z65" s="24" t="n"/>
      <c r="AA65" s="21" t="n"/>
      <c r="AB65" s="25" t="n"/>
      <c r="AC65" s="26">
        <f>IF(T65="","Chưa quyết định",IF(OR(Z65="",AA65=""),"⚠ Thiếu lý do/người duyệt",IF(AND(X65&lt;&gt;"",N(X65)+N(R65)+N(S65)&gt;M65*1.001,R65&lt;&gt;""),"⚠ Vượt mục tiêu P90",IF(AND(Y65&lt;&gt;"",ABS(N(Y65))&gt;0.3),"⚠ Lệch &gt; 30% so với nhu cầu",IF(Q65="Có","ℹ Kiểm tra ngoại suy KM","✓ Hợp lệ")))))</f>
        <v/>
      </c>
    </row>
    <row r="66">
      <c r="A66" s="16" t="n">
        <v>62</v>
      </c>
      <c r="B66" s="17" t="inlineStr">
        <is>
          <t>DEC-S50-CLEANING</t>
        </is>
      </c>
      <c r="C66" s="16" t="n">
        <v>50</v>
      </c>
      <c r="D66" s="17" t="inlineStr">
        <is>
          <t>CLEANING</t>
        </is>
      </c>
      <c r="E66" s="17" t="inlineStr">
        <is>
          <t>MEDIUM</t>
        </is>
      </c>
      <c r="F66" s="17" t="inlineStr">
        <is>
          <t>TRUNG BÌNH</t>
        </is>
      </c>
      <c r="G66" s="18" t="inlineStr">
        <is>
          <t>RISK_MEDIUM · LARGE_SERIES</t>
        </is>
      </c>
      <c r="H66" s="19" t="n">
        <v>24114.40071113281</v>
      </c>
      <c r="I66" s="19" t="n">
        <v>30794.13586425781</v>
      </c>
      <c r="J66" s="19" t="n">
        <v>42929.78039550781</v>
      </c>
      <c r="K66" s="19" t="n">
        <v>30794.13586425781</v>
      </c>
      <c r="L66" s="19" t="n">
        <v>38378.91369628906</v>
      </c>
      <c r="M66" s="19" t="n">
        <v>42929.78039550781</v>
      </c>
      <c r="N66" s="17" t="inlineStr">
        <is>
          <t>C</t>
        </is>
      </c>
      <c r="O66" s="19" t="n">
        <v>18294.47170410156</v>
      </c>
      <c r="P66" s="18" t="inlineStr">
        <is>
          <t>KHÔNG ĐỀ XUẤT TĂNG</t>
        </is>
      </c>
      <c r="Q66" s="17" t="inlineStr">
        <is>
          <t>Không</t>
        </is>
      </c>
      <c r="R66" s="20" t="n"/>
      <c r="S66" s="20" t="n"/>
      <c r="T66" s="21" t="n"/>
      <c r="U66" s="21" t="n"/>
      <c r="V66" s="22">
        <f>IF(U66="A",K66,IF(U66="B",L66,IF(U66="C",M66,IF(N66="A",K66,IF(N66="B",L66,M66)))))</f>
        <v/>
      </c>
      <c r="W66" s="22">
        <f>IF(R66="",O66,MAX(V66-R66-N(S66),0))</f>
        <v/>
      </c>
      <c r="X66" s="20" t="n"/>
      <c r="Y66" s="23">
        <f>IF(OR(X66="",W66=0),"",X66/W66-1)</f>
        <v/>
      </c>
      <c r="Z66" s="24" t="n"/>
      <c r="AA66" s="21" t="n"/>
      <c r="AB66" s="25" t="n"/>
      <c r="AC66" s="26">
        <f>IF(T66="","Chưa quyết định",IF(OR(Z66="",AA66=""),"⚠ Thiếu lý do/người duyệt",IF(AND(X66&lt;&gt;"",N(X66)+N(R66)+N(S66)&gt;M66*1.001,R66&lt;&gt;""),"⚠ Vượt mục tiêu P90",IF(AND(Y66&lt;&gt;"",ABS(N(Y66))&gt;0.3),"⚠ Lệch &gt; 30% so với nhu cầu",IF(Q66="Có","ℹ Kiểm tra ngoại suy KM","✓ Hợp lệ")))))</f>
        <v/>
      </c>
    </row>
    <row r="67">
      <c r="A67" s="16" t="n">
        <v>63</v>
      </c>
      <c r="B67" s="17" t="inlineStr">
        <is>
          <t>DEC-S25-BEVERAGES</t>
        </is>
      </c>
      <c r="C67" s="16" t="n">
        <v>25</v>
      </c>
      <c r="D67" s="17" t="inlineStr">
        <is>
          <t>BEVERAGES</t>
        </is>
      </c>
      <c r="E67" s="17" t="inlineStr">
        <is>
          <t>MEDIUM</t>
        </is>
      </c>
      <c r="F67" s="17" t="inlineStr">
        <is>
          <t>TRUNG BÌNH</t>
        </is>
      </c>
      <c r="G67" s="18" t="inlineStr">
        <is>
          <t>RISK_MEDIUM · LARGE_SERIES</t>
        </is>
      </c>
      <c r="H67" s="19" t="n">
        <v>23975.2619171875</v>
      </c>
      <c r="I67" s="19" t="n">
        <v>30654.9970703125</v>
      </c>
      <c r="J67" s="19" t="n">
        <v>42790.6416015625</v>
      </c>
      <c r="K67" s="19" t="n">
        <v>30654.9970703125</v>
      </c>
      <c r="L67" s="19" t="n">
        <v>38239.77490234375</v>
      </c>
      <c r="M67" s="19" t="n">
        <v>42790.6416015625</v>
      </c>
      <c r="N67" s="17" t="inlineStr">
        <is>
          <t>C</t>
        </is>
      </c>
      <c r="O67" s="19" t="n">
        <v>18266.6439453125</v>
      </c>
      <c r="P67" s="18" t="inlineStr">
        <is>
          <t>KHÔNG ĐỀ XUẤT TĂNG</t>
        </is>
      </c>
      <c r="Q67" s="17" t="inlineStr">
        <is>
          <t>Không</t>
        </is>
      </c>
      <c r="R67" s="20" t="n"/>
      <c r="S67" s="20" t="n"/>
      <c r="T67" s="21" t="n"/>
      <c r="U67" s="21" t="n"/>
      <c r="V67" s="22">
        <f>IF(U67="A",K67,IF(U67="B",L67,IF(U67="C",M67,IF(N67="A",K67,IF(N67="B",L67,M67)))))</f>
        <v/>
      </c>
      <c r="W67" s="22">
        <f>IF(R67="",O67,MAX(V67-R67-N(S67),0))</f>
        <v/>
      </c>
      <c r="X67" s="20" t="n"/>
      <c r="Y67" s="23">
        <f>IF(OR(X67="",W67=0),"",X67/W67-1)</f>
        <v/>
      </c>
      <c r="Z67" s="24" t="n"/>
      <c r="AA67" s="21" t="n"/>
      <c r="AB67" s="25" t="n"/>
      <c r="AC67" s="26">
        <f>IF(T67="","Chưa quyết định",IF(OR(Z67="",AA67=""),"⚠ Thiếu lý do/người duyệt",IF(AND(X67&lt;&gt;"",N(X67)+N(R67)+N(S67)&gt;M67*1.001,R67&lt;&gt;""),"⚠ Vượt mục tiêu P90",IF(AND(Y67&lt;&gt;"",ABS(N(Y67))&gt;0.3),"⚠ Lệch &gt; 30% so với nhu cầu",IF(Q67="Có","ℹ Kiểm tra ngoại suy KM","✓ Hợp lệ")))))</f>
        <v/>
      </c>
    </row>
    <row r="68">
      <c r="A68" s="16" t="n">
        <v>64</v>
      </c>
      <c r="B68" s="17" t="inlineStr">
        <is>
          <t>DEC-S28-PRODUCE</t>
        </is>
      </c>
      <c r="C68" s="16" t="n">
        <v>28</v>
      </c>
      <c r="D68" s="17" t="inlineStr">
        <is>
          <t>PRODUCE</t>
        </is>
      </c>
      <c r="E68" s="17" t="inlineStr">
        <is>
          <t>MEDIUM</t>
        </is>
      </c>
      <c r="F68" s="17" t="inlineStr">
        <is>
          <t>TRUNG BÌNH</t>
        </is>
      </c>
      <c r="G68" s="18" t="inlineStr">
        <is>
          <t>RISK_MEDIUM · LARGE_SERIES</t>
        </is>
      </c>
      <c r="H68" s="19" t="n">
        <v>23763.86343007813</v>
      </c>
      <c r="I68" s="19" t="n">
        <v>29263.72973632812</v>
      </c>
      <c r="J68" s="19" t="n">
        <v>38981.0725703125</v>
      </c>
      <c r="K68" s="19" t="n">
        <v>29263.72973632812</v>
      </c>
      <c r="L68" s="19" t="n">
        <v>35337.06900756836</v>
      </c>
      <c r="M68" s="19" t="n">
        <v>38981.0725703125</v>
      </c>
      <c r="N68" s="17" t="inlineStr">
        <is>
          <t>C</t>
        </is>
      </c>
      <c r="O68" s="19" t="n">
        <v>15570.08878125</v>
      </c>
      <c r="P68" s="18" t="inlineStr">
        <is>
          <t>KHÔNG ĐỀ XUẤT TĂNG</t>
        </is>
      </c>
      <c r="Q68" s="17" t="inlineStr">
        <is>
          <t>Không</t>
        </is>
      </c>
      <c r="R68" s="20" t="n"/>
      <c r="S68" s="20" t="n"/>
      <c r="T68" s="21" t="n"/>
      <c r="U68" s="21" t="n"/>
      <c r="V68" s="22">
        <f>IF(U68="A",K68,IF(U68="B",L68,IF(U68="C",M68,IF(N68="A",K68,IF(N68="B",L68,M68)))))</f>
        <v/>
      </c>
      <c r="W68" s="22">
        <f>IF(R68="",O68,MAX(V68-R68-N(S68),0))</f>
        <v/>
      </c>
      <c r="X68" s="20" t="n"/>
      <c r="Y68" s="23">
        <f>IF(OR(X68="",W68=0),"",X68/W68-1)</f>
        <v/>
      </c>
      <c r="Z68" s="24" t="n"/>
      <c r="AA68" s="21" t="n"/>
      <c r="AB68" s="25" t="n"/>
      <c r="AC68" s="26">
        <f>IF(T68="","Chưa quyết định",IF(OR(Z68="",AA68=""),"⚠ Thiếu lý do/người duyệt",IF(AND(X68&lt;&gt;"",N(X68)+N(R68)+N(S68)&gt;M68*1.001,R68&lt;&gt;""),"⚠ Vượt mục tiêu P90",IF(AND(Y68&lt;&gt;"",ABS(N(Y68))&gt;0.3),"⚠ Lệch &gt; 30% so với nhu cầu",IF(Q68="Có","ℹ Kiểm tra ngoại suy KM","✓ Hợp lệ")))))</f>
        <v/>
      </c>
    </row>
    <row r="69">
      <c r="A69" s="16" t="n">
        <v>65</v>
      </c>
      <c r="B69" s="17" t="inlineStr">
        <is>
          <t>DEC-S15-BEVERAGES</t>
        </is>
      </c>
      <c r="C69" s="16" t="n">
        <v>15</v>
      </c>
      <c r="D69" s="17" t="inlineStr">
        <is>
          <t>BEVERAGES</t>
        </is>
      </c>
      <c r="E69" s="17" t="inlineStr">
        <is>
          <t>MEDIUM</t>
        </is>
      </c>
      <c r="F69" s="17" t="inlineStr">
        <is>
          <t>TRUNG BÌNH</t>
        </is>
      </c>
      <c r="G69" s="18" t="inlineStr">
        <is>
          <t>RISK_MEDIUM · LARGE_SERIES</t>
        </is>
      </c>
      <c r="H69" s="19" t="n">
        <v>22562.65473945313</v>
      </c>
      <c r="I69" s="19" t="n">
        <v>29242.38989257812</v>
      </c>
      <c r="J69" s="19" t="n">
        <v>41378.03442382812</v>
      </c>
      <c r="K69" s="19" t="n">
        <v>29242.38989257812</v>
      </c>
      <c r="L69" s="19" t="n">
        <v>36827.16772460938</v>
      </c>
      <c r="M69" s="19" t="n">
        <v>41378.03442382812</v>
      </c>
      <c r="N69" s="17" t="inlineStr">
        <is>
          <t>C</t>
        </is>
      </c>
      <c r="O69" s="19" t="n">
        <v>17984.12250976562</v>
      </c>
      <c r="P69" s="18" t="inlineStr">
        <is>
          <t>KHÔNG ĐỀ XUẤT TĂNG</t>
        </is>
      </c>
      <c r="Q69" s="17" t="inlineStr">
        <is>
          <t>Không</t>
        </is>
      </c>
      <c r="R69" s="20" t="n"/>
      <c r="S69" s="20" t="n"/>
      <c r="T69" s="21" t="n"/>
      <c r="U69" s="21" t="n"/>
      <c r="V69" s="22">
        <f>IF(U69="A",K69,IF(U69="B",L69,IF(U69="C",M69,IF(N69="A",K69,IF(N69="B",L69,M69)))))</f>
        <v/>
      </c>
      <c r="W69" s="22">
        <f>IF(R69="",O69,MAX(V69-R69-N(S69),0))</f>
        <v/>
      </c>
      <c r="X69" s="20" t="n"/>
      <c r="Y69" s="23">
        <f>IF(OR(X69="",W69=0),"",X69/W69-1)</f>
        <v/>
      </c>
      <c r="Z69" s="24" t="n"/>
      <c r="AA69" s="21" t="n"/>
      <c r="AB69" s="25" t="n"/>
      <c r="AC69" s="26">
        <f>IF(T69="","Chưa quyết định",IF(OR(Z69="",AA69=""),"⚠ Thiếu lý do/người duyệt",IF(AND(X69&lt;&gt;"",N(X69)+N(R69)+N(S69)&gt;M69*1.001,R69&lt;&gt;""),"⚠ Vượt mục tiêu P90",IF(AND(Y69&lt;&gt;"",ABS(N(Y69))&gt;0.3),"⚠ Lệch &gt; 30% so với nhu cầu",IF(Q69="Có","ℹ Kiểm tra ngoại suy KM","✓ Hợp lệ")))))</f>
        <v/>
      </c>
    </row>
    <row r="70">
      <c r="A70" s="16" t="n">
        <v>66</v>
      </c>
      <c r="B70" s="17" t="inlineStr">
        <is>
          <t>DEC-S40-CLEANING</t>
        </is>
      </c>
      <c r="C70" s="16" t="n">
        <v>40</v>
      </c>
      <c r="D70" s="17" t="inlineStr">
        <is>
          <t>CLEANING</t>
        </is>
      </c>
      <c r="E70" s="17" t="inlineStr">
        <is>
          <t>MEDIUM</t>
        </is>
      </c>
      <c r="F70" s="17" t="inlineStr">
        <is>
          <t>TRUNG BÌNH</t>
        </is>
      </c>
      <c r="G70" s="18" t="inlineStr">
        <is>
          <t>RISK_MEDIUM · LARGE_SERIES</t>
        </is>
      </c>
      <c r="H70" s="19" t="n">
        <v>22564.75885302734</v>
      </c>
      <c r="I70" s="19" t="n">
        <v>28949.5267944336</v>
      </c>
      <c r="J70" s="19" t="n">
        <v>40480.59590136719</v>
      </c>
      <c r="K70" s="19" t="n">
        <v>28949.5267944336</v>
      </c>
      <c r="L70" s="19" t="n">
        <v>36156.44498626709</v>
      </c>
      <c r="M70" s="19" t="n">
        <v>40480.59590136719</v>
      </c>
      <c r="N70" s="17" t="inlineStr">
        <is>
          <t>C</t>
        </is>
      </c>
      <c r="O70" s="19" t="n">
        <v>17320.97446582031</v>
      </c>
      <c r="P70" s="18" t="inlineStr">
        <is>
          <t>KHÔNG ĐỀ XUẤT TĂNG</t>
        </is>
      </c>
      <c r="Q70" s="17" t="inlineStr">
        <is>
          <t>Không</t>
        </is>
      </c>
      <c r="R70" s="20" t="n"/>
      <c r="S70" s="20" t="n"/>
      <c r="T70" s="21" t="n"/>
      <c r="U70" s="21" t="n"/>
      <c r="V70" s="22">
        <f>IF(U70="A",K70,IF(U70="B",L70,IF(U70="C",M70,IF(N70="A",K70,IF(N70="B",L70,M70)))))</f>
        <v/>
      </c>
      <c r="W70" s="22">
        <f>IF(R70="",O70,MAX(V70-R70-N(S70),0))</f>
        <v/>
      </c>
      <c r="X70" s="20" t="n"/>
      <c r="Y70" s="23">
        <f>IF(OR(X70="",W70=0),"",X70/W70-1)</f>
        <v/>
      </c>
      <c r="Z70" s="24" t="n"/>
      <c r="AA70" s="21" t="n"/>
      <c r="AB70" s="25" t="n"/>
      <c r="AC70" s="26">
        <f>IF(T70="","Chưa quyết định",IF(OR(Z70="",AA70=""),"⚠ Thiếu lý do/người duyệt",IF(AND(X70&lt;&gt;"",N(X70)+N(R70)+N(S70)&gt;M70*1.001,R70&lt;&gt;""),"⚠ Vượt mục tiêu P90",IF(AND(Y70&lt;&gt;"",ABS(N(Y70))&gt;0.3),"⚠ Lệch &gt; 30% so với nhu cầu",IF(Q70="Có","ℹ Kiểm tra ngoại suy KM","✓ Hợp lệ")))))</f>
        <v/>
      </c>
    </row>
    <row r="71">
      <c r="A71" s="16" t="n">
        <v>67</v>
      </c>
      <c r="B71" s="17" t="inlineStr">
        <is>
          <t>DEC-S12-BEVERAGES</t>
        </is>
      </c>
      <c r="C71" s="16" t="n">
        <v>12</v>
      </c>
      <c r="D71" s="17" t="inlineStr">
        <is>
          <t>BEVERAGES</t>
        </is>
      </c>
      <c r="E71" s="17" t="inlineStr">
        <is>
          <t>MEDIUM</t>
        </is>
      </c>
      <c r="F71" s="17" t="inlineStr">
        <is>
          <t>TRUNG BÌNH</t>
        </is>
      </c>
      <c r="G71" s="18" t="inlineStr">
        <is>
          <t>RISK_MEDIUM · LARGE_SERIES</t>
        </is>
      </c>
      <c r="H71" s="19" t="n">
        <v>22269.28498847656</v>
      </c>
      <c r="I71" s="19" t="n">
        <v>28949.02014160156</v>
      </c>
      <c r="J71" s="19" t="n">
        <v>41084.66467285156</v>
      </c>
      <c r="K71" s="19" t="n">
        <v>28949.02014160156</v>
      </c>
      <c r="L71" s="19" t="n">
        <v>36533.79797363281</v>
      </c>
      <c r="M71" s="19" t="n">
        <v>41084.66467285156</v>
      </c>
      <c r="N71" s="17" t="inlineStr">
        <is>
          <t>C</t>
        </is>
      </c>
      <c r="O71" s="19" t="n">
        <v>17925.44855957031</v>
      </c>
      <c r="P71" s="18" t="inlineStr">
        <is>
          <t>KHÔNG ĐỀ XUẤT TĂNG</t>
        </is>
      </c>
      <c r="Q71" s="17" t="inlineStr">
        <is>
          <t>Không</t>
        </is>
      </c>
      <c r="R71" s="20" t="n"/>
      <c r="S71" s="20" t="n"/>
      <c r="T71" s="21" t="n"/>
      <c r="U71" s="21" t="n"/>
      <c r="V71" s="22">
        <f>IF(U71="A",K71,IF(U71="B",L71,IF(U71="C",M71,IF(N71="A",K71,IF(N71="B",L71,M71)))))</f>
        <v/>
      </c>
      <c r="W71" s="22">
        <f>IF(R71="",O71,MAX(V71-R71-N(S71),0))</f>
        <v/>
      </c>
      <c r="X71" s="20" t="n"/>
      <c r="Y71" s="23">
        <f>IF(OR(X71="",W71=0),"",X71/W71-1)</f>
        <v/>
      </c>
      <c r="Z71" s="24" t="n"/>
      <c r="AA71" s="21" t="n"/>
      <c r="AB71" s="25" t="n"/>
      <c r="AC71" s="26">
        <f>IF(T71="","Chưa quyết định",IF(OR(Z71="",AA71=""),"⚠ Thiếu lý do/người duyệt",IF(AND(X71&lt;&gt;"",N(X71)+N(R71)+N(S71)&gt;M71*1.001,R71&lt;&gt;""),"⚠ Vượt mục tiêu P90",IF(AND(Y71&lt;&gt;"",ABS(N(Y71))&gt;0.3),"⚠ Lệch &gt; 30% so với nhu cầu",IF(Q71="Có","ℹ Kiểm tra ngoại suy KM","✓ Hợp lệ")))))</f>
        <v/>
      </c>
    </row>
    <row r="72">
      <c r="A72" s="16" t="n">
        <v>68</v>
      </c>
      <c r="B72" s="17" t="inlineStr">
        <is>
          <t>DEC-S44-BREAD_BAKERY</t>
        </is>
      </c>
      <c r="C72" s="16" t="n">
        <v>44</v>
      </c>
      <c r="D72" s="17" t="inlineStr">
        <is>
          <t>BREAD/BAKERY</t>
        </is>
      </c>
      <c r="E72" s="17" t="inlineStr">
        <is>
          <t>MEDIUM</t>
        </is>
      </c>
      <c r="F72" s="17" t="inlineStr">
        <is>
          <t>TRUNG BÌNH</t>
        </is>
      </c>
      <c r="G72" s="18" t="inlineStr">
        <is>
          <t>RISK_MEDIUM · LARGE_SERIES</t>
        </is>
      </c>
      <c r="H72" s="19" t="n">
        <v>21816.43354804688</v>
      </c>
      <c r="I72" s="19" t="n">
        <v>28496.16870117188</v>
      </c>
      <c r="J72" s="19" t="n">
        <v>40631.81323242188</v>
      </c>
      <c r="K72" s="19" t="n">
        <v>28496.16870117188</v>
      </c>
      <c r="L72" s="19" t="n">
        <v>36080.94653320313</v>
      </c>
      <c r="M72" s="19" t="n">
        <v>40631.81323242188</v>
      </c>
      <c r="N72" s="17" t="inlineStr">
        <is>
          <t>C</t>
        </is>
      </c>
      <c r="O72" s="19" t="n">
        <v>17834.87827148438</v>
      </c>
      <c r="P72" s="18" t="inlineStr">
        <is>
          <t>KHÔNG ĐỀ XUẤT TĂNG</t>
        </is>
      </c>
      <c r="Q72" s="17" t="inlineStr">
        <is>
          <t>Không</t>
        </is>
      </c>
      <c r="R72" s="20" t="n"/>
      <c r="S72" s="20" t="n"/>
      <c r="T72" s="21" t="n"/>
      <c r="U72" s="21" t="n"/>
      <c r="V72" s="22">
        <f>IF(U72="A",K72,IF(U72="B",L72,IF(U72="C",M72,IF(N72="A",K72,IF(N72="B",L72,M72)))))</f>
        <v/>
      </c>
      <c r="W72" s="22">
        <f>IF(R72="",O72,MAX(V72-R72-N(S72),0))</f>
        <v/>
      </c>
      <c r="X72" s="20" t="n"/>
      <c r="Y72" s="23">
        <f>IF(OR(X72="",W72=0),"",X72/W72-1)</f>
        <v/>
      </c>
      <c r="Z72" s="24" t="n"/>
      <c r="AA72" s="21" t="n"/>
      <c r="AB72" s="25" t="n"/>
      <c r="AC72" s="26">
        <f>IF(T72="","Chưa quyết định",IF(OR(Z72="",AA72=""),"⚠ Thiếu lý do/người duyệt",IF(AND(X72&lt;&gt;"",N(X72)+N(R72)+N(S72)&gt;M72*1.001,R72&lt;&gt;""),"⚠ Vượt mục tiêu P90",IF(AND(Y72&lt;&gt;"",ABS(N(Y72))&gt;0.3),"⚠ Lệch &gt; 30% so với nhu cầu",IF(Q72="Có","ℹ Kiểm tra ngoại suy KM","✓ Hợp lệ")))))</f>
        <v/>
      </c>
    </row>
    <row r="73">
      <c r="A73" s="16" t="n">
        <v>69</v>
      </c>
      <c r="B73" s="17" t="inlineStr">
        <is>
          <t>DEC-S46-DAIRY</t>
        </is>
      </c>
      <c r="C73" s="16" t="n">
        <v>46</v>
      </c>
      <c r="D73" s="17" t="inlineStr">
        <is>
          <t>DAIRY</t>
        </is>
      </c>
      <c r="E73" s="17" t="inlineStr">
        <is>
          <t>MEDIUM</t>
        </is>
      </c>
      <c r="F73" s="17" t="inlineStr">
        <is>
          <t>TRUNG BÌNH</t>
        </is>
      </c>
      <c r="G73" s="18" t="inlineStr">
        <is>
          <t>RISK_MEDIUM · LARGE_SERIES</t>
        </is>
      </c>
      <c r="H73" s="19" t="n">
        <v>21742.06282050781</v>
      </c>
      <c r="I73" s="19" t="n">
        <v>28421.79797363281</v>
      </c>
      <c r="J73" s="19" t="n">
        <v>40557.44250488281</v>
      </c>
      <c r="K73" s="19" t="n">
        <v>28421.79797363281</v>
      </c>
      <c r="L73" s="19" t="n">
        <v>36006.57580566406</v>
      </c>
      <c r="M73" s="19" t="n">
        <v>40557.44250488281</v>
      </c>
      <c r="N73" s="17" t="inlineStr">
        <is>
          <t>C</t>
        </is>
      </c>
      <c r="O73" s="19" t="n">
        <v>17820.00412597656</v>
      </c>
      <c r="P73" s="18" t="inlineStr">
        <is>
          <t>KHÔNG ĐỀ XUẤT TĂNG</t>
        </is>
      </c>
      <c r="Q73" s="17" t="inlineStr">
        <is>
          <t>Không</t>
        </is>
      </c>
      <c r="R73" s="20" t="n"/>
      <c r="S73" s="20" t="n"/>
      <c r="T73" s="21" t="n"/>
      <c r="U73" s="21" t="n"/>
      <c r="V73" s="22">
        <f>IF(U73="A",K73,IF(U73="B",L73,IF(U73="C",M73,IF(N73="A",K73,IF(N73="B",L73,M73)))))</f>
        <v/>
      </c>
      <c r="W73" s="22">
        <f>IF(R73="",O73,MAX(V73-R73-N(S73),0))</f>
        <v/>
      </c>
      <c r="X73" s="20" t="n"/>
      <c r="Y73" s="23">
        <f>IF(OR(X73="",W73=0),"",X73/W73-1)</f>
        <v/>
      </c>
      <c r="Z73" s="24" t="n"/>
      <c r="AA73" s="21" t="n"/>
      <c r="AB73" s="25" t="n"/>
      <c r="AC73" s="26">
        <f>IF(T73="","Chưa quyết định",IF(OR(Z73="",AA73=""),"⚠ Thiếu lý do/người duyệt",IF(AND(X73&lt;&gt;"",N(X73)+N(R73)+N(S73)&gt;M73*1.001,R73&lt;&gt;""),"⚠ Vượt mục tiêu P90",IF(AND(Y73&lt;&gt;"",ABS(N(Y73))&gt;0.3),"⚠ Lệch &gt; 30% so với nhu cầu",IF(Q73="Có","ℹ Kiểm tra ngoại suy KM","✓ Hợp lệ")))))</f>
        <v/>
      </c>
    </row>
    <row r="74">
      <c r="A74" s="16" t="n">
        <v>70</v>
      </c>
      <c r="B74" s="17" t="inlineStr">
        <is>
          <t>DEC-S25-GROCERY_I</t>
        </is>
      </c>
      <c r="C74" s="16" t="n">
        <v>25</v>
      </c>
      <c r="D74" s="17" t="inlineStr">
        <is>
          <t>GROCERY I</t>
        </is>
      </c>
      <c r="E74" s="17" t="inlineStr">
        <is>
          <t>MEDIUM</t>
        </is>
      </c>
      <c r="F74" s="17" t="inlineStr">
        <is>
          <t>TRUNG BÌNH</t>
        </is>
      </c>
      <c r="G74" s="18" t="inlineStr">
        <is>
          <t>RISK_MEDIUM · LARGE_SERIES</t>
        </is>
      </c>
      <c r="H74" s="19" t="n">
        <v>21576.0041046875</v>
      </c>
      <c r="I74" s="19" t="n">
        <v>28255.7392578125</v>
      </c>
      <c r="J74" s="19" t="n">
        <v>40391.3837890625</v>
      </c>
      <c r="K74" s="19" t="n">
        <v>28255.7392578125</v>
      </c>
      <c r="L74" s="19" t="n">
        <v>35840.51708984375</v>
      </c>
      <c r="M74" s="19" t="n">
        <v>40391.3837890625</v>
      </c>
      <c r="N74" s="17" t="inlineStr">
        <is>
          <t>C</t>
        </is>
      </c>
      <c r="O74" s="19" t="n">
        <v>17786.7923828125</v>
      </c>
      <c r="P74" s="18" t="inlineStr">
        <is>
          <t>KHÔNG ĐỀ XUẤT TĂNG</t>
        </is>
      </c>
      <c r="Q74" s="17" t="inlineStr">
        <is>
          <t>Không</t>
        </is>
      </c>
      <c r="R74" s="20" t="n"/>
      <c r="S74" s="20" t="n"/>
      <c r="T74" s="21" t="n"/>
      <c r="U74" s="21" t="n"/>
      <c r="V74" s="22">
        <f>IF(U74="A",K74,IF(U74="B",L74,IF(U74="C",M74,IF(N74="A",K74,IF(N74="B",L74,M74)))))</f>
        <v/>
      </c>
      <c r="W74" s="22">
        <f>IF(R74="",O74,MAX(V74-R74-N(S74),0))</f>
        <v/>
      </c>
      <c r="X74" s="20" t="n"/>
      <c r="Y74" s="23">
        <f>IF(OR(X74="",W74=0),"",X74/W74-1)</f>
        <v/>
      </c>
      <c r="Z74" s="24" t="n"/>
      <c r="AA74" s="21" t="n"/>
      <c r="AB74" s="25" t="n"/>
      <c r="AC74" s="26">
        <f>IF(T74="","Chưa quyết định",IF(OR(Z74="",AA74=""),"⚠ Thiếu lý do/người duyệt",IF(AND(X74&lt;&gt;"",N(X74)+N(R74)+N(S74)&gt;M74*1.001,R74&lt;&gt;""),"⚠ Vượt mục tiêu P90",IF(AND(Y74&lt;&gt;"",ABS(N(Y74))&gt;0.3),"⚠ Lệch &gt; 30% so với nhu cầu",IF(Q74="Có","ℹ Kiểm tra ngoại suy KM","✓ Hợp lệ")))))</f>
        <v/>
      </c>
    </row>
    <row r="75">
      <c r="A75" s="16" t="n">
        <v>71</v>
      </c>
      <c r="B75" s="17" t="inlineStr">
        <is>
          <t>DEC-S09-PRODUCE</t>
        </is>
      </c>
      <c r="C75" s="16" t="n">
        <v>9</v>
      </c>
      <c r="D75" s="17" t="inlineStr">
        <is>
          <t>PRODUCE</t>
        </is>
      </c>
      <c r="E75" s="17" t="inlineStr">
        <is>
          <t>MEDIUM</t>
        </is>
      </c>
      <c r="F75" s="17" t="inlineStr">
        <is>
          <t>TRUNG BÌNH</t>
        </is>
      </c>
      <c r="G75" s="18" t="inlineStr">
        <is>
          <t>RISK_MEDIUM · LARGE_SERIES</t>
        </is>
      </c>
      <c r="H75" s="19" t="n">
        <v>21962.50505644531</v>
      </c>
      <c r="I75" s="19" t="n">
        <v>28052.30578613281</v>
      </c>
      <c r="J75" s="19" t="n">
        <v>38978.79946875</v>
      </c>
      <c r="K75" s="19" t="n">
        <v>28052.30578613281</v>
      </c>
      <c r="L75" s="19" t="n">
        <v>34881.36433776855</v>
      </c>
      <c r="M75" s="19" t="n">
        <v>38978.79946875</v>
      </c>
      <c r="N75" s="17" t="inlineStr">
        <is>
          <t>C</t>
        </is>
      </c>
      <c r="O75" s="19" t="n">
        <v>16536.95483984375</v>
      </c>
      <c r="P75" s="18" t="inlineStr">
        <is>
          <t>KHÔNG ĐỀ XUẤT TĂNG</t>
        </is>
      </c>
      <c r="Q75" s="17" t="inlineStr">
        <is>
          <t>Không</t>
        </is>
      </c>
      <c r="R75" s="20" t="n"/>
      <c r="S75" s="20" t="n"/>
      <c r="T75" s="21" t="n"/>
      <c r="U75" s="21" t="n"/>
      <c r="V75" s="22">
        <f>IF(U75="A",K75,IF(U75="B",L75,IF(U75="C",M75,IF(N75="A",K75,IF(N75="B",L75,M75)))))</f>
        <v/>
      </c>
      <c r="W75" s="22">
        <f>IF(R75="",O75,MAX(V75-R75-N(S75),0))</f>
        <v/>
      </c>
      <c r="X75" s="20" t="n"/>
      <c r="Y75" s="23">
        <f>IF(OR(X75="",W75=0),"",X75/W75-1)</f>
        <v/>
      </c>
      <c r="Z75" s="24" t="n"/>
      <c r="AA75" s="21" t="n"/>
      <c r="AB75" s="25" t="n"/>
      <c r="AC75" s="26">
        <f>IF(T75="","Chưa quyết định",IF(OR(Z75="",AA75=""),"⚠ Thiếu lý do/người duyệt",IF(AND(X75&lt;&gt;"",N(X75)+N(R75)+N(S75)&gt;M75*1.001,R75&lt;&gt;""),"⚠ Vượt mục tiêu P90",IF(AND(Y75&lt;&gt;"",ABS(N(Y75))&gt;0.3),"⚠ Lệch &gt; 30% so với nhu cầu",IF(Q75="Có","ℹ Kiểm tra ngoại suy KM","✓ Hợp lệ")))))</f>
        <v/>
      </c>
    </row>
    <row r="76">
      <c r="A76" s="16" t="n">
        <v>72</v>
      </c>
      <c r="B76" s="17" t="inlineStr">
        <is>
          <t>DEC-S22-BEVERAGES</t>
        </is>
      </c>
      <c r="C76" s="16" t="n">
        <v>22</v>
      </c>
      <c r="D76" s="17" t="inlineStr">
        <is>
          <t>BEVERAGES</t>
        </is>
      </c>
      <c r="E76" s="17" t="inlineStr">
        <is>
          <t>MEDIUM</t>
        </is>
      </c>
      <c r="F76" s="17" t="inlineStr">
        <is>
          <t>TRUNG BÌNH</t>
        </is>
      </c>
      <c r="G76" s="18" t="inlineStr">
        <is>
          <t>RISK_MEDIUM · LARGE_SERIES</t>
        </is>
      </c>
      <c r="H76" s="19" t="n">
        <v>20942.09431464844</v>
      </c>
      <c r="I76" s="19" t="n">
        <v>27621.82946777344</v>
      </c>
      <c r="J76" s="19" t="n">
        <v>39757.47399902344</v>
      </c>
      <c r="K76" s="19" t="n">
        <v>27621.82946777344</v>
      </c>
      <c r="L76" s="19" t="n">
        <v>35206.60729980469</v>
      </c>
      <c r="M76" s="19" t="n">
        <v>39757.47399902344</v>
      </c>
      <c r="N76" s="17" t="inlineStr">
        <is>
          <t>C</t>
        </is>
      </c>
      <c r="O76" s="19" t="n">
        <v>17660.01042480468</v>
      </c>
      <c r="P76" s="18" t="inlineStr">
        <is>
          <t>KHÔNG ĐỀ XUẤT TĂNG</t>
        </is>
      </c>
      <c r="Q76" s="17" t="inlineStr">
        <is>
          <t>Không</t>
        </is>
      </c>
      <c r="R76" s="20" t="n"/>
      <c r="S76" s="20" t="n"/>
      <c r="T76" s="21" t="n"/>
      <c r="U76" s="21" t="n"/>
      <c r="V76" s="22">
        <f>IF(U76="A",K76,IF(U76="B",L76,IF(U76="C",M76,IF(N76="A",K76,IF(N76="B",L76,M76)))))</f>
        <v/>
      </c>
      <c r="W76" s="22">
        <f>IF(R76="",O76,MAX(V76-R76-N(S76),0))</f>
        <v/>
      </c>
      <c r="X76" s="20" t="n"/>
      <c r="Y76" s="23">
        <f>IF(OR(X76="",W76=0),"",X76/W76-1)</f>
        <v/>
      </c>
      <c r="Z76" s="24" t="n"/>
      <c r="AA76" s="21" t="n"/>
      <c r="AB76" s="25" t="n"/>
      <c r="AC76" s="26">
        <f>IF(T76="","Chưa quyết định",IF(OR(Z76="",AA76=""),"⚠ Thiếu lý do/người duyệt",IF(AND(X76&lt;&gt;"",N(X76)+N(R76)+N(S76)&gt;M76*1.001,R76&lt;&gt;""),"⚠ Vượt mục tiêu P90",IF(AND(Y76&lt;&gt;"",ABS(N(Y76))&gt;0.3),"⚠ Lệch &gt; 30% so với nhu cầu",IF(Q76="Có","ℹ Kiểm tra ngoại suy KM","✓ Hợp lệ")))))</f>
        <v/>
      </c>
    </row>
    <row r="77">
      <c r="A77" s="16" t="n">
        <v>73</v>
      </c>
      <c r="B77" s="17" t="inlineStr">
        <is>
          <t>DEC-S09-CLEANING</t>
        </is>
      </c>
      <c r="C77" s="16" t="n">
        <v>9</v>
      </c>
      <c r="D77" s="17" t="inlineStr">
        <is>
          <t>CLEANING</t>
        </is>
      </c>
      <c r="E77" s="17" t="inlineStr">
        <is>
          <t>MEDIUM</t>
        </is>
      </c>
      <c r="F77" s="17" t="inlineStr">
        <is>
          <t>TRUNG BÌNH</t>
        </is>
      </c>
      <c r="G77" s="18" t="inlineStr">
        <is>
          <t>RISK_MEDIUM · LARGE_SERIES</t>
        </is>
      </c>
      <c r="H77" s="19" t="n">
        <v>21159.88910205078</v>
      </c>
      <c r="I77" s="19" t="n">
        <v>27544.65704345703</v>
      </c>
      <c r="J77" s="19" t="n">
        <v>39075.72615039063</v>
      </c>
      <c r="K77" s="19" t="n">
        <v>27544.65704345703</v>
      </c>
      <c r="L77" s="19" t="n">
        <v>34751.57523529053</v>
      </c>
      <c r="M77" s="19" t="n">
        <v>39075.72615039063</v>
      </c>
      <c r="N77" s="17" t="inlineStr">
        <is>
          <t>C</t>
        </is>
      </c>
      <c r="O77" s="19" t="n">
        <v>17040.000515625</v>
      </c>
      <c r="P77" s="18" t="inlineStr">
        <is>
          <t>KHÔNG ĐỀ XUẤT TĂNG</t>
        </is>
      </c>
      <c r="Q77" s="17" t="inlineStr">
        <is>
          <t>Không</t>
        </is>
      </c>
      <c r="R77" s="20" t="n"/>
      <c r="S77" s="20" t="n"/>
      <c r="T77" s="21" t="n"/>
      <c r="U77" s="21" t="n"/>
      <c r="V77" s="22">
        <f>IF(U77="A",K77,IF(U77="B",L77,IF(U77="C",M77,IF(N77="A",K77,IF(N77="B",L77,M77)))))</f>
        <v/>
      </c>
      <c r="W77" s="22">
        <f>IF(R77="",O77,MAX(V77-R77-N(S77),0))</f>
        <v/>
      </c>
      <c r="X77" s="20" t="n"/>
      <c r="Y77" s="23">
        <f>IF(OR(X77="",W77=0),"",X77/W77-1)</f>
        <v/>
      </c>
      <c r="Z77" s="24" t="n"/>
      <c r="AA77" s="21" t="n"/>
      <c r="AB77" s="25" t="n"/>
      <c r="AC77" s="26">
        <f>IF(T77="","Chưa quyết định",IF(OR(Z77="",AA77=""),"⚠ Thiếu lý do/người duyệt",IF(AND(X77&lt;&gt;"",N(X77)+N(R77)+N(S77)&gt;M77*1.001,R77&lt;&gt;""),"⚠ Vượt mục tiêu P90",IF(AND(Y77&lt;&gt;"",ABS(N(Y77))&gt;0.3),"⚠ Lệch &gt; 30% so với nhu cầu",IF(Q77="Có","ℹ Kiểm tra ngoại suy KM","✓ Hợp lệ")))))</f>
        <v/>
      </c>
    </row>
    <row r="78">
      <c r="A78" s="16" t="n">
        <v>74</v>
      </c>
      <c r="B78" s="17" t="inlineStr">
        <is>
          <t>DEC-S26-GROCERY_I</t>
        </is>
      </c>
      <c r="C78" s="16" t="n">
        <v>26</v>
      </c>
      <c r="D78" s="17" t="inlineStr">
        <is>
          <t>GROCERY I</t>
        </is>
      </c>
      <c r="E78" s="17" t="inlineStr">
        <is>
          <t>MEDIUM</t>
        </is>
      </c>
      <c r="F78" s="17" t="inlineStr">
        <is>
          <t>TRUNG BÌNH</t>
        </is>
      </c>
      <c r="G78" s="18" t="inlineStr">
        <is>
          <t>RISK_MEDIUM · LARGE_SERIES</t>
        </is>
      </c>
      <c r="H78" s="19" t="n">
        <v>21134.35834033204</v>
      </c>
      <c r="I78" s="19" t="n">
        <v>27519.12628173828</v>
      </c>
      <c r="J78" s="19" t="n">
        <v>39050.19538867188</v>
      </c>
      <c r="K78" s="19" t="n">
        <v>27519.12628173828</v>
      </c>
      <c r="L78" s="19" t="n">
        <v>34726.04447357178</v>
      </c>
      <c r="M78" s="19" t="n">
        <v>39050.19538867188</v>
      </c>
      <c r="N78" s="17" t="inlineStr">
        <is>
          <t>C</t>
        </is>
      </c>
      <c r="O78" s="19" t="n">
        <v>17034.89436328125</v>
      </c>
      <c r="P78" s="18" t="inlineStr">
        <is>
          <t>KHÔNG ĐỀ XUẤT TĂNG</t>
        </is>
      </c>
      <c r="Q78" s="17" t="inlineStr">
        <is>
          <t>Không</t>
        </is>
      </c>
      <c r="R78" s="20" t="n"/>
      <c r="S78" s="20" t="n"/>
      <c r="T78" s="21" t="n"/>
      <c r="U78" s="21" t="n"/>
      <c r="V78" s="22">
        <f>IF(U78="A",K78,IF(U78="B",L78,IF(U78="C",M78,IF(N78="A",K78,IF(N78="B",L78,M78)))))</f>
        <v/>
      </c>
      <c r="W78" s="22">
        <f>IF(R78="",O78,MAX(V78-R78-N(S78),0))</f>
        <v/>
      </c>
      <c r="X78" s="20" t="n"/>
      <c r="Y78" s="23">
        <f>IF(OR(X78="",W78=0),"",X78/W78-1)</f>
        <v/>
      </c>
      <c r="Z78" s="24" t="n"/>
      <c r="AA78" s="21" t="n"/>
      <c r="AB78" s="25" t="n"/>
      <c r="AC78" s="26">
        <f>IF(T78="","Chưa quyết định",IF(OR(Z78="",AA78=""),"⚠ Thiếu lý do/người duyệt",IF(AND(X78&lt;&gt;"",N(X78)+N(R78)+N(S78)&gt;M78*1.001,R78&lt;&gt;""),"⚠ Vượt mục tiêu P90",IF(AND(Y78&lt;&gt;"",ABS(N(Y78))&gt;0.3),"⚠ Lệch &gt; 30% so với nhu cầu",IF(Q78="Có","ℹ Kiểm tra ngoại suy KM","✓ Hợp lệ")))))</f>
        <v/>
      </c>
    </row>
    <row r="79">
      <c r="A79" s="16" t="n">
        <v>75</v>
      </c>
      <c r="B79" s="17" t="inlineStr">
        <is>
          <t>DEC-S52-CLEANING</t>
        </is>
      </c>
      <c r="C79" s="16" t="n">
        <v>52</v>
      </c>
      <c r="D79" s="17" t="inlineStr">
        <is>
          <t>CLEANING</t>
        </is>
      </c>
      <c r="E79" s="17" t="inlineStr">
        <is>
          <t>MEDIUM</t>
        </is>
      </c>
      <c r="F79" s="17" t="inlineStr">
        <is>
          <t>TRUNG BÌNH</t>
        </is>
      </c>
      <c r="G79" s="18" t="inlineStr">
        <is>
          <t>RISK_MEDIUM · LARGE_SERIES</t>
        </is>
      </c>
      <c r="H79" s="19" t="n">
        <v>20748.96675117188</v>
      </c>
      <c r="I79" s="19" t="n">
        <v>27428.70190429688</v>
      </c>
      <c r="J79" s="19" t="n">
        <v>39564.34643554688</v>
      </c>
      <c r="K79" s="19" t="n">
        <v>27428.70190429688</v>
      </c>
      <c r="L79" s="19" t="n">
        <v>35013.47973632813</v>
      </c>
      <c r="M79" s="19" t="n">
        <v>39564.34643554688</v>
      </c>
      <c r="N79" s="17" t="inlineStr">
        <is>
          <t>C</t>
        </is>
      </c>
      <c r="O79" s="19" t="n">
        <v>17621.38491210938</v>
      </c>
      <c r="P79" s="18" t="inlineStr">
        <is>
          <t>KHÔNG ĐỀ XUẤT TĂNG</t>
        </is>
      </c>
      <c r="Q79" s="17" t="inlineStr">
        <is>
          <t>Không</t>
        </is>
      </c>
      <c r="R79" s="20" t="n"/>
      <c r="S79" s="20" t="n"/>
      <c r="T79" s="21" t="n"/>
      <c r="U79" s="21" t="n"/>
      <c r="V79" s="22">
        <f>IF(U79="A",K79,IF(U79="B",L79,IF(U79="C",M79,IF(N79="A",K79,IF(N79="B",L79,M79)))))</f>
        <v/>
      </c>
      <c r="W79" s="22">
        <f>IF(R79="",O79,MAX(V79-R79-N(S79),0))</f>
        <v/>
      </c>
      <c r="X79" s="20" t="n"/>
      <c r="Y79" s="23">
        <f>IF(OR(X79="",W79=0),"",X79/W79-1)</f>
        <v/>
      </c>
      <c r="Z79" s="24" t="n"/>
      <c r="AA79" s="21" t="n"/>
      <c r="AB79" s="25" t="n"/>
      <c r="AC79" s="26">
        <f>IF(T79="","Chưa quyết định",IF(OR(Z79="",AA79=""),"⚠ Thiếu lý do/người duyệt",IF(AND(X79&lt;&gt;"",N(X79)+N(R79)+N(S79)&gt;M79*1.001,R79&lt;&gt;""),"⚠ Vượt mục tiêu P90",IF(AND(Y79&lt;&gt;"",ABS(N(Y79))&gt;0.3),"⚠ Lệch &gt; 30% so với nhu cầu",IF(Q79="Có","ℹ Kiểm tra ngoại suy KM","✓ Hợp lệ")))))</f>
        <v/>
      </c>
    </row>
    <row r="80">
      <c r="A80" s="16" t="n">
        <v>76</v>
      </c>
      <c r="B80" s="17" t="inlineStr">
        <is>
          <t>DEC-S51-DAIRY</t>
        </is>
      </c>
      <c r="C80" s="16" t="n">
        <v>51</v>
      </c>
      <c r="D80" s="17" t="inlineStr">
        <is>
          <t>DAIRY</t>
        </is>
      </c>
      <c r="E80" s="17" t="inlineStr">
        <is>
          <t>MEDIUM</t>
        </is>
      </c>
      <c r="F80" s="17" t="inlineStr">
        <is>
          <t>TRUNG BÌNH</t>
        </is>
      </c>
      <c r="G80" s="18" t="inlineStr">
        <is>
          <t>RISK_MEDIUM · LARGE_SERIES</t>
        </is>
      </c>
      <c r="H80" s="19" t="n">
        <v>20608.1275053711</v>
      </c>
      <c r="I80" s="19" t="n">
        <v>26992.89544677734</v>
      </c>
      <c r="J80" s="19" t="n">
        <v>38523.96455371094</v>
      </c>
      <c r="K80" s="19" t="n">
        <v>26992.89544677734</v>
      </c>
      <c r="L80" s="19" t="n">
        <v>34199.81363861084</v>
      </c>
      <c r="M80" s="19" t="n">
        <v>38523.96455371094</v>
      </c>
      <c r="N80" s="17" t="inlineStr">
        <is>
          <t>C</t>
        </is>
      </c>
      <c r="O80" s="19" t="n">
        <v>16929.64819628906</v>
      </c>
      <c r="P80" s="18" t="inlineStr">
        <is>
          <t>KHÔNG ĐỀ XUẤT TĂNG</t>
        </is>
      </c>
      <c r="Q80" s="17" t="inlineStr">
        <is>
          <t>Không</t>
        </is>
      </c>
      <c r="R80" s="20" t="n"/>
      <c r="S80" s="20" t="n"/>
      <c r="T80" s="21" t="n"/>
      <c r="U80" s="21" t="n"/>
      <c r="V80" s="22">
        <f>IF(U80="A",K80,IF(U80="B",L80,IF(U80="C",M80,IF(N80="A",K80,IF(N80="B",L80,M80)))))</f>
        <v/>
      </c>
      <c r="W80" s="22">
        <f>IF(R80="",O80,MAX(V80-R80-N(S80),0))</f>
        <v/>
      </c>
      <c r="X80" s="20" t="n"/>
      <c r="Y80" s="23">
        <f>IF(OR(X80="",W80=0),"",X80/W80-1)</f>
        <v/>
      </c>
      <c r="Z80" s="24" t="n"/>
      <c r="AA80" s="21" t="n"/>
      <c r="AB80" s="25" t="n"/>
      <c r="AC80" s="26">
        <f>IF(T80="","Chưa quyết định",IF(OR(Z80="",AA80=""),"⚠ Thiếu lý do/người duyệt",IF(AND(X80&lt;&gt;"",N(X80)+N(R80)+N(S80)&gt;M80*1.001,R80&lt;&gt;""),"⚠ Vượt mục tiêu P90",IF(AND(Y80&lt;&gt;"",ABS(N(Y80))&gt;0.3),"⚠ Lệch &gt; 30% so với nhu cầu",IF(Q80="Có","ℹ Kiểm tra ngoại suy KM","✓ Hợp lệ")))))</f>
        <v/>
      </c>
    </row>
    <row r="81">
      <c r="A81" s="16" t="n">
        <v>77</v>
      </c>
      <c r="B81" s="17" t="inlineStr">
        <is>
          <t>DEC-S23-BEVERAGES</t>
        </is>
      </c>
      <c r="C81" s="16" t="n">
        <v>23</v>
      </c>
      <c r="D81" s="17" t="inlineStr">
        <is>
          <t>BEVERAGES</t>
        </is>
      </c>
      <c r="E81" s="17" t="inlineStr">
        <is>
          <t>MEDIUM</t>
        </is>
      </c>
      <c r="F81" s="17" t="inlineStr">
        <is>
          <t>TRUNG BÌNH</t>
        </is>
      </c>
      <c r="G81" s="18" t="inlineStr">
        <is>
          <t>RISK_MEDIUM · LARGE_SERIES</t>
        </is>
      </c>
      <c r="H81" s="19" t="n">
        <v>19703.11824042969</v>
      </c>
      <c r="I81" s="19" t="n">
        <v>26382.85339355469</v>
      </c>
      <c r="J81" s="19" t="n">
        <v>38518.49792480469</v>
      </c>
      <c r="K81" s="19" t="n">
        <v>26382.85339355469</v>
      </c>
      <c r="L81" s="19" t="n">
        <v>33967.63122558594</v>
      </c>
      <c r="M81" s="19" t="n">
        <v>38518.49792480469</v>
      </c>
      <c r="N81" s="17" t="inlineStr">
        <is>
          <t>C</t>
        </is>
      </c>
      <c r="O81" s="19" t="n">
        <v>17412.21520996094</v>
      </c>
      <c r="P81" s="18" t="inlineStr">
        <is>
          <t>KHÔNG ĐỀ XUẤT TĂNG</t>
        </is>
      </c>
      <c r="Q81" s="17" t="inlineStr">
        <is>
          <t>Không</t>
        </is>
      </c>
      <c r="R81" s="20" t="n"/>
      <c r="S81" s="20" t="n"/>
      <c r="T81" s="21" t="n"/>
      <c r="U81" s="21" t="n"/>
      <c r="V81" s="22">
        <f>IF(U81="A",K81,IF(U81="B",L81,IF(U81="C",M81,IF(N81="A",K81,IF(N81="B",L81,M81)))))</f>
        <v/>
      </c>
      <c r="W81" s="22">
        <f>IF(R81="",O81,MAX(V81-R81-N(S81),0))</f>
        <v/>
      </c>
      <c r="X81" s="20" t="n"/>
      <c r="Y81" s="23">
        <f>IF(OR(X81="",W81=0),"",X81/W81-1)</f>
        <v/>
      </c>
      <c r="Z81" s="24" t="n"/>
      <c r="AA81" s="21" t="n"/>
      <c r="AB81" s="25" t="n"/>
      <c r="AC81" s="26">
        <f>IF(T81="","Chưa quyết định",IF(OR(Z81="",AA81=""),"⚠ Thiếu lý do/người duyệt",IF(AND(X81&lt;&gt;"",N(X81)+N(R81)+N(S81)&gt;M81*1.001,R81&lt;&gt;""),"⚠ Vượt mục tiêu P90",IF(AND(Y81&lt;&gt;"",ABS(N(Y81))&gt;0.3),"⚠ Lệch &gt; 30% so với nhu cầu",IF(Q81="Có","ℹ Kiểm tra ngoại suy KM","✓ Hợp lệ")))))</f>
        <v/>
      </c>
    </row>
    <row r="82">
      <c r="A82" s="16" t="n">
        <v>78</v>
      </c>
      <c r="B82" s="17" t="inlineStr">
        <is>
          <t>DEC-S13-BEVERAGES</t>
        </is>
      </c>
      <c r="C82" s="16" t="n">
        <v>13</v>
      </c>
      <c r="D82" s="17" t="inlineStr">
        <is>
          <t>BEVERAGES</t>
        </is>
      </c>
      <c r="E82" s="17" t="inlineStr">
        <is>
          <t>MEDIUM</t>
        </is>
      </c>
      <c r="F82" s="17" t="inlineStr">
        <is>
          <t>TRUNG BÌNH</t>
        </is>
      </c>
      <c r="G82" s="18" t="inlineStr">
        <is>
          <t>RISK_MEDIUM · LARGE_SERIES</t>
        </is>
      </c>
      <c r="H82" s="19" t="n">
        <v>19675.76533515625</v>
      </c>
      <c r="I82" s="19" t="n">
        <v>26355.50048828125</v>
      </c>
      <c r="J82" s="19" t="n">
        <v>38491.14501953125</v>
      </c>
      <c r="K82" s="19" t="n">
        <v>26355.50048828125</v>
      </c>
      <c r="L82" s="19" t="n">
        <v>33940.2783203125</v>
      </c>
      <c r="M82" s="19" t="n">
        <v>38491.14501953125</v>
      </c>
      <c r="N82" s="17" t="inlineStr">
        <is>
          <t>C</t>
        </is>
      </c>
      <c r="O82" s="19" t="n">
        <v>17406.74462890625</v>
      </c>
      <c r="P82" s="18" t="inlineStr">
        <is>
          <t>KHÔNG ĐỀ XUẤT TĂNG</t>
        </is>
      </c>
      <c r="Q82" s="17" t="inlineStr">
        <is>
          <t>Không</t>
        </is>
      </c>
      <c r="R82" s="20" t="n"/>
      <c r="S82" s="20" t="n"/>
      <c r="T82" s="21" t="n"/>
      <c r="U82" s="21" t="n"/>
      <c r="V82" s="22">
        <f>IF(U82="A",K82,IF(U82="B",L82,IF(U82="C",M82,IF(N82="A",K82,IF(N82="B",L82,M82)))))</f>
        <v/>
      </c>
      <c r="W82" s="22">
        <f>IF(R82="",O82,MAX(V82-R82-N(S82),0))</f>
        <v/>
      </c>
      <c r="X82" s="20" t="n"/>
      <c r="Y82" s="23">
        <f>IF(OR(X82="",W82=0),"",X82/W82-1)</f>
        <v/>
      </c>
      <c r="Z82" s="24" t="n"/>
      <c r="AA82" s="21" t="n"/>
      <c r="AB82" s="25" t="n"/>
      <c r="AC82" s="26">
        <f>IF(T82="","Chưa quyết định",IF(OR(Z82="",AA82=""),"⚠ Thiếu lý do/người duyệt",IF(AND(X82&lt;&gt;"",N(X82)+N(R82)+N(S82)&gt;M82*1.001,R82&lt;&gt;""),"⚠ Vượt mục tiêu P90",IF(AND(Y82&lt;&gt;"",ABS(N(Y82))&gt;0.3),"⚠ Lệch &gt; 30% so với nhu cầu",IF(Q82="Có","ℹ Kiểm tra ngoại suy KM","✓ Hợp lệ")))))</f>
        <v/>
      </c>
    </row>
    <row r="83">
      <c r="A83" s="16" t="n">
        <v>79</v>
      </c>
      <c r="B83" s="17" t="inlineStr">
        <is>
          <t>DEC-S11-PRODUCE</t>
        </is>
      </c>
      <c r="C83" s="16" t="n">
        <v>11</v>
      </c>
      <c r="D83" s="17" t="inlineStr">
        <is>
          <t>PRODUCE</t>
        </is>
      </c>
      <c r="E83" s="17" t="inlineStr">
        <is>
          <t>MEDIUM</t>
        </is>
      </c>
      <c r="F83" s="17" t="inlineStr">
        <is>
          <t>TRUNG BÌNH</t>
        </is>
      </c>
      <c r="G83" s="18" t="inlineStr">
        <is>
          <t>RISK_MEDIUM · LARGE_SERIES</t>
        </is>
      </c>
      <c r="H83" s="19" t="n">
        <v>19798.78998095704</v>
      </c>
      <c r="I83" s="19" t="n">
        <v>26183.55792236328</v>
      </c>
      <c r="J83" s="19" t="n">
        <v>37714.62702929688</v>
      </c>
      <c r="K83" s="19" t="n">
        <v>26183.55792236328</v>
      </c>
      <c r="L83" s="19" t="n">
        <v>33390.47611419678</v>
      </c>
      <c r="M83" s="19" t="n">
        <v>37714.62702929688</v>
      </c>
      <c r="N83" s="17" t="inlineStr">
        <is>
          <t>C</t>
        </is>
      </c>
      <c r="O83" s="19" t="n">
        <v>16767.78069140625</v>
      </c>
      <c r="P83" s="18" t="inlineStr">
        <is>
          <t>KHÔNG ĐỀ XUẤT TĂNG</t>
        </is>
      </c>
      <c r="Q83" s="17" t="inlineStr">
        <is>
          <t>Không</t>
        </is>
      </c>
      <c r="R83" s="20" t="n"/>
      <c r="S83" s="20" t="n"/>
      <c r="T83" s="21" t="n"/>
      <c r="U83" s="21" t="n"/>
      <c r="V83" s="22">
        <f>IF(U83="A",K83,IF(U83="B",L83,IF(U83="C",M83,IF(N83="A",K83,IF(N83="B",L83,M83)))))</f>
        <v/>
      </c>
      <c r="W83" s="22">
        <f>IF(R83="",O83,MAX(V83-R83-N(S83),0))</f>
        <v/>
      </c>
      <c r="X83" s="20" t="n"/>
      <c r="Y83" s="23">
        <f>IF(OR(X83="",W83=0),"",X83/W83-1)</f>
        <v/>
      </c>
      <c r="Z83" s="24" t="n"/>
      <c r="AA83" s="21" t="n"/>
      <c r="AB83" s="25" t="n"/>
      <c r="AC83" s="26">
        <f>IF(T83="","Chưa quyết định",IF(OR(Z83="",AA83=""),"⚠ Thiếu lý do/người duyệt",IF(AND(X83&lt;&gt;"",N(X83)+N(R83)+N(S83)&gt;M83*1.001,R83&lt;&gt;""),"⚠ Vượt mục tiêu P90",IF(AND(Y83&lt;&gt;"",ABS(N(Y83))&gt;0.3),"⚠ Lệch &gt; 30% so với nhu cầu",IF(Q83="Có","ℹ Kiểm tra ngoại suy KM","✓ Hợp lệ")))))</f>
        <v/>
      </c>
    </row>
    <row r="84">
      <c r="A84" s="16" t="n">
        <v>80</v>
      </c>
      <c r="B84" s="17" t="inlineStr">
        <is>
          <t>DEC-S30-BEVERAGES</t>
        </is>
      </c>
      <c r="C84" s="16" t="n">
        <v>30</v>
      </c>
      <c r="D84" s="17" t="inlineStr">
        <is>
          <t>BEVERAGES</t>
        </is>
      </c>
      <c r="E84" s="17" t="inlineStr">
        <is>
          <t>MEDIUM</t>
        </is>
      </c>
      <c r="F84" s="17" t="inlineStr">
        <is>
          <t>TRUNG BÌNH</t>
        </is>
      </c>
      <c r="G84" s="18" t="inlineStr">
        <is>
          <t>RISK_MEDIUM · LARGE_SERIES</t>
        </is>
      </c>
      <c r="H84" s="19" t="n">
        <v>19295.1496125</v>
      </c>
      <c r="I84" s="19" t="n">
        <v>25974.884765625</v>
      </c>
      <c r="J84" s="19" t="n">
        <v>38110.529296875</v>
      </c>
      <c r="K84" s="19" t="n">
        <v>25974.884765625</v>
      </c>
      <c r="L84" s="19" t="n">
        <v>33559.66259765625</v>
      </c>
      <c r="M84" s="19" t="n">
        <v>38110.529296875</v>
      </c>
      <c r="N84" s="17" t="inlineStr">
        <is>
          <t>C</t>
        </is>
      </c>
      <c r="O84" s="19" t="n">
        <v>17330.621484375</v>
      </c>
      <c r="P84" s="18" t="inlineStr">
        <is>
          <t>KHÔNG ĐỀ XUẤT TĂNG</t>
        </is>
      </c>
      <c r="Q84" s="17" t="inlineStr">
        <is>
          <t>Không</t>
        </is>
      </c>
      <c r="R84" s="20" t="n"/>
      <c r="S84" s="20" t="n"/>
      <c r="T84" s="21" t="n"/>
      <c r="U84" s="21" t="n"/>
      <c r="V84" s="22">
        <f>IF(U84="A",K84,IF(U84="B",L84,IF(U84="C",M84,IF(N84="A",K84,IF(N84="B",L84,M84)))))</f>
        <v/>
      </c>
      <c r="W84" s="22">
        <f>IF(R84="",O84,MAX(V84-R84-N(S84),0))</f>
        <v/>
      </c>
      <c r="X84" s="20" t="n"/>
      <c r="Y84" s="23">
        <f>IF(OR(X84="",W84=0),"",X84/W84-1)</f>
        <v/>
      </c>
      <c r="Z84" s="24" t="n"/>
      <c r="AA84" s="21" t="n"/>
      <c r="AB84" s="25" t="n"/>
      <c r="AC84" s="26">
        <f>IF(T84="","Chưa quyết định",IF(OR(Z84="",AA84=""),"⚠ Thiếu lý do/người duyệt",IF(AND(X84&lt;&gt;"",N(X84)+N(R84)+N(S84)&gt;M84*1.001,R84&lt;&gt;""),"⚠ Vượt mục tiêu P90",IF(AND(Y84&lt;&gt;"",ABS(N(Y84))&gt;0.3),"⚠ Lệch &gt; 30% so với nhu cầu",IF(Q84="Có","ℹ Kiểm tra ngoại suy KM","✓ Hợp lệ")))))</f>
        <v/>
      </c>
    </row>
    <row r="85">
      <c r="A85" s="16" t="n">
        <v>81</v>
      </c>
      <c r="B85" s="17" t="inlineStr">
        <is>
          <t>DEC-S31-PRODUCE</t>
        </is>
      </c>
      <c r="C85" s="16" t="n">
        <v>31</v>
      </c>
      <c r="D85" s="17" t="inlineStr">
        <is>
          <t>PRODUCE</t>
        </is>
      </c>
      <c r="E85" s="17" t="inlineStr">
        <is>
          <t>MEDIUM</t>
        </is>
      </c>
      <c r="F85" s="17" t="inlineStr">
        <is>
          <t>TRUNG BÌNH</t>
        </is>
      </c>
      <c r="G85" s="18" t="inlineStr">
        <is>
          <t>RISK_MEDIUM · LARGE_SERIES</t>
        </is>
      </c>
      <c r="H85" s="19" t="n">
        <v>20971.01220898437</v>
      </c>
      <c r="I85" s="19" t="n">
        <v>25880.94409179688</v>
      </c>
      <c r="J85" s="19" t="n">
        <v>34389.13607714844</v>
      </c>
      <c r="K85" s="19" t="n">
        <v>25880.94409179688</v>
      </c>
      <c r="L85" s="19" t="n">
        <v>31198.5640826416</v>
      </c>
      <c r="M85" s="19" t="n">
        <v>34389.13607714844</v>
      </c>
      <c r="N85" s="17" t="inlineStr">
        <is>
          <t>C</t>
        </is>
      </c>
      <c r="O85" s="19" t="n">
        <v>13684.38080371094</v>
      </c>
      <c r="P85" s="18" t="inlineStr">
        <is>
          <t>KHÔNG ĐỀ XUẤT TĂNG</t>
        </is>
      </c>
      <c r="Q85" s="17" t="inlineStr">
        <is>
          <t>Không</t>
        </is>
      </c>
      <c r="R85" s="20" t="n"/>
      <c r="S85" s="20" t="n"/>
      <c r="T85" s="21" t="n"/>
      <c r="U85" s="21" t="n"/>
      <c r="V85" s="22">
        <f>IF(U85="A",K85,IF(U85="B",L85,IF(U85="C",M85,IF(N85="A",K85,IF(N85="B",L85,M85)))))</f>
        <v/>
      </c>
      <c r="W85" s="22">
        <f>IF(R85="",O85,MAX(V85-R85-N(S85),0))</f>
        <v/>
      </c>
      <c r="X85" s="20" t="n"/>
      <c r="Y85" s="23">
        <f>IF(OR(X85="",W85=0),"",X85/W85-1)</f>
        <v/>
      </c>
      <c r="Z85" s="24" t="n"/>
      <c r="AA85" s="21" t="n"/>
      <c r="AB85" s="25" t="n"/>
      <c r="AC85" s="26">
        <f>IF(T85="","Chưa quyết định",IF(OR(Z85="",AA85=""),"⚠ Thiếu lý do/người duyệt",IF(AND(X85&lt;&gt;"",N(X85)+N(R85)+N(S85)&gt;M85*1.001,R85&lt;&gt;""),"⚠ Vượt mục tiêu P90",IF(AND(Y85&lt;&gt;"",ABS(N(Y85))&gt;0.3),"⚠ Lệch &gt; 30% so với nhu cầu",IF(Q85="Có","ℹ Kiểm tra ngoại suy KM","✓ Hợp lệ")))))</f>
        <v/>
      </c>
    </row>
    <row r="86">
      <c r="A86" s="16" t="n">
        <v>82</v>
      </c>
      <c r="B86" s="17" t="inlineStr">
        <is>
          <t>DEC-S17-PRODUCE</t>
        </is>
      </c>
      <c r="C86" s="16" t="n">
        <v>17</v>
      </c>
      <c r="D86" s="17" t="inlineStr">
        <is>
          <t>PRODUCE</t>
        </is>
      </c>
      <c r="E86" s="17" t="inlineStr">
        <is>
          <t>MEDIUM</t>
        </is>
      </c>
      <c r="F86" s="17" t="inlineStr">
        <is>
          <t>TRUNG BÌNH</t>
        </is>
      </c>
      <c r="G86" s="18" t="inlineStr">
        <is>
          <t>RISK_MEDIUM · LARGE_SERIES</t>
        </is>
      </c>
      <c r="H86" s="19" t="n">
        <v>19744.45049101562</v>
      </c>
      <c r="I86" s="19" t="n">
        <v>25834.25122070312</v>
      </c>
      <c r="J86" s="19" t="n">
        <v>36760.74490332032</v>
      </c>
      <c r="K86" s="19" t="n">
        <v>25834.25122070312</v>
      </c>
      <c r="L86" s="19" t="n">
        <v>32663.30977233887</v>
      </c>
      <c r="M86" s="19" t="n">
        <v>36760.74490332032</v>
      </c>
      <c r="N86" s="17" t="inlineStr">
        <is>
          <t>C</t>
        </is>
      </c>
      <c r="O86" s="19" t="n">
        <v>16093.34392675782</v>
      </c>
      <c r="P86" s="18" t="inlineStr">
        <is>
          <t>KHÔNG ĐỀ XUẤT TĂNG</t>
        </is>
      </c>
      <c r="Q86" s="17" t="inlineStr">
        <is>
          <t>Không</t>
        </is>
      </c>
      <c r="R86" s="20" t="n"/>
      <c r="S86" s="20" t="n"/>
      <c r="T86" s="21" t="n"/>
      <c r="U86" s="21" t="n"/>
      <c r="V86" s="22">
        <f>IF(U86="A",K86,IF(U86="B",L86,IF(U86="C",M86,IF(N86="A",K86,IF(N86="B",L86,M86)))))</f>
        <v/>
      </c>
      <c r="W86" s="22">
        <f>IF(R86="",O86,MAX(V86-R86-N(S86),0))</f>
        <v/>
      </c>
      <c r="X86" s="20" t="n"/>
      <c r="Y86" s="23">
        <f>IF(OR(X86="",W86=0),"",X86/W86-1)</f>
        <v/>
      </c>
      <c r="Z86" s="24" t="n"/>
      <c r="AA86" s="21" t="n"/>
      <c r="AB86" s="25" t="n"/>
      <c r="AC86" s="26">
        <f>IF(T86="","Chưa quyết định",IF(OR(Z86="",AA86=""),"⚠ Thiếu lý do/người duyệt",IF(AND(X86&lt;&gt;"",N(X86)+N(R86)+N(S86)&gt;M86*1.001,R86&lt;&gt;""),"⚠ Vượt mục tiêu P90",IF(AND(Y86&lt;&gt;"",ABS(N(Y86))&gt;0.3),"⚠ Lệch &gt; 30% so với nhu cầu",IF(Q86="Có","ℹ Kiểm tra ngoại suy KM","✓ Hợp lệ")))))</f>
        <v/>
      </c>
    </row>
    <row r="87">
      <c r="A87" s="16" t="n">
        <v>83</v>
      </c>
      <c r="B87" s="17" t="inlineStr">
        <is>
          <t>DEC-S05-PRODUCE</t>
        </is>
      </c>
      <c r="C87" s="16" t="n">
        <v>5</v>
      </c>
      <c r="D87" s="17" t="inlineStr">
        <is>
          <t>PRODUCE</t>
        </is>
      </c>
      <c r="E87" s="17" t="inlineStr">
        <is>
          <t>MEDIUM</t>
        </is>
      </c>
      <c r="F87" s="17" t="inlineStr">
        <is>
          <t>TRUNG BÌNH</t>
        </is>
      </c>
      <c r="G87" s="18" t="inlineStr">
        <is>
          <t>RISK_MEDIUM · LARGE_SERIES</t>
        </is>
      </c>
      <c r="H87" s="19" t="n">
        <v>19426.18182666016</v>
      </c>
      <c r="I87" s="19" t="n">
        <v>25810.94976806641</v>
      </c>
      <c r="J87" s="19" t="n">
        <v>37342.018875</v>
      </c>
      <c r="K87" s="19" t="n">
        <v>25810.94976806641</v>
      </c>
      <c r="L87" s="19" t="n">
        <v>33017.8679598999</v>
      </c>
      <c r="M87" s="19" t="n">
        <v>37342.018875</v>
      </c>
      <c r="N87" s="17" t="inlineStr">
        <is>
          <t>C</t>
        </is>
      </c>
      <c r="O87" s="19" t="n">
        <v>16693.25906054687</v>
      </c>
      <c r="P87" s="18" t="inlineStr">
        <is>
          <t>KHÔNG ĐỀ XUẤT TĂNG</t>
        </is>
      </c>
      <c r="Q87" s="17" t="inlineStr">
        <is>
          <t>Không</t>
        </is>
      </c>
      <c r="R87" s="20" t="n"/>
      <c r="S87" s="20" t="n"/>
      <c r="T87" s="21" t="n"/>
      <c r="U87" s="21" t="n"/>
      <c r="V87" s="22">
        <f>IF(U87="A",K87,IF(U87="B",L87,IF(U87="C",M87,IF(N87="A",K87,IF(N87="B",L87,M87)))))</f>
        <v/>
      </c>
      <c r="W87" s="22">
        <f>IF(R87="",O87,MAX(V87-R87-N(S87),0))</f>
        <v/>
      </c>
      <c r="X87" s="20" t="n"/>
      <c r="Y87" s="23">
        <f>IF(OR(X87="",W87=0),"",X87/W87-1)</f>
        <v/>
      </c>
      <c r="Z87" s="24" t="n"/>
      <c r="AA87" s="21" t="n"/>
      <c r="AB87" s="25" t="n"/>
      <c r="AC87" s="26">
        <f>IF(T87="","Chưa quyết định",IF(OR(Z87="",AA87=""),"⚠ Thiếu lý do/người duyệt",IF(AND(X87&lt;&gt;"",N(X87)+N(R87)+N(S87)&gt;M87*1.001,R87&lt;&gt;""),"⚠ Vượt mục tiêu P90",IF(AND(Y87&lt;&gt;"",ABS(N(Y87))&gt;0.3),"⚠ Lệch &gt; 30% so với nhu cầu",IF(Q87="Có","ℹ Kiểm tra ngoại suy KM","✓ Hợp lệ")))))</f>
        <v/>
      </c>
    </row>
    <row r="88">
      <c r="A88" s="16" t="n">
        <v>84</v>
      </c>
      <c r="B88" s="17" t="inlineStr">
        <is>
          <t>DEC-S39-CLEANING</t>
        </is>
      </c>
      <c r="C88" s="16" t="n">
        <v>39</v>
      </c>
      <c r="D88" s="17" t="inlineStr">
        <is>
          <t>CLEANING</t>
        </is>
      </c>
      <c r="E88" s="17" t="inlineStr">
        <is>
          <t>MEDIUM</t>
        </is>
      </c>
      <c r="F88" s="17" t="inlineStr">
        <is>
          <t>TRUNG BÌNH</t>
        </is>
      </c>
      <c r="G88" s="18" t="inlineStr">
        <is>
          <t>RISK_MEDIUM · LARGE_SERIES</t>
        </is>
      </c>
      <c r="H88" s="19" t="n">
        <v>19542.14006621094</v>
      </c>
      <c r="I88" s="19" t="n">
        <v>25631.94079589844</v>
      </c>
      <c r="J88" s="19" t="n">
        <v>36558.43447851563</v>
      </c>
      <c r="K88" s="19" t="n">
        <v>25631.94079589844</v>
      </c>
      <c r="L88" s="19" t="n">
        <v>32460.99934753418</v>
      </c>
      <c r="M88" s="19" t="n">
        <v>36558.43447851563</v>
      </c>
      <c r="N88" s="17" t="inlineStr">
        <is>
          <t>C</t>
        </is>
      </c>
      <c r="O88" s="19" t="n">
        <v>16052.88184179688</v>
      </c>
      <c r="P88" s="18" t="inlineStr">
        <is>
          <t>KHÔNG ĐỀ XUẤT TĂNG</t>
        </is>
      </c>
      <c r="Q88" s="17" t="inlineStr">
        <is>
          <t>Không</t>
        </is>
      </c>
      <c r="R88" s="20" t="n"/>
      <c r="S88" s="20" t="n"/>
      <c r="T88" s="21" t="n"/>
      <c r="U88" s="21" t="n"/>
      <c r="V88" s="22">
        <f>IF(U88="A",K88,IF(U88="B",L88,IF(U88="C",M88,IF(N88="A",K88,IF(N88="B",L88,M88)))))</f>
        <v/>
      </c>
      <c r="W88" s="22">
        <f>IF(R88="",O88,MAX(V88-R88-N(S88),0))</f>
        <v/>
      </c>
      <c r="X88" s="20" t="n"/>
      <c r="Y88" s="23">
        <f>IF(OR(X88="",W88=0),"",X88/W88-1)</f>
        <v/>
      </c>
      <c r="Z88" s="24" t="n"/>
      <c r="AA88" s="21" t="n"/>
      <c r="AB88" s="25" t="n"/>
      <c r="AC88" s="26">
        <f>IF(T88="","Chưa quyết định",IF(OR(Z88="",AA88=""),"⚠ Thiếu lý do/người duyệt",IF(AND(X88&lt;&gt;"",N(X88)+N(R88)+N(S88)&gt;M88*1.001,R88&lt;&gt;""),"⚠ Vượt mục tiêu P90",IF(AND(Y88&lt;&gt;"",ABS(N(Y88))&gt;0.3),"⚠ Lệch &gt; 30% so với nhu cầu",IF(Q88="Có","ℹ Kiểm tra ngoại suy KM","✓ Hợp lệ")))))</f>
        <v/>
      </c>
    </row>
    <row r="89">
      <c r="A89" s="16" t="n">
        <v>85</v>
      </c>
      <c r="B89" s="17" t="inlineStr">
        <is>
          <t>DEC-S14-BEVERAGES</t>
        </is>
      </c>
      <c r="C89" s="16" t="n">
        <v>14</v>
      </c>
      <c r="D89" s="17" t="inlineStr">
        <is>
          <t>BEVERAGES</t>
        </is>
      </c>
      <c r="E89" s="17" t="inlineStr">
        <is>
          <t>MEDIUM</t>
        </is>
      </c>
      <c r="F89" s="17" t="inlineStr">
        <is>
          <t>TRUNG BÌNH</t>
        </is>
      </c>
      <c r="G89" s="18" t="inlineStr">
        <is>
          <t>RISK_MEDIUM · LARGE_SERIES</t>
        </is>
      </c>
      <c r="H89" s="19" t="n">
        <v>18470.92671210938</v>
      </c>
      <c r="I89" s="19" t="n">
        <v>25150.66186523437</v>
      </c>
      <c r="J89" s="19" t="n">
        <v>37286.30639648438</v>
      </c>
      <c r="K89" s="19" t="n">
        <v>25150.66186523437</v>
      </c>
      <c r="L89" s="19" t="n">
        <v>32735.43969726562</v>
      </c>
      <c r="M89" s="19" t="n">
        <v>37286.30639648438</v>
      </c>
      <c r="N89" s="17" t="inlineStr">
        <is>
          <t>C</t>
        </is>
      </c>
      <c r="O89" s="19" t="n">
        <v>17165.77690429687</v>
      </c>
      <c r="P89" s="18" t="inlineStr">
        <is>
          <t>KHÔNG ĐỀ XUẤT TĂNG</t>
        </is>
      </c>
      <c r="Q89" s="17" t="inlineStr">
        <is>
          <t>Không</t>
        </is>
      </c>
      <c r="R89" s="20" t="n"/>
      <c r="S89" s="20" t="n"/>
      <c r="T89" s="21" t="n"/>
      <c r="U89" s="21" t="n"/>
      <c r="V89" s="22">
        <f>IF(U89="A",K89,IF(U89="B",L89,IF(U89="C",M89,IF(N89="A",K89,IF(N89="B",L89,M89)))))</f>
        <v/>
      </c>
      <c r="W89" s="22">
        <f>IF(R89="",O89,MAX(V89-R89-N(S89),0))</f>
        <v/>
      </c>
      <c r="X89" s="20" t="n"/>
      <c r="Y89" s="23">
        <f>IF(OR(X89="",W89=0),"",X89/W89-1)</f>
        <v/>
      </c>
      <c r="Z89" s="24" t="n"/>
      <c r="AA89" s="21" t="n"/>
      <c r="AB89" s="25" t="n"/>
      <c r="AC89" s="26">
        <f>IF(T89="","Chưa quyết định",IF(OR(Z89="",AA89=""),"⚠ Thiếu lý do/người duyệt",IF(AND(X89&lt;&gt;"",N(X89)+N(R89)+N(S89)&gt;M89*1.001,R89&lt;&gt;""),"⚠ Vượt mục tiêu P90",IF(AND(Y89&lt;&gt;"",ABS(N(Y89))&gt;0.3),"⚠ Lệch &gt; 30% so với nhu cầu",IF(Q89="Có","ℹ Kiểm tra ngoại suy KM","✓ Hợp lệ")))))</f>
        <v/>
      </c>
    </row>
    <row r="90">
      <c r="A90" s="16" t="n">
        <v>86</v>
      </c>
      <c r="B90" s="17" t="inlineStr">
        <is>
          <t>DEC-S51-CLEANING</t>
        </is>
      </c>
      <c r="C90" s="16" t="n">
        <v>51</v>
      </c>
      <c r="D90" s="17" t="inlineStr">
        <is>
          <t>CLEANING</t>
        </is>
      </c>
      <c r="E90" s="17" t="inlineStr">
        <is>
          <t>MEDIUM</t>
        </is>
      </c>
      <c r="F90" s="17" t="inlineStr">
        <is>
          <t>TRUNG BÌNH</t>
        </is>
      </c>
      <c r="G90" s="18" t="inlineStr">
        <is>
          <t>RISK_MEDIUM · LARGE_SERIES</t>
        </is>
      </c>
      <c r="H90" s="19" t="n">
        <v>18984.47771269531</v>
      </c>
      <c r="I90" s="19" t="n">
        <v>25074.27844238281</v>
      </c>
      <c r="J90" s="19" t="n">
        <v>36000.772125</v>
      </c>
      <c r="K90" s="19" t="n">
        <v>25074.27844238281</v>
      </c>
      <c r="L90" s="19" t="n">
        <v>31903.33699401855</v>
      </c>
      <c r="M90" s="19" t="n">
        <v>36000.772125</v>
      </c>
      <c r="N90" s="17" t="inlineStr">
        <is>
          <t>C</t>
        </is>
      </c>
      <c r="O90" s="19" t="n">
        <v>15941.34937109376</v>
      </c>
      <c r="P90" s="18" t="inlineStr">
        <is>
          <t>KHÔNG ĐỀ XUẤT TĂNG</t>
        </is>
      </c>
      <c r="Q90" s="17" t="inlineStr">
        <is>
          <t>Không</t>
        </is>
      </c>
      <c r="R90" s="20" t="n"/>
      <c r="S90" s="20" t="n"/>
      <c r="T90" s="21" t="n"/>
      <c r="U90" s="21" t="n"/>
      <c r="V90" s="22">
        <f>IF(U90="A",K90,IF(U90="B",L90,IF(U90="C",M90,IF(N90="A",K90,IF(N90="B",L90,M90)))))</f>
        <v/>
      </c>
      <c r="W90" s="22">
        <f>IF(R90="",O90,MAX(V90-R90-N(S90),0))</f>
        <v/>
      </c>
      <c r="X90" s="20" t="n"/>
      <c r="Y90" s="23">
        <f>IF(OR(X90="",W90=0),"",X90/W90-1)</f>
        <v/>
      </c>
      <c r="Z90" s="24" t="n"/>
      <c r="AA90" s="21" t="n"/>
      <c r="AB90" s="25" t="n"/>
      <c r="AC90" s="26">
        <f>IF(T90="","Chưa quyết định",IF(OR(Z90="",AA90=""),"⚠ Thiếu lý do/người duyệt",IF(AND(X90&lt;&gt;"",N(X90)+N(R90)+N(S90)&gt;M90*1.001,R90&lt;&gt;""),"⚠ Vượt mục tiêu P90",IF(AND(Y90&lt;&gt;"",ABS(N(Y90))&gt;0.3),"⚠ Lệch &gt; 30% so với nhu cầu",IF(Q90="Có","ℹ Kiểm tra ngoại suy KM","✓ Hợp lệ")))))</f>
        <v/>
      </c>
    </row>
    <row r="91">
      <c r="A91" s="16" t="n">
        <v>87</v>
      </c>
      <c r="B91" s="17" t="inlineStr">
        <is>
          <t>DEC-S32-GROCERY_I</t>
        </is>
      </c>
      <c r="C91" s="16" t="n">
        <v>32</v>
      </c>
      <c r="D91" s="17" t="inlineStr">
        <is>
          <t>GROCERY I</t>
        </is>
      </c>
      <c r="E91" s="17" t="inlineStr">
        <is>
          <t>MEDIUM</t>
        </is>
      </c>
      <c r="F91" s="17" t="inlineStr">
        <is>
          <t>TRUNG BÌNH</t>
        </is>
      </c>
      <c r="G91" s="18" t="inlineStr">
        <is>
          <t>RISK_MEDIUM · LARGE_SERIES</t>
        </is>
      </c>
      <c r="H91" s="19" t="n">
        <v>18476.89482695312</v>
      </c>
      <c r="I91" s="19" t="n">
        <v>24566.69555664062</v>
      </c>
      <c r="J91" s="19" t="n">
        <v>35493.18923925782</v>
      </c>
      <c r="K91" s="19" t="n">
        <v>24566.69555664062</v>
      </c>
      <c r="L91" s="19" t="n">
        <v>31395.75410827637</v>
      </c>
      <c r="M91" s="19" t="n">
        <v>35493.18923925782</v>
      </c>
      <c r="N91" s="17" t="inlineStr">
        <is>
          <t>C</t>
        </is>
      </c>
      <c r="O91" s="19" t="n">
        <v>15839.83279394532</v>
      </c>
      <c r="P91" s="18" t="inlineStr">
        <is>
          <t>KHÔNG ĐỀ XUẤT TĂNG</t>
        </is>
      </c>
      <c r="Q91" s="17" t="inlineStr">
        <is>
          <t>Không</t>
        </is>
      </c>
      <c r="R91" s="20" t="n"/>
      <c r="S91" s="20" t="n"/>
      <c r="T91" s="21" t="n"/>
      <c r="U91" s="21" t="n"/>
      <c r="V91" s="22">
        <f>IF(U91="A",K91,IF(U91="B",L91,IF(U91="C",M91,IF(N91="A",K91,IF(N91="B",L91,M91)))))</f>
        <v/>
      </c>
      <c r="W91" s="22">
        <f>IF(R91="",O91,MAX(V91-R91-N(S91),0))</f>
        <v/>
      </c>
      <c r="X91" s="20" t="n"/>
      <c r="Y91" s="23">
        <f>IF(OR(X91="",W91=0),"",X91/W91-1)</f>
        <v/>
      </c>
      <c r="Z91" s="24" t="n"/>
      <c r="AA91" s="21" t="n"/>
      <c r="AB91" s="25" t="n"/>
      <c r="AC91" s="26">
        <f>IF(T91="","Chưa quyết định",IF(OR(Z91="",AA91=""),"⚠ Thiếu lý do/người duyệt",IF(AND(X91&lt;&gt;"",N(X91)+N(R91)+N(S91)&gt;M91*1.001,R91&lt;&gt;""),"⚠ Vượt mục tiêu P90",IF(AND(Y91&lt;&gt;"",ABS(N(Y91))&gt;0.3),"⚠ Lệch &gt; 30% so với nhu cầu",IF(Q91="Có","ℹ Kiểm tra ngoại suy KM","✓ Hợp lệ")))))</f>
        <v/>
      </c>
    </row>
    <row r="92">
      <c r="A92" s="16" t="n">
        <v>88</v>
      </c>
      <c r="B92" s="17" t="inlineStr">
        <is>
          <t>DEC-S08-DAIRY</t>
        </is>
      </c>
      <c r="C92" s="16" t="n">
        <v>8</v>
      </c>
      <c r="D92" s="17" t="inlineStr">
        <is>
          <t>DAIRY</t>
        </is>
      </c>
      <c r="E92" s="17" t="inlineStr">
        <is>
          <t>MEDIUM</t>
        </is>
      </c>
      <c r="F92" s="17" t="inlineStr">
        <is>
          <t>TRUNG BÌNH</t>
        </is>
      </c>
      <c r="G92" s="18" t="inlineStr">
        <is>
          <t>RISK_MEDIUM · LARGE_SERIES</t>
        </is>
      </c>
      <c r="H92" s="19" t="n">
        <v>18474.56914335937</v>
      </c>
      <c r="I92" s="19" t="n">
        <v>24564.36987304688</v>
      </c>
      <c r="J92" s="19" t="n">
        <v>35490.86355566407</v>
      </c>
      <c r="K92" s="19" t="n">
        <v>24564.36987304688</v>
      </c>
      <c r="L92" s="19" t="n">
        <v>31393.42842468262</v>
      </c>
      <c r="M92" s="19" t="n">
        <v>35490.86355566407</v>
      </c>
      <c r="N92" s="17" t="inlineStr">
        <is>
          <t>C</t>
        </is>
      </c>
      <c r="O92" s="19" t="n">
        <v>15839.36765722656</v>
      </c>
      <c r="P92" s="18" t="inlineStr">
        <is>
          <t>KHÔNG ĐỀ XUẤT TĂNG</t>
        </is>
      </c>
      <c r="Q92" s="17" t="inlineStr">
        <is>
          <t>Không</t>
        </is>
      </c>
      <c r="R92" s="20" t="n"/>
      <c r="S92" s="20" t="n"/>
      <c r="T92" s="21" t="n"/>
      <c r="U92" s="21" t="n"/>
      <c r="V92" s="22">
        <f>IF(U92="A",K92,IF(U92="B",L92,IF(U92="C",M92,IF(N92="A",K92,IF(N92="B",L92,M92)))))</f>
        <v/>
      </c>
      <c r="W92" s="22">
        <f>IF(R92="",O92,MAX(V92-R92-N(S92),0))</f>
        <v/>
      </c>
      <c r="X92" s="20" t="n"/>
      <c r="Y92" s="23">
        <f>IF(OR(X92="",W92=0),"",X92/W92-1)</f>
        <v/>
      </c>
      <c r="Z92" s="24" t="n"/>
      <c r="AA92" s="21" t="n"/>
      <c r="AB92" s="25" t="n"/>
      <c r="AC92" s="26">
        <f>IF(T92="","Chưa quyết định",IF(OR(Z92="",AA92=""),"⚠ Thiếu lý do/người duyệt",IF(AND(X92&lt;&gt;"",N(X92)+N(R92)+N(S92)&gt;M92*1.001,R92&lt;&gt;""),"⚠ Vượt mục tiêu P90",IF(AND(Y92&lt;&gt;"",ABS(N(Y92))&gt;0.3),"⚠ Lệch &gt; 30% so với nhu cầu",IF(Q92="Có","ℹ Kiểm tra ngoại suy KM","✓ Hợp lệ")))))</f>
        <v/>
      </c>
    </row>
    <row r="93">
      <c r="A93" s="16" t="n">
        <v>89</v>
      </c>
      <c r="B93" s="17" t="inlineStr">
        <is>
          <t>DEC-S21-PRODUCE</t>
        </is>
      </c>
      <c r="C93" s="16" t="n">
        <v>21</v>
      </c>
      <c r="D93" s="17" t="inlineStr">
        <is>
          <t>PRODUCE</t>
        </is>
      </c>
      <c r="E93" s="17" t="inlineStr">
        <is>
          <t>MEDIUM</t>
        </is>
      </c>
      <c r="F93" s="17" t="inlineStr">
        <is>
          <t>TRUNG BÌNH</t>
        </is>
      </c>
      <c r="G93" s="18" t="inlineStr">
        <is>
          <t>RISK_MEDIUM · LARGE_SERIES</t>
        </is>
      </c>
      <c r="H93" s="19" t="n">
        <v>18936.372878125</v>
      </c>
      <c r="I93" s="19" t="n">
        <v>24141.27197265625</v>
      </c>
      <c r="J93" s="19" t="n">
        <v>33254.03938232422</v>
      </c>
      <c r="K93" s="19" t="n">
        <v>24141.27197265625</v>
      </c>
      <c r="L93" s="19" t="n">
        <v>29836.75160369873</v>
      </c>
      <c r="M93" s="19" t="n">
        <v>33254.03938232422</v>
      </c>
      <c r="N93" s="17" t="inlineStr">
        <is>
          <t>C</t>
        </is>
      </c>
      <c r="O93" s="19" t="n">
        <v>13941.02180419922</v>
      </c>
      <c r="P93" s="18" t="inlineStr">
        <is>
          <t>KHÔNG ĐỀ XUẤT TĂNG</t>
        </is>
      </c>
      <c r="Q93" s="17" t="inlineStr">
        <is>
          <t>Không</t>
        </is>
      </c>
      <c r="R93" s="20" t="n"/>
      <c r="S93" s="20" t="n"/>
      <c r="T93" s="21" t="n"/>
      <c r="U93" s="21" t="n"/>
      <c r="V93" s="22">
        <f>IF(U93="A",K93,IF(U93="B",L93,IF(U93="C",M93,IF(N93="A",K93,IF(N93="B",L93,M93)))))</f>
        <v/>
      </c>
      <c r="W93" s="22">
        <f>IF(R93="",O93,MAX(V93-R93-N(S93),0))</f>
        <v/>
      </c>
      <c r="X93" s="20" t="n"/>
      <c r="Y93" s="23">
        <f>IF(OR(X93="",W93=0),"",X93/W93-1)</f>
        <v/>
      </c>
      <c r="Z93" s="24" t="n"/>
      <c r="AA93" s="21" t="n"/>
      <c r="AB93" s="25" t="n"/>
      <c r="AC93" s="26">
        <f>IF(T93="","Chưa quyết định",IF(OR(Z93="",AA93=""),"⚠ Thiếu lý do/người duyệt",IF(AND(X93&lt;&gt;"",N(X93)+N(R93)+N(S93)&gt;M93*1.001,R93&lt;&gt;""),"⚠ Vượt mục tiêu P90",IF(AND(Y93&lt;&gt;"",ABS(N(Y93))&gt;0.3),"⚠ Lệch &gt; 30% so với nhu cầu",IF(Q93="Có","ℹ Kiểm tra ngoại suy KM","✓ Hợp lệ")))))</f>
        <v/>
      </c>
    </row>
    <row r="94">
      <c r="A94" s="16" t="n">
        <v>90</v>
      </c>
      <c r="B94" s="17" t="inlineStr">
        <is>
          <t>DEC-S35-BEVERAGES</t>
        </is>
      </c>
      <c r="C94" s="16" t="n">
        <v>35</v>
      </c>
      <c r="D94" s="17" t="inlineStr">
        <is>
          <t>BEVERAGES</t>
        </is>
      </c>
      <c r="E94" s="17" t="inlineStr">
        <is>
          <t>MEDIUM</t>
        </is>
      </c>
      <c r="F94" s="17" t="inlineStr">
        <is>
          <t>TRUNG BÌNH</t>
        </is>
      </c>
      <c r="G94" s="18" t="inlineStr">
        <is>
          <t>RISK_MEDIUM · LARGE_SERIES</t>
        </is>
      </c>
      <c r="H94" s="19" t="n">
        <v>17841.9160671875</v>
      </c>
      <c r="I94" s="19" t="n">
        <v>23931.716796875</v>
      </c>
      <c r="J94" s="19" t="n">
        <v>34858.21047949219</v>
      </c>
      <c r="K94" s="19" t="n">
        <v>23931.716796875</v>
      </c>
      <c r="L94" s="19" t="n">
        <v>30760.77534851075</v>
      </c>
      <c r="M94" s="19" t="n">
        <v>34858.21047949219</v>
      </c>
      <c r="N94" s="17" t="inlineStr">
        <is>
          <t>C</t>
        </is>
      </c>
      <c r="O94" s="19" t="n">
        <v>15712.83704199219</v>
      </c>
      <c r="P94" s="18" t="inlineStr">
        <is>
          <t>KHÔNG ĐỀ XUẤT TĂNG</t>
        </is>
      </c>
      <c r="Q94" s="17" t="inlineStr">
        <is>
          <t>Không</t>
        </is>
      </c>
      <c r="R94" s="20" t="n"/>
      <c r="S94" s="20" t="n"/>
      <c r="T94" s="21" t="n"/>
      <c r="U94" s="21" t="n"/>
      <c r="V94" s="22">
        <f>IF(U94="A",K94,IF(U94="B",L94,IF(U94="C",M94,IF(N94="A",K94,IF(N94="B",L94,M94)))))</f>
        <v/>
      </c>
      <c r="W94" s="22">
        <f>IF(R94="",O94,MAX(V94-R94-N(S94),0))</f>
        <v/>
      </c>
      <c r="X94" s="20" t="n"/>
      <c r="Y94" s="23">
        <f>IF(OR(X94="",W94=0),"",X94/W94-1)</f>
        <v/>
      </c>
      <c r="Z94" s="24" t="n"/>
      <c r="AA94" s="21" t="n"/>
      <c r="AB94" s="25" t="n"/>
      <c r="AC94" s="26">
        <f>IF(T94="","Chưa quyết định",IF(OR(Z94="",AA94=""),"⚠ Thiếu lý do/người duyệt",IF(AND(X94&lt;&gt;"",N(X94)+N(R94)+N(S94)&gt;M94*1.001,R94&lt;&gt;""),"⚠ Vượt mục tiêu P90",IF(AND(Y94&lt;&gt;"",ABS(N(Y94))&gt;0.3),"⚠ Lệch &gt; 30% so với nhu cầu",IF(Q94="Có","ℹ Kiểm tra ngoại suy KM","✓ Hợp lệ")))))</f>
        <v/>
      </c>
    </row>
    <row r="95">
      <c r="A95" s="16" t="n">
        <v>91</v>
      </c>
      <c r="B95" s="17" t="inlineStr">
        <is>
          <t>DEC-S33-PRODUCE</t>
        </is>
      </c>
      <c r="C95" s="16" t="n">
        <v>33</v>
      </c>
      <c r="D95" s="17" t="inlineStr">
        <is>
          <t>PRODUCE</t>
        </is>
      </c>
      <c r="E95" s="17" t="inlineStr">
        <is>
          <t>MEDIUM</t>
        </is>
      </c>
      <c r="F95" s="17" t="inlineStr">
        <is>
          <t>TRUNG BÌNH</t>
        </is>
      </c>
      <c r="G95" s="18" t="inlineStr">
        <is>
          <t>RISK_MEDIUM · LARGE_SERIES</t>
        </is>
      </c>
      <c r="H95" s="19" t="n">
        <v>18757.42993359375</v>
      </c>
      <c r="I95" s="19" t="n">
        <v>23667.36181640625</v>
      </c>
      <c r="J95" s="19" t="n">
        <v>32175.55380175781</v>
      </c>
      <c r="K95" s="19" t="n">
        <v>23667.36181640625</v>
      </c>
      <c r="L95" s="19" t="n">
        <v>28984.98180725097</v>
      </c>
      <c r="M95" s="19" t="n">
        <v>32175.55380175781</v>
      </c>
      <c r="N95" s="17" t="inlineStr">
        <is>
          <t>C</t>
        </is>
      </c>
      <c r="O95" s="19" t="n">
        <v>13241.66434863281</v>
      </c>
      <c r="P95" s="18" t="inlineStr">
        <is>
          <t>KHÔNG ĐỀ XUẤT TĂNG</t>
        </is>
      </c>
      <c r="Q95" s="17" t="inlineStr">
        <is>
          <t>Không</t>
        </is>
      </c>
      <c r="R95" s="20" t="n"/>
      <c r="S95" s="20" t="n"/>
      <c r="T95" s="21" t="n"/>
      <c r="U95" s="21" t="n"/>
      <c r="V95" s="22">
        <f>IF(U95="A",K95,IF(U95="B",L95,IF(U95="C",M95,IF(N95="A",K95,IF(N95="B",L95,M95)))))</f>
        <v/>
      </c>
      <c r="W95" s="22">
        <f>IF(R95="",O95,MAX(V95-R95-N(S95),0))</f>
        <v/>
      </c>
      <c r="X95" s="20" t="n"/>
      <c r="Y95" s="23">
        <f>IF(OR(X95="",W95=0),"",X95/W95-1)</f>
        <v/>
      </c>
      <c r="Z95" s="24" t="n"/>
      <c r="AA95" s="21" t="n"/>
      <c r="AB95" s="25" t="n"/>
      <c r="AC95" s="26">
        <f>IF(T95="","Chưa quyết định",IF(OR(Z95="",AA95=""),"⚠ Thiếu lý do/người duyệt",IF(AND(X95&lt;&gt;"",N(X95)+N(R95)+N(S95)&gt;M95*1.001,R95&lt;&gt;""),"⚠ Vượt mục tiêu P90",IF(AND(Y95&lt;&gt;"",ABS(N(Y95))&gt;0.3),"⚠ Lệch &gt; 30% so với nhu cầu",IF(Q95="Có","ℹ Kiểm tra ngoại suy KM","✓ Hợp lệ")))))</f>
        <v/>
      </c>
    </row>
    <row r="96">
      <c r="A96" s="16" t="n">
        <v>92</v>
      </c>
      <c r="B96" s="17" t="inlineStr">
        <is>
          <t>DEC-S25-PRODUCE</t>
        </is>
      </c>
      <c r="C96" s="16" t="n">
        <v>25</v>
      </c>
      <c r="D96" s="17" t="inlineStr">
        <is>
          <t>PRODUCE</t>
        </is>
      </c>
      <c r="E96" s="17" t="inlineStr">
        <is>
          <t>MEDIUM</t>
        </is>
      </c>
      <c r="F96" s="17" t="inlineStr">
        <is>
          <t>TRUNG BÌNH</t>
        </is>
      </c>
      <c r="G96" s="18" t="inlineStr">
        <is>
          <t>RISK_MEDIUM · LARGE_SERIES</t>
        </is>
      </c>
      <c r="H96" s="19" t="n">
        <v>18286.42773632813</v>
      </c>
      <c r="I96" s="19" t="n">
        <v>23196.35961914062</v>
      </c>
      <c r="J96" s="19" t="n">
        <v>31704.55160449218</v>
      </c>
      <c r="K96" s="19" t="n">
        <v>23196.35961914062</v>
      </c>
      <c r="L96" s="19" t="n">
        <v>28513.97960998535</v>
      </c>
      <c r="M96" s="19" t="n">
        <v>31704.55160449218</v>
      </c>
      <c r="N96" s="17" t="inlineStr">
        <is>
          <t>C</t>
        </is>
      </c>
      <c r="O96" s="19" t="n">
        <v>13147.46390917968</v>
      </c>
      <c r="P96" s="18" t="inlineStr">
        <is>
          <t>KHÔNG ĐỀ XUẤT TĂNG</t>
        </is>
      </c>
      <c r="Q96" s="17" t="inlineStr">
        <is>
          <t>Không</t>
        </is>
      </c>
      <c r="R96" s="20" t="n"/>
      <c r="S96" s="20" t="n"/>
      <c r="T96" s="21" t="n"/>
      <c r="U96" s="21" t="n"/>
      <c r="V96" s="22">
        <f>IF(U96="A",K96,IF(U96="B",L96,IF(U96="C",M96,IF(N96="A",K96,IF(N96="B",L96,M96)))))</f>
        <v/>
      </c>
      <c r="W96" s="22">
        <f>IF(R96="",O96,MAX(V96-R96-N(S96),0))</f>
        <v/>
      </c>
      <c r="X96" s="20" t="n"/>
      <c r="Y96" s="23">
        <f>IF(OR(X96="",W96=0),"",X96/W96-1)</f>
        <v/>
      </c>
      <c r="Z96" s="24" t="n"/>
      <c r="AA96" s="21" t="n"/>
      <c r="AB96" s="25" t="n"/>
      <c r="AC96" s="26">
        <f>IF(T96="","Chưa quyết định",IF(OR(Z96="",AA96=""),"⚠ Thiếu lý do/người duyệt",IF(AND(X96&lt;&gt;"",N(X96)+N(R96)+N(S96)&gt;M96*1.001,R96&lt;&gt;""),"⚠ Vượt mục tiêu P90",IF(AND(Y96&lt;&gt;"",ABS(N(Y96))&gt;0.3),"⚠ Lệch &gt; 30% so với nhu cầu",IF(Q96="Có","ℹ Kiểm tra ngoại suy KM","✓ Hợp lệ")))))</f>
        <v/>
      </c>
    </row>
    <row r="97">
      <c r="A97" s="16" t="n">
        <v>93</v>
      </c>
      <c r="B97" s="17" t="inlineStr">
        <is>
          <t>DEC-S29-PRODUCE</t>
        </is>
      </c>
      <c r="C97" s="16" t="n">
        <v>29</v>
      </c>
      <c r="D97" s="17" t="inlineStr">
        <is>
          <t>PRODUCE</t>
        </is>
      </c>
      <c r="E97" s="17" t="inlineStr">
        <is>
          <t>MEDIUM</t>
        </is>
      </c>
      <c r="F97" s="17" t="inlineStr">
        <is>
          <t>TRUNG BÌNH</t>
        </is>
      </c>
      <c r="G97" s="18" t="inlineStr">
        <is>
          <t>RISK_MEDIUM · LARGE_SERIES</t>
        </is>
      </c>
      <c r="H97" s="19" t="n">
        <v>19048.15548232422</v>
      </c>
      <c r="I97" s="19" t="n">
        <v>23073.18572998047</v>
      </c>
      <c r="J97" s="19" t="n">
        <v>29767.65144238281</v>
      </c>
      <c r="K97" s="19" t="n">
        <v>23073.18572998047</v>
      </c>
      <c r="L97" s="19" t="n">
        <v>27257.22680023193</v>
      </c>
      <c r="M97" s="19" t="n">
        <v>29767.65144238281</v>
      </c>
      <c r="N97" s="17" t="inlineStr">
        <is>
          <t>C</t>
        </is>
      </c>
      <c r="O97" s="19" t="n">
        <v>11309.10285839844</v>
      </c>
      <c r="P97" s="18" t="inlineStr">
        <is>
          <t>KHÔNG ĐỀ XUẤT TĂNG</t>
        </is>
      </c>
      <c r="Q97" s="17" t="inlineStr">
        <is>
          <t>Không</t>
        </is>
      </c>
      <c r="R97" s="20" t="n"/>
      <c r="S97" s="20" t="n"/>
      <c r="T97" s="21" t="n"/>
      <c r="U97" s="21" t="n"/>
      <c r="V97" s="22">
        <f>IF(U97="A",K97,IF(U97="B",L97,IF(U97="C",M97,IF(N97="A",K97,IF(N97="B",L97,M97)))))</f>
        <v/>
      </c>
      <c r="W97" s="22">
        <f>IF(R97="",O97,MAX(V97-R97-N(S97),0))</f>
        <v/>
      </c>
      <c r="X97" s="20" t="n"/>
      <c r="Y97" s="23">
        <f>IF(OR(X97="",W97=0),"",X97/W97-1)</f>
        <v/>
      </c>
      <c r="Z97" s="24" t="n"/>
      <c r="AA97" s="21" t="n"/>
      <c r="AB97" s="25" t="n"/>
      <c r="AC97" s="26">
        <f>IF(T97="","Chưa quyết định",IF(OR(Z97="",AA97=""),"⚠ Thiếu lý do/người duyệt",IF(AND(X97&lt;&gt;"",N(X97)+N(R97)+N(S97)&gt;M97*1.001,R97&lt;&gt;""),"⚠ Vượt mục tiêu P90",IF(AND(Y97&lt;&gt;"",ABS(N(Y97))&gt;0.3),"⚠ Lệch &gt; 30% so với nhu cầu",IF(Q97="Có","ℹ Kiểm tra ngoại suy KM","✓ Hợp lệ")))))</f>
        <v/>
      </c>
    </row>
    <row r="98">
      <c r="A98" s="16" t="n">
        <v>94</v>
      </c>
      <c r="B98" s="17" t="inlineStr">
        <is>
          <t>DEC-S28-CLEANING</t>
        </is>
      </c>
      <c r="C98" s="16" t="n">
        <v>28</v>
      </c>
      <c r="D98" s="17" t="inlineStr">
        <is>
          <t>CLEANING</t>
        </is>
      </c>
      <c r="E98" s="17" t="inlineStr">
        <is>
          <t>MEDIUM</t>
        </is>
      </c>
      <c r="F98" s="17" t="inlineStr">
        <is>
          <t>TRUNG BÌNH</t>
        </is>
      </c>
      <c r="G98" s="18" t="inlineStr">
        <is>
          <t>RISK_MEDIUM · LARGE_SERIES</t>
        </is>
      </c>
      <c r="H98" s="19" t="n">
        <v>17484.19692617188</v>
      </c>
      <c r="I98" s="19" t="n">
        <v>22984.06323242188</v>
      </c>
      <c r="J98" s="19" t="n">
        <v>32701.40606640625</v>
      </c>
      <c r="K98" s="19" t="n">
        <v>22984.06323242188</v>
      </c>
      <c r="L98" s="19" t="n">
        <v>29057.40250366211</v>
      </c>
      <c r="M98" s="19" t="n">
        <v>32701.40606640625</v>
      </c>
      <c r="N98" s="17" t="inlineStr">
        <is>
          <t>C</t>
        </is>
      </c>
      <c r="O98" s="19" t="n">
        <v>14314.15548046875</v>
      </c>
      <c r="P98" s="18" t="inlineStr">
        <is>
          <t>KHÔNG ĐỀ XUẤT TĂNG</t>
        </is>
      </c>
      <c r="Q98" s="17" t="inlineStr">
        <is>
          <t>Không</t>
        </is>
      </c>
      <c r="R98" s="20" t="n"/>
      <c r="S98" s="20" t="n"/>
      <c r="T98" s="21" t="n"/>
      <c r="U98" s="21" t="n"/>
      <c r="V98" s="22">
        <f>IF(U98="A",K98,IF(U98="B",L98,IF(U98="C",M98,IF(N98="A",K98,IF(N98="B",L98,M98)))))</f>
        <v/>
      </c>
      <c r="W98" s="22">
        <f>IF(R98="",O98,MAX(V98-R98-N(S98),0))</f>
        <v/>
      </c>
      <c r="X98" s="20" t="n"/>
      <c r="Y98" s="23">
        <f>IF(OR(X98="",W98=0),"",X98/W98-1)</f>
        <v/>
      </c>
      <c r="Z98" s="24" t="n"/>
      <c r="AA98" s="21" t="n"/>
      <c r="AB98" s="25" t="n"/>
      <c r="AC98" s="26">
        <f>IF(T98="","Chưa quyết định",IF(OR(Z98="",AA98=""),"⚠ Thiếu lý do/người duyệt",IF(AND(X98&lt;&gt;"",N(X98)+N(R98)+N(S98)&gt;M98*1.001,R98&lt;&gt;""),"⚠ Vượt mục tiêu P90",IF(AND(Y98&lt;&gt;"",ABS(N(Y98))&gt;0.3),"⚠ Lệch &gt; 30% so với nhu cầu",IF(Q98="Có","ℹ Kiểm tra ngoại suy KM","✓ Hợp lệ")))))</f>
        <v/>
      </c>
    </row>
    <row r="99">
      <c r="A99" s="16" t="n">
        <v>95</v>
      </c>
      <c r="B99" s="17" t="inlineStr">
        <is>
          <t>DEC-S16-BEVERAGES</t>
        </is>
      </c>
      <c r="C99" s="16" t="n">
        <v>16</v>
      </c>
      <c r="D99" s="17" t="inlineStr">
        <is>
          <t>BEVERAGES</t>
        </is>
      </c>
      <c r="E99" s="17" t="inlineStr">
        <is>
          <t>MEDIUM</t>
        </is>
      </c>
      <c r="F99" s="17" t="inlineStr">
        <is>
          <t>TRUNG BÌNH</t>
        </is>
      </c>
      <c r="G99" s="18" t="inlineStr">
        <is>
          <t>RISK_MEDIUM · LARGE_SERIES</t>
        </is>
      </c>
      <c r="H99" s="19" t="n">
        <v>16846.9355984375</v>
      </c>
      <c r="I99" s="19" t="n">
        <v>22936.736328125</v>
      </c>
      <c r="J99" s="19" t="n">
        <v>33863.23001074219</v>
      </c>
      <c r="K99" s="19" t="n">
        <v>22936.736328125</v>
      </c>
      <c r="L99" s="19" t="n">
        <v>29765.79487976075</v>
      </c>
      <c r="M99" s="19" t="n">
        <v>33863.23001074219</v>
      </c>
      <c r="N99" s="17" t="inlineStr">
        <is>
          <t>C</t>
        </is>
      </c>
      <c r="O99" s="19" t="n">
        <v>15513.84094824219</v>
      </c>
      <c r="P99" s="18" t="inlineStr">
        <is>
          <t>KHÔNG ĐỀ XUẤT TĂNG</t>
        </is>
      </c>
      <c r="Q99" s="17" t="inlineStr">
        <is>
          <t>Không</t>
        </is>
      </c>
      <c r="R99" s="20" t="n"/>
      <c r="S99" s="20" t="n"/>
      <c r="T99" s="21" t="n"/>
      <c r="U99" s="21" t="n"/>
      <c r="V99" s="22">
        <f>IF(U99="A",K99,IF(U99="B",L99,IF(U99="C",M99,IF(N99="A",K99,IF(N99="B",L99,M99)))))</f>
        <v/>
      </c>
      <c r="W99" s="22">
        <f>IF(R99="",O99,MAX(V99-R99-N(S99),0))</f>
        <v/>
      </c>
      <c r="X99" s="20" t="n"/>
      <c r="Y99" s="23">
        <f>IF(OR(X99="",W99=0),"",X99/W99-1)</f>
        <v/>
      </c>
      <c r="Z99" s="24" t="n"/>
      <c r="AA99" s="21" t="n"/>
      <c r="AB99" s="25" t="n"/>
      <c r="AC99" s="26">
        <f>IF(T99="","Chưa quyết định",IF(OR(Z99="",AA99=""),"⚠ Thiếu lý do/người duyệt",IF(AND(X99&lt;&gt;"",N(X99)+N(R99)+N(S99)&gt;M99*1.001,R99&lt;&gt;""),"⚠ Vượt mục tiêu P90",IF(AND(Y99&lt;&gt;"",ABS(N(Y99))&gt;0.3),"⚠ Lệch &gt; 30% so với nhu cầu",IF(Q99="Có","ℹ Kiểm tra ngoại suy KM","✓ Hợp lệ")))))</f>
        <v/>
      </c>
    </row>
    <row r="100">
      <c r="A100" s="16" t="n">
        <v>96</v>
      </c>
      <c r="B100" s="17" t="inlineStr">
        <is>
          <t>DEC-S36-PRODUCE</t>
        </is>
      </c>
      <c r="C100" s="16" t="n">
        <v>36</v>
      </c>
      <c r="D100" s="17" t="inlineStr">
        <is>
          <t>PRODUCE</t>
        </is>
      </c>
      <c r="E100" s="17" t="inlineStr">
        <is>
          <t>MEDIUM</t>
        </is>
      </c>
      <c r="F100" s="17" t="inlineStr">
        <is>
          <t>TRUNG BÌNH</t>
        </is>
      </c>
      <c r="G100" s="18" t="inlineStr">
        <is>
          <t>RISK_MEDIUM · LARGE_SERIES</t>
        </is>
      </c>
      <c r="H100" s="19" t="n">
        <v>18461.09763339844</v>
      </c>
      <c r="I100" s="19" t="n">
        <v>22781.09509277344</v>
      </c>
      <c r="J100" s="19" t="n">
        <v>30080.13622949219</v>
      </c>
      <c r="K100" s="19" t="n">
        <v>22781.09509277344</v>
      </c>
      <c r="L100" s="19" t="n">
        <v>27342.99580322266</v>
      </c>
      <c r="M100" s="19" t="n">
        <v>30080.13622949219</v>
      </c>
      <c r="N100" s="17" t="inlineStr">
        <is>
          <t>C</t>
        </is>
      </c>
      <c r="O100" s="19" t="n">
        <v>11855.26015527343</v>
      </c>
      <c r="P100" s="18" t="inlineStr">
        <is>
          <t>KHÔNG ĐỀ XUẤT TĂNG</t>
        </is>
      </c>
      <c r="Q100" s="17" t="inlineStr">
        <is>
          <t>Không</t>
        </is>
      </c>
      <c r="R100" s="20" t="n"/>
      <c r="S100" s="20" t="n"/>
      <c r="T100" s="21" t="n"/>
      <c r="U100" s="21" t="n"/>
      <c r="V100" s="22">
        <f>IF(U100="A",K100,IF(U100="B",L100,IF(U100="C",M100,IF(N100="A",K100,IF(N100="B",L100,M100)))))</f>
        <v/>
      </c>
      <c r="W100" s="22">
        <f>IF(R100="",O100,MAX(V100-R100-N(S100),0))</f>
        <v/>
      </c>
      <c r="X100" s="20" t="n"/>
      <c r="Y100" s="23">
        <f>IF(OR(X100="",W100=0),"",X100/W100-1)</f>
        <v/>
      </c>
      <c r="Z100" s="24" t="n"/>
      <c r="AA100" s="21" t="n"/>
      <c r="AB100" s="25" t="n"/>
      <c r="AC100" s="26">
        <f>IF(T100="","Chưa quyết định",IF(OR(Z100="",AA100=""),"⚠ Thiếu lý do/người duyệt",IF(AND(X100&lt;&gt;"",N(X100)+N(R100)+N(S100)&gt;M100*1.001,R100&lt;&gt;""),"⚠ Vượt mục tiêu P90",IF(AND(Y100&lt;&gt;"",ABS(N(Y100))&gt;0.3),"⚠ Lệch &gt; 30% so với nhu cầu",IF(Q100="Có","ℹ Kiểm tra ngoại suy KM","✓ Hợp lệ")))))</f>
        <v/>
      </c>
    </row>
    <row r="101">
      <c r="A101" s="16" t="n">
        <v>97</v>
      </c>
      <c r="B101" s="17" t="inlineStr">
        <is>
          <t>DEC-S31-CLEANING</t>
        </is>
      </c>
      <c r="C101" s="16" t="n">
        <v>31</v>
      </c>
      <c r="D101" s="17" t="inlineStr">
        <is>
          <t>CLEANING</t>
        </is>
      </c>
      <c r="E101" s="17" t="inlineStr">
        <is>
          <t>MEDIUM</t>
        </is>
      </c>
      <c r="F101" s="17" t="inlineStr">
        <is>
          <t>TRUNG BÌNH</t>
        </is>
      </c>
      <c r="G101" s="18" t="inlineStr">
        <is>
          <t>RISK_MEDIUM · LARGE_SERIES</t>
        </is>
      </c>
      <c r="H101" s="19" t="n">
        <v>17195.95252900391</v>
      </c>
      <c r="I101" s="19" t="n">
        <v>22400.85162353516</v>
      </c>
      <c r="J101" s="19" t="n">
        <v>31513.61903320313</v>
      </c>
      <c r="K101" s="19" t="n">
        <v>22400.85162353516</v>
      </c>
      <c r="L101" s="19" t="n">
        <v>28096.33125457764</v>
      </c>
      <c r="M101" s="19" t="n">
        <v>31513.61903320313</v>
      </c>
      <c r="N101" s="17" t="inlineStr">
        <is>
          <t>C</t>
        </is>
      </c>
      <c r="O101" s="19" t="n">
        <v>13592.937734375</v>
      </c>
      <c r="P101" s="18" t="inlineStr">
        <is>
          <t>KHÔNG ĐỀ XUẤT TĂNG</t>
        </is>
      </c>
      <c r="Q101" s="17" t="inlineStr">
        <is>
          <t>Không</t>
        </is>
      </c>
      <c r="R101" s="20" t="n"/>
      <c r="S101" s="20" t="n"/>
      <c r="T101" s="21" t="n"/>
      <c r="U101" s="21" t="n"/>
      <c r="V101" s="22">
        <f>IF(U101="A",K101,IF(U101="B",L101,IF(U101="C",M101,IF(N101="A",K101,IF(N101="B",L101,M101)))))</f>
        <v/>
      </c>
      <c r="W101" s="22">
        <f>IF(R101="",O101,MAX(V101-R101-N(S101),0))</f>
        <v/>
      </c>
      <c r="X101" s="20" t="n"/>
      <c r="Y101" s="23">
        <f>IF(OR(X101="",W101=0),"",X101/W101-1)</f>
        <v/>
      </c>
      <c r="Z101" s="24" t="n"/>
      <c r="AA101" s="21" t="n"/>
      <c r="AB101" s="25" t="n"/>
      <c r="AC101" s="26">
        <f>IF(T101="","Chưa quyết định",IF(OR(Z101="",AA101=""),"⚠ Thiếu lý do/người duyệt",IF(AND(X101&lt;&gt;"",N(X101)+N(R101)+N(S101)&gt;M101*1.001,R101&lt;&gt;""),"⚠ Vượt mục tiêu P90",IF(AND(Y101&lt;&gt;"",ABS(N(Y101))&gt;0.3),"⚠ Lệch &gt; 30% so với nhu cầu",IF(Q101="Có","ℹ Kiểm tra ngoại suy KM","✓ Hợp lệ")))))</f>
        <v/>
      </c>
    </row>
    <row r="102">
      <c r="A102" s="16" t="n">
        <v>98</v>
      </c>
      <c r="B102" s="17" t="inlineStr">
        <is>
          <t>DEC-S48-DAIRY</t>
        </is>
      </c>
      <c r="C102" s="16" t="n">
        <v>48</v>
      </c>
      <c r="D102" s="17" t="inlineStr">
        <is>
          <t>DAIRY</t>
        </is>
      </c>
      <c r="E102" s="17" t="inlineStr">
        <is>
          <t>MEDIUM</t>
        </is>
      </c>
      <c r="F102" s="17" t="inlineStr">
        <is>
          <t>TRUNG BÌNH</t>
        </is>
      </c>
      <c r="G102" s="18" t="inlineStr">
        <is>
          <t>RISK_MEDIUM · LARGE_SERIES</t>
        </is>
      </c>
      <c r="H102" s="19" t="n">
        <v>17340.15606884766</v>
      </c>
      <c r="I102" s="19" t="n">
        <v>22250.08795166016</v>
      </c>
      <c r="J102" s="19" t="n">
        <v>30758.27993701172</v>
      </c>
      <c r="K102" s="19" t="n">
        <v>22250.08795166016</v>
      </c>
      <c r="L102" s="19" t="n">
        <v>27567.70794250489</v>
      </c>
      <c r="M102" s="19" t="n">
        <v>30758.27993701172</v>
      </c>
      <c r="N102" s="17" t="inlineStr">
        <is>
          <t>C</t>
        </is>
      </c>
      <c r="O102" s="19" t="n">
        <v>12958.2095756836</v>
      </c>
      <c r="P102" s="18" t="inlineStr">
        <is>
          <t>KHÔNG ĐỀ XUẤT TĂNG</t>
        </is>
      </c>
      <c r="Q102" s="17" t="inlineStr">
        <is>
          <t>Không</t>
        </is>
      </c>
      <c r="R102" s="20" t="n"/>
      <c r="S102" s="20" t="n"/>
      <c r="T102" s="21" t="n"/>
      <c r="U102" s="21" t="n"/>
      <c r="V102" s="22">
        <f>IF(U102="A",K102,IF(U102="B",L102,IF(U102="C",M102,IF(N102="A",K102,IF(N102="B",L102,M102)))))</f>
        <v/>
      </c>
      <c r="W102" s="22">
        <f>IF(R102="",O102,MAX(V102-R102-N(S102),0))</f>
        <v/>
      </c>
      <c r="X102" s="20" t="n"/>
      <c r="Y102" s="23">
        <f>IF(OR(X102="",W102=0),"",X102/W102-1)</f>
        <v/>
      </c>
      <c r="Z102" s="24" t="n"/>
      <c r="AA102" s="21" t="n"/>
      <c r="AB102" s="25" t="n"/>
      <c r="AC102" s="26">
        <f>IF(T102="","Chưa quyết định",IF(OR(Z102="",AA102=""),"⚠ Thiếu lý do/người duyệt",IF(AND(X102&lt;&gt;"",N(X102)+N(R102)+N(S102)&gt;M102*1.001,R102&lt;&gt;""),"⚠ Vượt mục tiêu P90",IF(AND(Y102&lt;&gt;"",ABS(N(Y102))&gt;0.3),"⚠ Lệch &gt; 30% so với nhu cầu",IF(Q102="Có","ℹ Kiểm tra ngoại suy KM","✓ Hợp lệ")))))</f>
        <v/>
      </c>
    </row>
    <row r="103">
      <c r="A103" s="16" t="n">
        <v>99</v>
      </c>
      <c r="B103" s="17" t="inlineStr">
        <is>
          <t>DEC-S21-CLEANING</t>
        </is>
      </c>
      <c r="C103" s="16" t="n">
        <v>21</v>
      </c>
      <c r="D103" s="17" t="inlineStr">
        <is>
          <t>CLEANING</t>
        </is>
      </c>
      <c r="E103" s="17" t="inlineStr">
        <is>
          <t>MEDIUM</t>
        </is>
      </c>
      <c r="F103" s="17" t="inlineStr">
        <is>
          <t>TRUNG BÌNH</t>
        </is>
      </c>
      <c r="G103" s="18" t="inlineStr">
        <is>
          <t>RISK_MEDIUM · LARGE_SERIES</t>
        </is>
      </c>
      <c r="H103" s="19" t="n">
        <v>16864.32746796875</v>
      </c>
      <c r="I103" s="19" t="n">
        <v>22069.2265625</v>
      </c>
      <c r="J103" s="19" t="n">
        <v>31181.99397216797</v>
      </c>
      <c r="K103" s="19" t="n">
        <v>22069.2265625</v>
      </c>
      <c r="L103" s="19" t="n">
        <v>27764.70619354248</v>
      </c>
      <c r="M103" s="19" t="n">
        <v>31181.99397216797</v>
      </c>
      <c r="N103" s="17" t="inlineStr">
        <is>
          <t>C</t>
        </is>
      </c>
      <c r="O103" s="19" t="n">
        <v>13526.61272216797</v>
      </c>
      <c r="P103" s="18" t="inlineStr">
        <is>
          <t>KHÔNG ĐỀ XUẤT TĂNG</t>
        </is>
      </c>
      <c r="Q103" s="17" t="inlineStr">
        <is>
          <t>Không</t>
        </is>
      </c>
      <c r="R103" s="20" t="n"/>
      <c r="S103" s="20" t="n"/>
      <c r="T103" s="21" t="n"/>
      <c r="U103" s="21" t="n"/>
      <c r="V103" s="22">
        <f>IF(U103="A",K103,IF(U103="B",L103,IF(U103="C",M103,IF(N103="A",K103,IF(N103="B",L103,M103)))))</f>
        <v/>
      </c>
      <c r="W103" s="22">
        <f>IF(R103="",O103,MAX(V103-R103-N(S103),0))</f>
        <v/>
      </c>
      <c r="X103" s="20" t="n"/>
      <c r="Y103" s="23">
        <f>IF(OR(X103="",W103=0),"",X103/W103-1)</f>
        <v/>
      </c>
      <c r="Z103" s="24" t="n"/>
      <c r="AA103" s="21" t="n"/>
      <c r="AB103" s="25" t="n"/>
      <c r="AC103" s="26">
        <f>IF(T103="","Chưa quyết định",IF(OR(Z103="",AA103=""),"⚠ Thiếu lý do/người duyệt",IF(AND(X103&lt;&gt;"",N(X103)+N(R103)+N(S103)&gt;M103*1.001,R103&lt;&gt;""),"⚠ Vượt mục tiêu P90",IF(AND(Y103&lt;&gt;"",ABS(N(Y103))&gt;0.3),"⚠ Lệch &gt; 30% so với nhu cầu",IF(Q103="Có","ℹ Kiểm tra ngoại suy KM","✓ Hợp lệ")))))</f>
        <v/>
      </c>
    </row>
    <row r="104">
      <c r="A104" s="16" t="n">
        <v>100</v>
      </c>
      <c r="B104" s="17" t="inlineStr">
        <is>
          <t>DEC-S45-POULTRY</t>
        </is>
      </c>
      <c r="C104" s="16" t="n">
        <v>45</v>
      </c>
      <c r="D104" s="17" t="inlineStr">
        <is>
          <t>POULTRY</t>
        </is>
      </c>
      <c r="E104" s="17" t="inlineStr">
        <is>
          <t>MEDIUM</t>
        </is>
      </c>
      <c r="F104" s="17" t="inlineStr">
        <is>
          <t>TRUNG BÌNH</t>
        </is>
      </c>
      <c r="G104" s="18" t="inlineStr">
        <is>
          <t>RISK_MEDIUM · LARGE_SERIES</t>
        </is>
      </c>
      <c r="H104" s="19" t="n">
        <v>17081.08252148438</v>
      </c>
      <c r="I104" s="19" t="n">
        <v>21991.01440429688</v>
      </c>
      <c r="J104" s="19" t="n">
        <v>30499.20638964844</v>
      </c>
      <c r="K104" s="19" t="n">
        <v>21991.01440429688</v>
      </c>
      <c r="L104" s="19" t="n">
        <v>27308.6343951416</v>
      </c>
      <c r="M104" s="19" t="n">
        <v>30499.20638964844</v>
      </c>
      <c r="N104" s="17" t="inlineStr">
        <is>
          <t>C</t>
        </is>
      </c>
      <c r="O104" s="19" t="n">
        <v>12906.39486621094</v>
      </c>
      <c r="P104" s="18" t="inlineStr">
        <is>
          <t>KHÔNG ĐỀ XUẤT TĂNG</t>
        </is>
      </c>
      <c r="Q104" s="17" t="inlineStr">
        <is>
          <t>Không</t>
        </is>
      </c>
      <c r="R104" s="20" t="n"/>
      <c r="S104" s="20" t="n"/>
      <c r="T104" s="21" t="n"/>
      <c r="U104" s="21" t="n"/>
      <c r="V104" s="22">
        <f>IF(U104="A",K104,IF(U104="B",L104,IF(U104="C",M104,IF(N104="A",K104,IF(N104="B",L104,M104)))))</f>
        <v/>
      </c>
      <c r="W104" s="22">
        <f>IF(R104="",O104,MAX(V104-R104-N(S104),0))</f>
        <v/>
      </c>
      <c r="X104" s="20" t="n"/>
      <c r="Y104" s="23">
        <f>IF(OR(X104="",W104=0),"",X104/W104-1)</f>
        <v/>
      </c>
      <c r="Z104" s="24" t="n"/>
      <c r="AA104" s="21" t="n"/>
      <c r="AB104" s="25" t="n"/>
      <c r="AC104" s="26">
        <f>IF(T104="","Chưa quyết định",IF(OR(Z104="",AA104=""),"⚠ Thiếu lý do/người duyệt",IF(AND(X104&lt;&gt;"",N(X104)+N(R104)+N(S104)&gt;M104*1.001,R104&lt;&gt;""),"⚠ Vượt mục tiêu P90",IF(AND(Y104&lt;&gt;"",ABS(N(Y104))&gt;0.3),"⚠ Lệch &gt; 30% so với nhu cầu",IF(Q104="Có","ℹ Kiểm tra ngoại suy KM","✓ Hợp lệ")))))</f>
        <v/>
      </c>
    </row>
    <row r="105">
      <c r="A105" s="16" t="n">
        <v>101</v>
      </c>
      <c r="B105" s="17" t="inlineStr">
        <is>
          <t>DEC-S07-DAIRY</t>
        </is>
      </c>
      <c r="C105" s="16" t="n">
        <v>7</v>
      </c>
      <c r="D105" s="17" t="inlineStr">
        <is>
          <t>DAIRY</t>
        </is>
      </c>
      <c r="E105" s="17" t="inlineStr">
        <is>
          <t>MEDIUM</t>
        </is>
      </c>
      <c r="F105" s="17" t="inlineStr">
        <is>
          <t>TRUNG BÌNH</t>
        </is>
      </c>
      <c r="G105" s="18" t="inlineStr">
        <is>
          <t>RISK_MEDIUM · LARGE_SERIES</t>
        </is>
      </c>
      <c r="H105" s="19" t="n">
        <v>16441.44240957031</v>
      </c>
      <c r="I105" s="19" t="n">
        <v>21941.30871582031</v>
      </c>
      <c r="J105" s="19" t="n">
        <v>31658.65154980469</v>
      </c>
      <c r="K105" s="19" t="n">
        <v>21941.30871582031</v>
      </c>
      <c r="L105" s="19" t="n">
        <v>28014.64798706055</v>
      </c>
      <c r="M105" s="19" t="n">
        <v>31658.65154980469</v>
      </c>
      <c r="N105" s="17" t="inlineStr">
        <is>
          <t>C</t>
        </is>
      </c>
      <c r="O105" s="19" t="n">
        <v>14105.60457714844</v>
      </c>
      <c r="P105" s="18" t="inlineStr">
        <is>
          <t>KHÔNG ĐỀ XUẤT TĂNG</t>
        </is>
      </c>
      <c r="Q105" s="17" t="inlineStr">
        <is>
          <t>Không</t>
        </is>
      </c>
      <c r="R105" s="20" t="n"/>
      <c r="S105" s="20" t="n"/>
      <c r="T105" s="21" t="n"/>
      <c r="U105" s="21" t="n"/>
      <c r="V105" s="22">
        <f>IF(U105="A",K105,IF(U105="B",L105,IF(U105="C",M105,IF(N105="A",K105,IF(N105="B",L105,M105)))))</f>
        <v/>
      </c>
      <c r="W105" s="22">
        <f>IF(R105="",O105,MAX(V105-R105-N(S105),0))</f>
        <v/>
      </c>
      <c r="X105" s="20" t="n"/>
      <c r="Y105" s="23">
        <f>IF(OR(X105="",W105=0),"",X105/W105-1)</f>
        <v/>
      </c>
      <c r="Z105" s="24" t="n"/>
      <c r="AA105" s="21" t="n"/>
      <c r="AB105" s="25" t="n"/>
      <c r="AC105" s="26">
        <f>IF(T105="","Chưa quyết định",IF(OR(Z105="",AA105=""),"⚠ Thiếu lý do/người duyệt",IF(AND(X105&lt;&gt;"",N(X105)+N(R105)+N(S105)&gt;M105*1.001,R105&lt;&gt;""),"⚠ Vượt mục tiêu P90",IF(AND(Y105&lt;&gt;"",ABS(N(Y105))&gt;0.3),"⚠ Lệch &gt; 30% so với nhu cầu",IF(Q105="Có","ℹ Kiểm tra ngoại suy KM","✓ Hợp lệ")))))</f>
        <v/>
      </c>
    </row>
    <row r="106">
      <c r="A106" s="16" t="n">
        <v>102</v>
      </c>
      <c r="B106" s="17" t="inlineStr">
        <is>
          <t>DEC-S24-DAIRY</t>
        </is>
      </c>
      <c r="C106" s="16" t="n">
        <v>24</v>
      </c>
      <c r="D106" s="17" t="inlineStr">
        <is>
          <t>DAIRY</t>
        </is>
      </c>
      <c r="E106" s="17" t="inlineStr">
        <is>
          <t>MEDIUM</t>
        </is>
      </c>
      <c r="F106" s="17" t="inlineStr">
        <is>
          <t>TRUNG BÌNH</t>
        </is>
      </c>
      <c r="G106" s="18" t="inlineStr">
        <is>
          <t>RISK_MEDIUM · LARGE_SERIES</t>
        </is>
      </c>
      <c r="H106" s="19" t="n">
        <v>16114.94449716797</v>
      </c>
      <c r="I106" s="19" t="n">
        <v>21909.77801513672</v>
      </c>
      <c r="J106" s="19" t="n">
        <v>32231.6962734375</v>
      </c>
      <c r="K106" s="19" t="n">
        <v>21909.77801513672</v>
      </c>
      <c r="L106" s="19" t="n">
        <v>28360.97692657471</v>
      </c>
      <c r="M106" s="19" t="n">
        <v>32231.6962734375</v>
      </c>
      <c r="N106" s="17" t="inlineStr">
        <is>
          <t>C</t>
        </is>
      </c>
      <c r="O106" s="19" t="n">
        <v>14703.87386132812</v>
      </c>
      <c r="P106" s="18" t="inlineStr">
        <is>
          <t>KHÔNG ĐỀ XUẤT TĂNG</t>
        </is>
      </c>
      <c r="Q106" s="17" t="inlineStr">
        <is>
          <t>Không</t>
        </is>
      </c>
      <c r="R106" s="20" t="n"/>
      <c r="S106" s="20" t="n"/>
      <c r="T106" s="21" t="n"/>
      <c r="U106" s="21" t="n"/>
      <c r="V106" s="22">
        <f>IF(U106="A",K106,IF(U106="B",L106,IF(U106="C",M106,IF(N106="A",K106,IF(N106="B",L106,M106)))))</f>
        <v/>
      </c>
      <c r="W106" s="22">
        <f>IF(R106="",O106,MAX(V106-R106-N(S106),0))</f>
        <v/>
      </c>
      <c r="X106" s="20" t="n"/>
      <c r="Y106" s="23">
        <f>IF(OR(X106="",W106=0),"",X106/W106-1)</f>
        <v/>
      </c>
      <c r="Z106" s="24" t="n"/>
      <c r="AA106" s="21" t="n"/>
      <c r="AB106" s="25" t="n"/>
      <c r="AC106" s="26">
        <f>IF(T106="","Chưa quyết định",IF(OR(Z106="",AA106=""),"⚠ Thiếu lý do/người duyệt",IF(AND(X106&lt;&gt;"",N(X106)+N(R106)+N(S106)&gt;M106*1.001,R106&lt;&gt;""),"⚠ Vượt mục tiêu P90",IF(AND(Y106&lt;&gt;"",ABS(N(Y106))&gt;0.3),"⚠ Lệch &gt; 30% so với nhu cầu",IF(Q106="Có","ℹ Kiểm tra ngoại suy KM","✓ Hợp lệ")))))</f>
        <v/>
      </c>
    </row>
    <row r="107">
      <c r="A107" s="16" t="n">
        <v>103</v>
      </c>
      <c r="B107" s="17" t="inlineStr">
        <is>
          <t>DEC-S43-PRODUCE</t>
        </is>
      </c>
      <c r="C107" s="16" t="n">
        <v>43</v>
      </c>
      <c r="D107" s="17" t="inlineStr">
        <is>
          <t>PRODUCE</t>
        </is>
      </c>
      <c r="E107" s="17" t="inlineStr">
        <is>
          <t>MEDIUM</t>
        </is>
      </c>
      <c r="F107" s="17" t="inlineStr">
        <is>
          <t>TRUNG BÌNH</t>
        </is>
      </c>
      <c r="G107" s="18" t="inlineStr">
        <is>
          <t>RISK_MEDIUM · LARGE_SERIES</t>
        </is>
      </c>
      <c r="H107" s="19" t="n">
        <v>17416.26120761719</v>
      </c>
      <c r="I107" s="19" t="n">
        <v>21736.25866699219</v>
      </c>
      <c r="J107" s="19" t="n">
        <v>29035.29980371094</v>
      </c>
      <c r="K107" s="19" t="n">
        <v>21736.25866699219</v>
      </c>
      <c r="L107" s="19" t="n">
        <v>26298.15937744141</v>
      </c>
      <c r="M107" s="19" t="n">
        <v>29035.29980371094</v>
      </c>
      <c r="N107" s="17" t="inlineStr">
        <is>
          <t>C</t>
        </is>
      </c>
      <c r="O107" s="19" t="n">
        <v>11646.29287011718</v>
      </c>
      <c r="P107" s="18" t="inlineStr">
        <is>
          <t>KHÔNG ĐỀ XUẤT TĂNG</t>
        </is>
      </c>
      <c r="Q107" s="17" t="inlineStr">
        <is>
          <t>Không</t>
        </is>
      </c>
      <c r="R107" s="20" t="n"/>
      <c r="S107" s="20" t="n"/>
      <c r="T107" s="21" t="n"/>
      <c r="U107" s="21" t="n"/>
      <c r="V107" s="22">
        <f>IF(U107="A",K107,IF(U107="B",L107,IF(U107="C",M107,IF(N107="A",K107,IF(N107="B",L107,M107)))))</f>
        <v/>
      </c>
      <c r="W107" s="22">
        <f>IF(R107="",O107,MAX(V107-R107-N(S107),0))</f>
        <v/>
      </c>
      <c r="X107" s="20" t="n"/>
      <c r="Y107" s="23">
        <f>IF(OR(X107="",W107=0),"",X107/W107-1)</f>
        <v/>
      </c>
      <c r="Z107" s="24" t="n"/>
      <c r="AA107" s="21" t="n"/>
      <c r="AB107" s="25" t="n"/>
      <c r="AC107" s="26">
        <f>IF(T107="","Chưa quyết định",IF(OR(Z107="",AA107=""),"⚠ Thiếu lý do/người duyệt",IF(AND(X107&lt;&gt;"",N(X107)+N(R107)+N(S107)&gt;M107*1.001,R107&lt;&gt;""),"⚠ Vượt mục tiêu P90",IF(AND(Y107&lt;&gt;"",ABS(N(Y107))&gt;0.3),"⚠ Lệch &gt; 30% so với nhu cầu",IF(Q107="Có","ℹ Kiểm tra ngoại suy KM","✓ Hợp lệ")))))</f>
        <v/>
      </c>
    </row>
    <row r="108">
      <c r="A108" s="16" t="n">
        <v>104</v>
      </c>
      <c r="B108" s="17" t="inlineStr">
        <is>
          <t>DEC-S08-CLEANING</t>
        </is>
      </c>
      <c r="C108" s="16" t="n">
        <v>8</v>
      </c>
      <c r="D108" s="17" t="inlineStr">
        <is>
          <t>CLEANING</t>
        </is>
      </c>
      <c r="E108" s="17" t="inlineStr">
        <is>
          <t>MEDIUM</t>
        </is>
      </c>
      <c r="F108" s="17" t="inlineStr">
        <is>
          <t>TRUNG BÌNH</t>
        </is>
      </c>
      <c r="G108" s="18" t="inlineStr">
        <is>
          <t>RISK_MEDIUM · LARGE_SERIES</t>
        </is>
      </c>
      <c r="H108" s="19" t="n">
        <v>16399.02656464844</v>
      </c>
      <c r="I108" s="19" t="n">
        <v>21603.92565917969</v>
      </c>
      <c r="J108" s="19" t="n">
        <v>30716.69306884766</v>
      </c>
      <c r="K108" s="19" t="n">
        <v>21603.92565917969</v>
      </c>
      <c r="L108" s="19" t="n">
        <v>27299.40529022217</v>
      </c>
      <c r="M108" s="19" t="n">
        <v>30716.69306884766</v>
      </c>
      <c r="N108" s="17" t="inlineStr">
        <is>
          <t>C</t>
        </is>
      </c>
      <c r="O108" s="19" t="n">
        <v>13433.5525415039</v>
      </c>
      <c r="P108" s="18" t="inlineStr">
        <is>
          <t>KHÔNG ĐỀ XUẤT TĂNG</t>
        </is>
      </c>
      <c r="Q108" s="17" t="inlineStr">
        <is>
          <t>Không</t>
        </is>
      </c>
      <c r="R108" s="20" t="n"/>
      <c r="S108" s="20" t="n"/>
      <c r="T108" s="21" t="n"/>
      <c r="U108" s="21" t="n"/>
      <c r="V108" s="22">
        <f>IF(U108="A",K108,IF(U108="B",L108,IF(U108="C",M108,IF(N108="A",K108,IF(N108="B",L108,M108)))))</f>
        <v/>
      </c>
      <c r="W108" s="22">
        <f>IF(R108="",O108,MAX(V108-R108-N(S108),0))</f>
        <v/>
      </c>
      <c r="X108" s="20" t="n"/>
      <c r="Y108" s="23">
        <f>IF(OR(X108="",W108=0),"",X108/W108-1)</f>
        <v/>
      </c>
      <c r="Z108" s="24" t="n"/>
      <c r="AA108" s="21" t="n"/>
      <c r="AB108" s="25" t="n"/>
      <c r="AC108" s="26">
        <f>IF(T108="","Chưa quyết định",IF(OR(Z108="",AA108=""),"⚠ Thiếu lý do/người duyệt",IF(AND(X108&lt;&gt;"",N(X108)+N(R108)+N(S108)&gt;M108*1.001,R108&lt;&gt;""),"⚠ Vượt mục tiêu P90",IF(AND(Y108&lt;&gt;"",ABS(N(Y108))&gt;0.3),"⚠ Lệch &gt; 30% so với nhu cầu",IF(Q108="Có","ℹ Kiểm tra ngoại suy KM","✓ Hợp lệ")))))</f>
        <v/>
      </c>
    </row>
    <row r="109">
      <c r="A109" s="16" t="n">
        <v>105</v>
      </c>
      <c r="B109" s="17" t="inlineStr">
        <is>
          <t>DEC-S40-PRODUCE</t>
        </is>
      </c>
      <c r="C109" s="16" t="n">
        <v>40</v>
      </c>
      <c r="D109" s="17" t="inlineStr">
        <is>
          <t>PRODUCE</t>
        </is>
      </c>
      <c r="E109" s="17" t="inlineStr">
        <is>
          <t>MEDIUM</t>
        </is>
      </c>
      <c r="F109" s="17" t="inlineStr">
        <is>
          <t>TRUNG BÌNH</t>
        </is>
      </c>
      <c r="G109" s="18" t="inlineStr">
        <is>
          <t>RISK_MEDIUM · LARGE_SERIES</t>
        </is>
      </c>
      <c r="H109" s="19" t="n">
        <v>17839.89246943359</v>
      </c>
      <c r="I109" s="19" t="n">
        <v>21569.95550537109</v>
      </c>
      <c r="J109" s="19" t="n">
        <v>27659.84579345703</v>
      </c>
      <c r="K109" s="19" t="n">
        <v>21569.95550537109</v>
      </c>
      <c r="L109" s="19" t="n">
        <v>25376.13693542481</v>
      </c>
      <c r="M109" s="19" t="n">
        <v>27659.84579345703</v>
      </c>
      <c r="N109" s="17" t="inlineStr">
        <is>
          <t>C</t>
        </is>
      </c>
      <c r="O109" s="19" t="n">
        <v>10403.88138916016</v>
      </c>
      <c r="P109" s="18" t="inlineStr">
        <is>
          <t>KHÔNG ĐỀ XUẤT TĂNG</t>
        </is>
      </c>
      <c r="Q109" s="17" t="inlineStr">
        <is>
          <t>Không</t>
        </is>
      </c>
      <c r="R109" s="20" t="n"/>
      <c r="S109" s="20" t="n"/>
      <c r="T109" s="21" t="n"/>
      <c r="U109" s="21" t="n"/>
      <c r="V109" s="22">
        <f>IF(U109="A",K109,IF(U109="B",L109,IF(U109="C",M109,IF(N109="A",K109,IF(N109="B",L109,M109)))))</f>
        <v/>
      </c>
      <c r="W109" s="22">
        <f>IF(R109="",O109,MAX(V109-R109-N(S109),0))</f>
        <v/>
      </c>
      <c r="X109" s="20" t="n"/>
      <c r="Y109" s="23">
        <f>IF(OR(X109="",W109=0),"",X109/W109-1)</f>
        <v/>
      </c>
      <c r="Z109" s="24" t="n"/>
      <c r="AA109" s="21" t="n"/>
      <c r="AB109" s="25" t="n"/>
      <c r="AC109" s="26">
        <f>IF(T109="","Chưa quyết định",IF(OR(Z109="",AA109=""),"⚠ Thiếu lý do/người duyệt",IF(AND(X109&lt;&gt;"",N(X109)+N(R109)+N(S109)&gt;M109*1.001,R109&lt;&gt;""),"⚠ Vượt mục tiêu P90",IF(AND(Y109&lt;&gt;"",ABS(N(Y109))&gt;0.3),"⚠ Lệch &gt; 30% so với nhu cầu",IF(Q109="Có","ℹ Kiểm tra ngoại suy KM","✓ Hợp lệ")))))</f>
        <v/>
      </c>
    </row>
    <row r="110">
      <c r="A110" s="16" t="n">
        <v>106</v>
      </c>
      <c r="B110" s="17" t="inlineStr">
        <is>
          <t>DEC-S06-CLEANING</t>
        </is>
      </c>
      <c r="C110" s="16" t="n">
        <v>6</v>
      </c>
      <c r="D110" s="17" t="inlineStr">
        <is>
          <t>CLEANING</t>
        </is>
      </c>
      <c r="E110" s="17" t="inlineStr">
        <is>
          <t>MEDIUM</t>
        </is>
      </c>
      <c r="F110" s="17" t="inlineStr">
        <is>
          <t>TRUNG BÌNH</t>
        </is>
      </c>
      <c r="G110" s="18" t="inlineStr">
        <is>
          <t>RISK_MEDIUM · LARGE_SERIES</t>
        </is>
      </c>
      <c r="H110" s="19" t="n">
        <v>15926.79336171875</v>
      </c>
      <c r="I110" s="19" t="n">
        <v>21426.65966796875</v>
      </c>
      <c r="J110" s="19" t="n">
        <v>31144.00250195312</v>
      </c>
      <c r="K110" s="19" t="n">
        <v>21426.65966796875</v>
      </c>
      <c r="L110" s="19" t="n">
        <v>27499.99893920898</v>
      </c>
      <c r="M110" s="19" t="n">
        <v>31144.00250195312</v>
      </c>
      <c r="N110" s="17" t="inlineStr">
        <is>
          <t>C</t>
        </is>
      </c>
      <c r="O110" s="19" t="n">
        <v>14002.67476757812</v>
      </c>
      <c r="P110" s="18" t="inlineStr">
        <is>
          <t>KHÔNG ĐỀ XUẤT TĂNG</t>
        </is>
      </c>
      <c r="Q110" s="17" t="inlineStr">
        <is>
          <t>Không</t>
        </is>
      </c>
      <c r="R110" s="20" t="n"/>
      <c r="S110" s="20" t="n"/>
      <c r="T110" s="21" t="n"/>
      <c r="U110" s="21" t="n"/>
      <c r="V110" s="22">
        <f>IF(U110="A",K110,IF(U110="B",L110,IF(U110="C",M110,IF(N110="A",K110,IF(N110="B",L110,M110)))))</f>
        <v/>
      </c>
      <c r="W110" s="22">
        <f>IF(R110="",O110,MAX(V110-R110-N(S110),0))</f>
        <v/>
      </c>
      <c r="X110" s="20" t="n"/>
      <c r="Y110" s="23">
        <f>IF(OR(X110="",W110=0),"",X110/W110-1)</f>
        <v/>
      </c>
      <c r="Z110" s="24" t="n"/>
      <c r="AA110" s="21" t="n"/>
      <c r="AB110" s="25" t="n"/>
      <c r="AC110" s="26">
        <f>IF(T110="","Chưa quyết định",IF(OR(Z110="",AA110=""),"⚠ Thiếu lý do/người duyệt",IF(AND(X110&lt;&gt;"",N(X110)+N(R110)+N(S110)&gt;M110*1.001,R110&lt;&gt;""),"⚠ Vượt mục tiêu P90",IF(AND(Y110&lt;&gt;"",ABS(N(Y110))&gt;0.3),"⚠ Lệch &gt; 30% so với nhu cầu",IF(Q110="Có","ℹ Kiểm tra ngoại suy KM","✓ Hợp lệ")))))</f>
        <v/>
      </c>
    </row>
    <row r="111">
      <c r="A111" s="16" t="n">
        <v>107</v>
      </c>
      <c r="B111" s="17" t="inlineStr">
        <is>
          <t>DEC-S20-CLEANING</t>
        </is>
      </c>
      <c r="C111" s="16" t="n">
        <v>20</v>
      </c>
      <c r="D111" s="17" t="inlineStr">
        <is>
          <t>CLEANING</t>
        </is>
      </c>
      <c r="E111" s="17" t="inlineStr">
        <is>
          <t>MEDIUM</t>
        </is>
      </c>
      <c r="F111" s="17" t="inlineStr">
        <is>
          <t>TRUNG BÌNH</t>
        </is>
      </c>
      <c r="G111" s="18" t="inlineStr">
        <is>
          <t>RISK_MEDIUM · LARGE_SERIES</t>
        </is>
      </c>
      <c r="H111" s="19" t="n">
        <v>16431.04486279297</v>
      </c>
      <c r="I111" s="19" t="n">
        <v>21340.97674560547</v>
      </c>
      <c r="J111" s="19" t="n">
        <v>29849.16873095704</v>
      </c>
      <c r="K111" s="19" t="n">
        <v>21340.97674560547</v>
      </c>
      <c r="L111" s="19" t="n">
        <v>26658.5967364502</v>
      </c>
      <c r="M111" s="19" t="n">
        <v>29849.16873095704</v>
      </c>
      <c r="N111" s="17" t="inlineStr">
        <is>
          <t>C</t>
        </is>
      </c>
      <c r="O111" s="19" t="n">
        <v>12776.38733447266</v>
      </c>
      <c r="P111" s="18" t="inlineStr">
        <is>
          <t>KHÔNG ĐỀ XUẤT TĂNG</t>
        </is>
      </c>
      <c r="Q111" s="17" t="inlineStr">
        <is>
          <t>Không</t>
        </is>
      </c>
      <c r="R111" s="20" t="n"/>
      <c r="S111" s="20" t="n"/>
      <c r="T111" s="21" t="n"/>
      <c r="U111" s="21" t="n"/>
      <c r="V111" s="22">
        <f>IF(U111="A",K111,IF(U111="B",L111,IF(U111="C",M111,IF(N111="A",K111,IF(N111="B",L111,M111)))))</f>
        <v/>
      </c>
      <c r="W111" s="22">
        <f>IF(R111="",O111,MAX(V111-R111-N(S111),0))</f>
        <v/>
      </c>
      <c r="X111" s="20" t="n"/>
      <c r="Y111" s="23">
        <f>IF(OR(X111="",W111=0),"",X111/W111-1)</f>
        <v/>
      </c>
      <c r="Z111" s="24" t="n"/>
      <c r="AA111" s="21" t="n"/>
      <c r="AB111" s="25" t="n"/>
      <c r="AC111" s="26">
        <f>IF(T111="","Chưa quyết định",IF(OR(Z111="",AA111=""),"⚠ Thiếu lý do/người duyệt",IF(AND(X111&lt;&gt;"",N(X111)+N(R111)+N(S111)&gt;M111*1.001,R111&lt;&gt;""),"⚠ Vượt mục tiêu P90",IF(AND(Y111&lt;&gt;"",ABS(N(Y111))&gt;0.3),"⚠ Lệch &gt; 30% so với nhu cầu",IF(Q111="Có","ℹ Kiểm tra ngoại suy KM","✓ Hợp lệ")))))</f>
        <v/>
      </c>
    </row>
    <row r="112">
      <c r="A112" s="16" t="n">
        <v>108</v>
      </c>
      <c r="B112" s="17" t="inlineStr">
        <is>
          <t>DEC-S45-BREAD_BAKERY</t>
        </is>
      </c>
      <c r="C112" s="16" t="n">
        <v>45</v>
      </c>
      <c r="D112" s="17" t="inlineStr">
        <is>
          <t>BREAD/BAKERY</t>
        </is>
      </c>
      <c r="E112" s="17" t="inlineStr">
        <is>
          <t>MEDIUM</t>
        </is>
      </c>
      <c r="F112" s="17" t="inlineStr">
        <is>
          <t>TRUNG BÌNH</t>
        </is>
      </c>
      <c r="G112" s="18" t="inlineStr">
        <is>
          <t>RISK_MEDIUM · LARGE_SERIES</t>
        </is>
      </c>
      <c r="H112" s="19" t="n">
        <v>16055.57391552734</v>
      </c>
      <c r="I112" s="19" t="n">
        <v>20965.50579833984</v>
      </c>
      <c r="J112" s="19" t="n">
        <v>29473.69778369141</v>
      </c>
      <c r="K112" s="19" t="n">
        <v>20965.50579833984</v>
      </c>
      <c r="L112" s="19" t="n">
        <v>26283.12578918457</v>
      </c>
      <c r="M112" s="19" t="n">
        <v>29473.69778369141</v>
      </c>
      <c r="N112" s="17" t="inlineStr">
        <is>
          <t>C</t>
        </is>
      </c>
      <c r="O112" s="19" t="n">
        <v>12701.29314501953</v>
      </c>
      <c r="P112" s="18" t="inlineStr">
        <is>
          <t>KHÔNG ĐỀ XUẤT TĂNG</t>
        </is>
      </c>
      <c r="Q112" s="17" t="inlineStr">
        <is>
          <t>Không</t>
        </is>
      </c>
      <c r="R112" s="20" t="n"/>
      <c r="S112" s="20" t="n"/>
      <c r="T112" s="21" t="n"/>
      <c r="U112" s="21" t="n"/>
      <c r="V112" s="22">
        <f>IF(U112="A",K112,IF(U112="B",L112,IF(U112="C",M112,IF(N112="A",K112,IF(N112="B",L112,M112)))))</f>
        <v/>
      </c>
      <c r="W112" s="22">
        <f>IF(R112="",O112,MAX(V112-R112-N(S112),0))</f>
        <v/>
      </c>
      <c r="X112" s="20" t="n"/>
      <c r="Y112" s="23">
        <f>IF(OR(X112="",W112=0),"",X112/W112-1)</f>
        <v/>
      </c>
      <c r="Z112" s="24" t="n"/>
      <c r="AA112" s="21" t="n"/>
      <c r="AB112" s="25" t="n"/>
      <c r="AC112" s="26">
        <f>IF(T112="","Chưa quyết định",IF(OR(Z112="",AA112=""),"⚠ Thiếu lý do/người duyệt",IF(AND(X112&lt;&gt;"",N(X112)+N(R112)+N(S112)&gt;M112*1.001,R112&lt;&gt;""),"⚠ Vượt mục tiêu P90",IF(AND(Y112&lt;&gt;"",ABS(N(Y112))&gt;0.3),"⚠ Lệch &gt; 30% so với nhu cầu",IF(Q112="Có","ℹ Kiểm tra ngoại suy KM","✓ Hợp lệ")))))</f>
        <v/>
      </c>
    </row>
    <row r="113">
      <c r="A113" s="16" t="n">
        <v>109</v>
      </c>
      <c r="B113" s="17" t="inlineStr">
        <is>
          <t>DEC-S41-CLEANING</t>
        </is>
      </c>
      <c r="C113" s="16" t="n">
        <v>41</v>
      </c>
      <c r="D113" s="17" t="inlineStr">
        <is>
          <t>CLEANING</t>
        </is>
      </c>
      <c r="E113" s="17" t="inlineStr">
        <is>
          <t>MEDIUM</t>
        </is>
      </c>
      <c r="F113" s="17" t="inlineStr">
        <is>
          <t>TRUNG BÌNH</t>
        </is>
      </c>
      <c r="G113" s="18" t="inlineStr">
        <is>
          <t>RISK_MEDIUM · LARGE_SERIES</t>
        </is>
      </c>
      <c r="H113" s="19" t="n">
        <v>16185.2877703125</v>
      </c>
      <c r="I113" s="19" t="n">
        <v>20800.25244140625</v>
      </c>
      <c r="J113" s="19" t="n">
        <v>28703.86900244141</v>
      </c>
      <c r="K113" s="19" t="n">
        <v>20800.25244140625</v>
      </c>
      <c r="L113" s="19" t="n">
        <v>25740.01279205322</v>
      </c>
      <c r="M113" s="19" t="n">
        <v>28703.86900244141</v>
      </c>
      <c r="N113" s="17" t="inlineStr">
        <is>
          <t>C</t>
        </is>
      </c>
      <c r="O113" s="19" t="n">
        <v>12063.66704931641</v>
      </c>
      <c r="P113" s="18" t="inlineStr">
        <is>
          <t>KHÔNG ĐỀ XUẤT TĂNG</t>
        </is>
      </c>
      <c r="Q113" s="17" t="inlineStr">
        <is>
          <t>Không</t>
        </is>
      </c>
      <c r="R113" s="20" t="n"/>
      <c r="S113" s="20" t="n"/>
      <c r="T113" s="21" t="n"/>
      <c r="U113" s="21" t="n"/>
      <c r="V113" s="22">
        <f>IF(U113="A",K113,IF(U113="B",L113,IF(U113="C",M113,IF(N113="A",K113,IF(N113="B",L113,M113)))))</f>
        <v/>
      </c>
      <c r="W113" s="22">
        <f>IF(R113="",O113,MAX(V113-R113-N(S113),0))</f>
        <v/>
      </c>
      <c r="X113" s="20" t="n"/>
      <c r="Y113" s="23">
        <f>IF(OR(X113="",W113=0),"",X113/W113-1)</f>
        <v/>
      </c>
      <c r="Z113" s="24" t="n"/>
      <c r="AA113" s="21" t="n"/>
      <c r="AB113" s="25" t="n"/>
      <c r="AC113" s="26">
        <f>IF(T113="","Chưa quyết định",IF(OR(Z113="",AA113=""),"⚠ Thiếu lý do/người duyệt",IF(AND(X113&lt;&gt;"",N(X113)+N(R113)+N(S113)&gt;M113*1.001,R113&lt;&gt;""),"⚠ Vượt mục tiêu P90",IF(AND(Y113&lt;&gt;"",ABS(N(Y113))&gt;0.3),"⚠ Lệch &gt; 30% so với nhu cầu",IF(Q113="Có","ℹ Kiểm tra ngoại suy KM","✓ Hợp lệ")))))</f>
        <v/>
      </c>
    </row>
    <row r="114">
      <c r="A114" s="16" t="n">
        <v>110</v>
      </c>
      <c r="B114" s="17" t="inlineStr">
        <is>
          <t>DEC-S44-POULTRY</t>
        </is>
      </c>
      <c r="C114" s="16" t="n">
        <v>44</v>
      </c>
      <c r="D114" s="17" t="inlineStr">
        <is>
          <t>POULTRY</t>
        </is>
      </c>
      <c r="E114" s="17" t="inlineStr">
        <is>
          <t>MEDIUM</t>
        </is>
      </c>
      <c r="F114" s="17" t="inlineStr">
        <is>
          <t>TRUNG BÌNH</t>
        </is>
      </c>
      <c r="G114" s="18" t="inlineStr">
        <is>
          <t>RISK_MEDIUM · LARGE_SERIES</t>
        </is>
      </c>
      <c r="H114" s="19" t="n">
        <v>16576.80709365234</v>
      </c>
      <c r="I114" s="19" t="n">
        <v>20601.8373413086</v>
      </c>
      <c r="J114" s="19" t="n">
        <v>27296.30305371094</v>
      </c>
      <c r="K114" s="19" t="n">
        <v>20601.8373413086</v>
      </c>
      <c r="L114" s="19" t="n">
        <v>24785.87841156006</v>
      </c>
      <c r="M114" s="19" t="n">
        <v>27296.30305371094</v>
      </c>
      <c r="N114" s="17" t="inlineStr">
        <is>
          <t>C</t>
        </is>
      </c>
      <c r="O114" s="19" t="n">
        <v>10814.83318066406</v>
      </c>
      <c r="P114" s="18" t="inlineStr">
        <is>
          <t>KHÔNG ĐỀ XUẤT TĂNG</t>
        </is>
      </c>
      <c r="Q114" s="17" t="inlineStr">
        <is>
          <t>Không</t>
        </is>
      </c>
      <c r="R114" s="20" t="n"/>
      <c r="S114" s="20" t="n"/>
      <c r="T114" s="21" t="n"/>
      <c r="U114" s="21" t="n"/>
      <c r="V114" s="22">
        <f>IF(U114="A",K114,IF(U114="B",L114,IF(U114="C",M114,IF(N114="A",K114,IF(N114="B",L114,M114)))))</f>
        <v/>
      </c>
      <c r="W114" s="22">
        <f>IF(R114="",O114,MAX(V114-R114-N(S114),0))</f>
        <v/>
      </c>
      <c r="X114" s="20" t="n"/>
      <c r="Y114" s="23">
        <f>IF(OR(X114="",W114=0),"",X114/W114-1)</f>
        <v/>
      </c>
      <c r="Z114" s="24" t="n"/>
      <c r="AA114" s="21" t="n"/>
      <c r="AB114" s="25" t="n"/>
      <c r="AC114" s="26">
        <f>IF(T114="","Chưa quyết định",IF(OR(Z114="",AA114=""),"⚠ Thiếu lý do/người duyệt",IF(AND(X114&lt;&gt;"",N(X114)+N(R114)+N(S114)&gt;M114*1.001,R114&lt;&gt;""),"⚠ Vượt mục tiêu P90",IF(AND(Y114&lt;&gt;"",ABS(N(Y114))&gt;0.3),"⚠ Lệch &gt; 30% so với nhu cầu",IF(Q114="Có","ℹ Kiểm tra ngoại suy KM","✓ Hợp lệ")))))</f>
        <v/>
      </c>
    </row>
    <row r="115">
      <c r="A115" s="16" t="n">
        <v>111</v>
      </c>
      <c r="B115" s="17" t="inlineStr">
        <is>
          <t>DEC-S30-CLEANING</t>
        </is>
      </c>
      <c r="C115" s="16" t="n">
        <v>30</v>
      </c>
      <c r="D115" s="17" t="inlineStr">
        <is>
          <t>CLEANING</t>
        </is>
      </c>
      <c r="E115" s="17" t="inlineStr">
        <is>
          <t>MEDIUM</t>
        </is>
      </c>
      <c r="F115" s="17" t="inlineStr">
        <is>
          <t>TRUNG BÌNH</t>
        </is>
      </c>
      <c r="G115" s="18" t="inlineStr">
        <is>
          <t>RISK_MEDIUM · LARGE_SERIES</t>
        </is>
      </c>
      <c r="H115" s="19" t="n">
        <v>16277.00907138672</v>
      </c>
      <c r="I115" s="19" t="n">
        <v>20597.00653076172</v>
      </c>
      <c r="J115" s="19" t="n">
        <v>27896.04766748047</v>
      </c>
      <c r="K115" s="19" t="n">
        <v>20597.00653076172</v>
      </c>
      <c r="L115" s="19" t="n">
        <v>25158.90724121094</v>
      </c>
      <c r="M115" s="19" t="n">
        <v>27896.04766748047</v>
      </c>
      <c r="N115" s="17" t="inlineStr">
        <is>
          <t>C</t>
        </is>
      </c>
      <c r="O115" s="19" t="n">
        <v>11418.44244287109</v>
      </c>
      <c r="P115" s="18" t="inlineStr">
        <is>
          <t>KHÔNG ĐỀ XUẤT TĂNG</t>
        </is>
      </c>
      <c r="Q115" s="17" t="inlineStr">
        <is>
          <t>Không</t>
        </is>
      </c>
      <c r="R115" s="20" t="n"/>
      <c r="S115" s="20" t="n"/>
      <c r="T115" s="21" t="n"/>
      <c r="U115" s="21" t="n"/>
      <c r="V115" s="22">
        <f>IF(U115="A",K115,IF(U115="B",L115,IF(U115="C",M115,IF(N115="A",K115,IF(N115="B",L115,M115)))))</f>
        <v/>
      </c>
      <c r="W115" s="22">
        <f>IF(R115="",O115,MAX(V115-R115-N(S115),0))</f>
        <v/>
      </c>
      <c r="X115" s="20" t="n"/>
      <c r="Y115" s="23">
        <f>IF(OR(X115="",W115=0),"",X115/W115-1)</f>
        <v/>
      </c>
      <c r="Z115" s="24" t="n"/>
      <c r="AA115" s="21" t="n"/>
      <c r="AB115" s="25" t="n"/>
      <c r="AC115" s="26">
        <f>IF(T115="","Chưa quyết định",IF(OR(Z115="",AA115=""),"⚠ Thiếu lý do/người duyệt",IF(AND(X115&lt;&gt;"",N(X115)+N(R115)+N(S115)&gt;M115*1.001,R115&lt;&gt;""),"⚠ Vượt mục tiêu P90",IF(AND(Y115&lt;&gt;"",ABS(N(Y115))&gt;0.3),"⚠ Lệch &gt; 30% so với nhu cầu",IF(Q115="Có","ℹ Kiểm tra ngoại suy KM","✓ Hợp lệ")))))</f>
        <v/>
      </c>
    </row>
    <row r="116">
      <c r="A116" s="16" t="n">
        <v>112</v>
      </c>
      <c r="B116" s="17" t="inlineStr">
        <is>
          <t>DEC-S23-PRODUCE</t>
        </is>
      </c>
      <c r="C116" s="16" t="n">
        <v>23</v>
      </c>
      <c r="D116" s="17" t="inlineStr">
        <is>
          <t>PRODUCE</t>
        </is>
      </c>
      <c r="E116" s="17" t="inlineStr">
        <is>
          <t>MEDIUM</t>
        </is>
      </c>
      <c r="F116" s="17" t="inlineStr">
        <is>
          <t>TRUNG BÌNH</t>
        </is>
      </c>
      <c r="G116" s="18" t="inlineStr">
        <is>
          <t>RISK_MEDIUM · LARGE_SERIES</t>
        </is>
      </c>
      <c r="H116" s="19" t="n">
        <v>15965.68889335938</v>
      </c>
      <c r="I116" s="19" t="n">
        <v>20580.65356445312</v>
      </c>
      <c r="J116" s="19" t="n">
        <v>28484.27012548828</v>
      </c>
      <c r="K116" s="19" t="n">
        <v>20580.65356445312</v>
      </c>
      <c r="L116" s="19" t="n">
        <v>25520.4139151001</v>
      </c>
      <c r="M116" s="19" t="n">
        <v>28484.27012548828</v>
      </c>
      <c r="N116" s="17" t="inlineStr">
        <is>
          <t>C</t>
        </is>
      </c>
      <c r="O116" s="19" t="n">
        <v>12019.74727392578</v>
      </c>
      <c r="P116" s="18" t="inlineStr">
        <is>
          <t>KHÔNG ĐỀ XUẤT TĂNG</t>
        </is>
      </c>
      <c r="Q116" s="17" t="inlineStr">
        <is>
          <t>Không</t>
        </is>
      </c>
      <c r="R116" s="20" t="n"/>
      <c r="S116" s="20" t="n"/>
      <c r="T116" s="21" t="n"/>
      <c r="U116" s="21" t="n"/>
      <c r="V116" s="22">
        <f>IF(U116="A",K116,IF(U116="B",L116,IF(U116="C",M116,IF(N116="A",K116,IF(N116="B",L116,M116)))))</f>
        <v/>
      </c>
      <c r="W116" s="22">
        <f>IF(R116="",O116,MAX(V116-R116-N(S116),0))</f>
        <v/>
      </c>
      <c r="X116" s="20" t="n"/>
      <c r="Y116" s="23">
        <f>IF(OR(X116="",W116=0),"",X116/W116-1)</f>
        <v/>
      </c>
      <c r="Z116" s="24" t="n"/>
      <c r="AA116" s="21" t="n"/>
      <c r="AB116" s="25" t="n"/>
      <c r="AC116" s="26">
        <f>IF(T116="","Chưa quyết định",IF(OR(Z116="",AA116=""),"⚠ Thiếu lý do/người duyệt",IF(AND(X116&lt;&gt;"",N(X116)+N(R116)+N(S116)&gt;M116*1.001,R116&lt;&gt;""),"⚠ Vượt mục tiêu P90",IF(AND(Y116&lt;&gt;"",ABS(N(Y116))&gt;0.3),"⚠ Lệch &gt; 30% so với nhu cầu",IF(Q116="Có","ℹ Kiểm tra ngoại suy KM","✓ Hợp lệ")))))</f>
        <v/>
      </c>
    </row>
    <row r="117">
      <c r="A117" s="16" t="n">
        <v>113</v>
      </c>
      <c r="B117" s="17" t="inlineStr">
        <is>
          <t>DEC-S49-BREAD_BAKERY</t>
        </is>
      </c>
      <c r="C117" s="16" t="n">
        <v>49</v>
      </c>
      <c r="D117" s="17" t="inlineStr">
        <is>
          <t>BREAD/BAKERY</t>
        </is>
      </c>
      <c r="E117" s="17" t="inlineStr">
        <is>
          <t>MEDIUM</t>
        </is>
      </c>
      <c r="F117" s="17" t="inlineStr">
        <is>
          <t>TRUNG BÌNH</t>
        </is>
      </c>
      <c r="G117" s="18" t="inlineStr">
        <is>
          <t>RISK_MEDIUM · LARGE_SERIES</t>
        </is>
      </c>
      <c r="H117" s="19" t="n">
        <v>15348.91279511719</v>
      </c>
      <c r="I117" s="19" t="n">
        <v>20553.81188964844</v>
      </c>
      <c r="J117" s="19" t="n">
        <v>29666.57929931641</v>
      </c>
      <c r="K117" s="19" t="n">
        <v>20553.81188964844</v>
      </c>
      <c r="L117" s="19" t="n">
        <v>26249.29152069092</v>
      </c>
      <c r="M117" s="19" t="n">
        <v>29666.57929931641</v>
      </c>
      <c r="N117" s="17" t="inlineStr">
        <is>
          <t>C</t>
        </is>
      </c>
      <c r="O117" s="19" t="n">
        <v>13223.52978759766</v>
      </c>
      <c r="P117" s="18" t="inlineStr">
        <is>
          <t>KHÔNG ĐỀ XUẤT TĂNG</t>
        </is>
      </c>
      <c r="Q117" s="17" t="inlineStr">
        <is>
          <t>Không</t>
        </is>
      </c>
      <c r="R117" s="20" t="n"/>
      <c r="S117" s="20" t="n"/>
      <c r="T117" s="21" t="n"/>
      <c r="U117" s="21" t="n"/>
      <c r="V117" s="22">
        <f>IF(U117="A",K117,IF(U117="B",L117,IF(U117="C",M117,IF(N117="A",K117,IF(N117="B",L117,M117)))))</f>
        <v/>
      </c>
      <c r="W117" s="22">
        <f>IF(R117="",O117,MAX(V117-R117-N(S117),0))</f>
        <v/>
      </c>
      <c r="X117" s="20" t="n"/>
      <c r="Y117" s="23">
        <f>IF(OR(X117="",W117=0),"",X117/W117-1)</f>
        <v/>
      </c>
      <c r="Z117" s="24" t="n"/>
      <c r="AA117" s="21" t="n"/>
      <c r="AB117" s="25" t="n"/>
      <c r="AC117" s="26">
        <f>IF(T117="","Chưa quyết định",IF(OR(Z117="",AA117=""),"⚠ Thiếu lý do/người duyệt",IF(AND(X117&lt;&gt;"",N(X117)+N(R117)+N(S117)&gt;M117*1.001,R117&lt;&gt;""),"⚠ Vượt mục tiêu P90",IF(AND(Y117&lt;&gt;"",ABS(N(Y117))&gt;0.3),"⚠ Lệch &gt; 30% so với nhu cầu",IF(Q117="Có","ℹ Kiểm tra ngoại suy KM","✓ Hợp lệ")))))</f>
        <v/>
      </c>
    </row>
    <row r="118">
      <c r="A118" s="16" t="n">
        <v>114</v>
      </c>
      <c r="B118" s="17" t="inlineStr">
        <is>
          <t>DEC-S50-DAIRY</t>
        </is>
      </c>
      <c r="C118" s="16" t="n">
        <v>50</v>
      </c>
      <c r="D118" s="17" t="inlineStr">
        <is>
          <t>DAIRY</t>
        </is>
      </c>
      <c r="E118" s="17" t="inlineStr">
        <is>
          <t>MEDIUM</t>
        </is>
      </c>
      <c r="F118" s="17" t="inlineStr">
        <is>
          <t>TRUNG BÌNH</t>
        </is>
      </c>
      <c r="G118" s="18" t="inlineStr">
        <is>
          <t>RISK_MEDIUM · LARGE_SERIES</t>
        </is>
      </c>
      <c r="H118" s="19" t="n">
        <v>16494.16866591797</v>
      </c>
      <c r="I118" s="19" t="n">
        <v>20519.19891357422</v>
      </c>
      <c r="J118" s="19" t="n">
        <v>27213.66462597656</v>
      </c>
      <c r="K118" s="19" t="n">
        <v>20519.19891357422</v>
      </c>
      <c r="L118" s="19" t="n">
        <v>24703.23998382568</v>
      </c>
      <c r="M118" s="19" t="n">
        <v>27213.66462597656</v>
      </c>
      <c r="N118" s="17" t="inlineStr">
        <is>
          <t>C</t>
        </is>
      </c>
      <c r="O118" s="19" t="n">
        <v>10798.30549511718</v>
      </c>
      <c r="P118" s="18" t="inlineStr">
        <is>
          <t>KHÔNG ĐỀ XUẤT TĂNG</t>
        </is>
      </c>
      <c r="Q118" s="17" t="inlineStr">
        <is>
          <t>Không</t>
        </is>
      </c>
      <c r="R118" s="20" t="n"/>
      <c r="S118" s="20" t="n"/>
      <c r="T118" s="21" t="n"/>
      <c r="U118" s="21" t="n"/>
      <c r="V118" s="22">
        <f>IF(U118="A",K118,IF(U118="B",L118,IF(U118="C",M118,IF(N118="A",K118,IF(N118="B",L118,M118)))))</f>
        <v/>
      </c>
      <c r="W118" s="22">
        <f>IF(R118="",O118,MAX(V118-R118-N(S118),0))</f>
        <v/>
      </c>
      <c r="X118" s="20" t="n"/>
      <c r="Y118" s="23">
        <f>IF(OR(X118="",W118=0),"",X118/W118-1)</f>
        <v/>
      </c>
      <c r="Z118" s="24" t="n"/>
      <c r="AA118" s="21" t="n"/>
      <c r="AB118" s="25" t="n"/>
      <c r="AC118" s="26">
        <f>IF(T118="","Chưa quyết định",IF(OR(Z118="",AA118=""),"⚠ Thiếu lý do/người duyệt",IF(AND(X118&lt;&gt;"",N(X118)+N(R118)+N(S118)&gt;M118*1.001,R118&lt;&gt;""),"⚠ Vượt mục tiêu P90",IF(AND(Y118&lt;&gt;"",ABS(N(Y118))&gt;0.3),"⚠ Lệch &gt; 30% so với nhu cầu",IF(Q118="Có","ℹ Kiểm tra ngoại suy KM","✓ Hợp lệ")))))</f>
        <v/>
      </c>
    </row>
    <row r="119">
      <c r="A119" s="16" t="n">
        <v>115</v>
      </c>
      <c r="B119" s="17" t="inlineStr">
        <is>
          <t>DEC-S47-POULTRY</t>
        </is>
      </c>
      <c r="C119" s="16" t="n">
        <v>47</v>
      </c>
      <c r="D119" s="17" t="inlineStr">
        <is>
          <t>POULTRY</t>
        </is>
      </c>
      <c r="E119" s="17" t="inlineStr">
        <is>
          <t>MEDIUM</t>
        </is>
      </c>
      <c r="F119" s="17" t="inlineStr">
        <is>
          <t>TRUNG BÌNH</t>
        </is>
      </c>
      <c r="G119" s="18" t="inlineStr">
        <is>
          <t>RISK_MEDIUM · LARGE_SERIES</t>
        </is>
      </c>
      <c r="H119" s="19" t="n">
        <v>15705.35289482422</v>
      </c>
      <c r="I119" s="19" t="n">
        <v>20320.31756591797</v>
      </c>
      <c r="J119" s="19" t="n">
        <v>28223.93412695313</v>
      </c>
      <c r="K119" s="19" t="n">
        <v>20320.31756591797</v>
      </c>
      <c r="L119" s="19" t="n">
        <v>25260.07791656494</v>
      </c>
      <c r="M119" s="19" t="n">
        <v>28223.93412695313</v>
      </c>
      <c r="N119" s="17" t="inlineStr">
        <is>
          <t>C</t>
        </is>
      </c>
      <c r="O119" s="19" t="n">
        <v>11967.68007421875</v>
      </c>
      <c r="P119" s="18" t="inlineStr">
        <is>
          <t>KHÔNG ĐỀ XUẤT TĂNG</t>
        </is>
      </c>
      <c r="Q119" s="17" t="inlineStr">
        <is>
          <t>Không</t>
        </is>
      </c>
      <c r="R119" s="20" t="n"/>
      <c r="S119" s="20" t="n"/>
      <c r="T119" s="21" t="n"/>
      <c r="U119" s="21" t="n"/>
      <c r="V119" s="22">
        <f>IF(U119="A",K119,IF(U119="B",L119,IF(U119="C",M119,IF(N119="A",K119,IF(N119="B",L119,M119)))))</f>
        <v/>
      </c>
      <c r="W119" s="22">
        <f>IF(R119="",O119,MAX(V119-R119-N(S119),0))</f>
        <v/>
      </c>
      <c r="X119" s="20" t="n"/>
      <c r="Y119" s="23">
        <f>IF(OR(X119="",W119=0),"",X119/W119-1)</f>
        <v/>
      </c>
      <c r="Z119" s="24" t="n"/>
      <c r="AA119" s="21" t="n"/>
      <c r="AB119" s="25" t="n"/>
      <c r="AC119" s="26">
        <f>IF(T119="","Chưa quyết định",IF(OR(Z119="",AA119=""),"⚠ Thiếu lý do/người duyệt",IF(AND(X119&lt;&gt;"",N(X119)+N(R119)+N(S119)&gt;M119*1.001,R119&lt;&gt;""),"⚠ Vượt mục tiêu P90",IF(AND(Y119&lt;&gt;"",ABS(N(Y119))&gt;0.3),"⚠ Lệch &gt; 30% so với nhu cầu",IF(Q119="Có","ℹ Kiểm tra ngoại suy KM","✓ Hợp lệ")))))</f>
        <v/>
      </c>
    </row>
    <row r="120">
      <c r="A120" s="16" t="n">
        <v>116</v>
      </c>
      <c r="B120" s="17" t="inlineStr">
        <is>
          <t>DEC-S43-CLEANING</t>
        </is>
      </c>
      <c r="C120" s="16" t="n">
        <v>43</v>
      </c>
      <c r="D120" s="17" t="inlineStr">
        <is>
          <t>CLEANING</t>
        </is>
      </c>
      <c r="E120" s="17" t="inlineStr">
        <is>
          <t>MEDIUM</t>
        </is>
      </c>
      <c r="F120" s="17" t="inlineStr">
        <is>
          <t>TRUNG BÌNH</t>
        </is>
      </c>
      <c r="G120" s="18" t="inlineStr">
        <is>
          <t>RISK_MEDIUM · LARGE_SERIES</t>
        </is>
      </c>
      <c r="H120" s="19" t="n">
        <v>15974.80367568359</v>
      </c>
      <c r="I120" s="19" t="n">
        <v>19999.83392333984</v>
      </c>
      <c r="J120" s="19" t="n">
        <v>26694.29963574219</v>
      </c>
      <c r="K120" s="19" t="n">
        <v>19999.83392333984</v>
      </c>
      <c r="L120" s="19" t="n">
        <v>24183.87499359131</v>
      </c>
      <c r="M120" s="19" t="n">
        <v>26694.29963574219</v>
      </c>
      <c r="N120" s="17" t="inlineStr">
        <is>
          <t>C</t>
        </is>
      </c>
      <c r="O120" s="19" t="n">
        <v>10694.43249707031</v>
      </c>
      <c r="P120" s="18" t="inlineStr">
        <is>
          <t>KHÔNG ĐỀ XUẤT TĂNG</t>
        </is>
      </c>
      <c r="Q120" s="17" t="inlineStr">
        <is>
          <t>Không</t>
        </is>
      </c>
      <c r="R120" s="20" t="n"/>
      <c r="S120" s="20" t="n"/>
      <c r="T120" s="21" t="n"/>
      <c r="U120" s="21" t="n"/>
      <c r="V120" s="22">
        <f>IF(U120="A",K120,IF(U120="B",L120,IF(U120="C",M120,IF(N120="A",K120,IF(N120="B",L120,M120)))))</f>
        <v/>
      </c>
      <c r="W120" s="22">
        <f>IF(R120="",O120,MAX(V120-R120-N(S120),0))</f>
        <v/>
      </c>
      <c r="X120" s="20" t="n"/>
      <c r="Y120" s="23">
        <f>IF(OR(X120="",W120=0),"",X120/W120-1)</f>
        <v/>
      </c>
      <c r="Z120" s="24" t="n"/>
      <c r="AA120" s="21" t="n"/>
      <c r="AB120" s="25" t="n"/>
      <c r="AC120" s="26">
        <f>IF(T120="","Chưa quyết định",IF(OR(Z120="",AA120=""),"⚠ Thiếu lý do/người duyệt",IF(AND(X120&lt;&gt;"",N(X120)+N(R120)+N(S120)&gt;M120*1.001,R120&lt;&gt;""),"⚠ Vượt mục tiêu P90",IF(AND(Y120&lt;&gt;"",ABS(N(Y120))&gt;0.3),"⚠ Lệch &gt; 30% so với nhu cầu",IF(Q120="Có","ℹ Kiểm tra ngoại suy KM","✓ Hợp lệ")))))</f>
        <v/>
      </c>
    </row>
    <row r="121">
      <c r="A121" s="16" t="n">
        <v>117</v>
      </c>
      <c r="B121" s="17" t="inlineStr">
        <is>
          <t>DEC-S03-BREAD_BAKERY</t>
        </is>
      </c>
      <c r="C121" s="16" t="n">
        <v>3</v>
      </c>
      <c r="D121" s="17" t="inlineStr">
        <is>
          <t>BREAD/BAKERY</t>
        </is>
      </c>
      <c r="E121" s="17" t="inlineStr">
        <is>
          <t>MEDIUM</t>
        </is>
      </c>
      <c r="F121" s="17" t="inlineStr">
        <is>
          <t>TRUNG BÌNH</t>
        </is>
      </c>
      <c r="G121" s="18" t="inlineStr">
        <is>
          <t>RISK_MEDIUM · LARGE_SERIES</t>
        </is>
      </c>
      <c r="H121" s="19" t="n">
        <v>15938.79091933594</v>
      </c>
      <c r="I121" s="19" t="n">
        <v>19963.82116699219</v>
      </c>
      <c r="J121" s="19" t="n">
        <v>26658.28687939453</v>
      </c>
      <c r="K121" s="19" t="n">
        <v>19963.82116699219</v>
      </c>
      <c r="L121" s="19" t="n">
        <v>24147.86223724365</v>
      </c>
      <c r="M121" s="19" t="n">
        <v>26658.28687939453</v>
      </c>
      <c r="N121" s="17" t="inlineStr">
        <is>
          <t>C</t>
        </is>
      </c>
      <c r="O121" s="19" t="n">
        <v>10687.22994580078</v>
      </c>
      <c r="P121" s="18" t="inlineStr">
        <is>
          <t>KHÔNG ĐỀ XUẤT TĂNG</t>
        </is>
      </c>
      <c r="Q121" s="17" t="inlineStr">
        <is>
          <t>Không</t>
        </is>
      </c>
      <c r="R121" s="20" t="n"/>
      <c r="S121" s="20" t="n"/>
      <c r="T121" s="21" t="n"/>
      <c r="U121" s="21" t="n"/>
      <c r="V121" s="22">
        <f>IF(U121="A",K121,IF(U121="B",L121,IF(U121="C",M121,IF(N121="A",K121,IF(N121="B",L121,M121)))))</f>
        <v/>
      </c>
      <c r="W121" s="22">
        <f>IF(R121="",O121,MAX(V121-R121-N(S121),0))</f>
        <v/>
      </c>
      <c r="X121" s="20" t="n"/>
      <c r="Y121" s="23">
        <f>IF(OR(X121="",W121=0),"",X121/W121-1)</f>
        <v/>
      </c>
      <c r="Z121" s="24" t="n"/>
      <c r="AA121" s="21" t="n"/>
      <c r="AB121" s="25" t="n"/>
      <c r="AC121" s="26">
        <f>IF(T121="","Chưa quyết định",IF(OR(Z121="",AA121=""),"⚠ Thiếu lý do/người duyệt",IF(AND(X121&lt;&gt;"",N(X121)+N(R121)+N(S121)&gt;M121*1.001,R121&lt;&gt;""),"⚠ Vượt mục tiêu P90",IF(AND(Y121&lt;&gt;"",ABS(N(Y121))&gt;0.3),"⚠ Lệch &gt; 30% so với nhu cầu",IF(Q121="Có","ℹ Kiểm tra ngoại suy KM","✓ Hợp lệ")))))</f>
        <v/>
      </c>
    </row>
    <row r="122">
      <c r="A122" s="16" t="n">
        <v>118</v>
      </c>
      <c r="B122" s="17" t="inlineStr">
        <is>
          <t>DEC-S24-CLEANING</t>
        </is>
      </c>
      <c r="C122" s="16" t="n">
        <v>24</v>
      </c>
      <c r="D122" s="17" t="inlineStr">
        <is>
          <t>CLEANING</t>
        </is>
      </c>
      <c r="E122" s="17" t="inlineStr">
        <is>
          <t>MEDIUM</t>
        </is>
      </c>
      <c r="F122" s="17" t="inlineStr">
        <is>
          <t>TRUNG BÌNH</t>
        </is>
      </c>
      <c r="G122" s="18" t="inlineStr">
        <is>
          <t>RISK_MEDIUM · LARGE_SERIES</t>
        </is>
      </c>
      <c r="H122" s="19" t="n">
        <v>15065.49826816406</v>
      </c>
      <c r="I122" s="19" t="n">
        <v>19385.49572753906</v>
      </c>
      <c r="J122" s="19" t="n">
        <v>26684.53686425781</v>
      </c>
      <c r="K122" s="19" t="n">
        <v>19385.49572753906</v>
      </c>
      <c r="L122" s="19" t="n">
        <v>23947.39643798828</v>
      </c>
      <c r="M122" s="19" t="n">
        <v>26684.53686425781</v>
      </c>
      <c r="N122" s="17" t="inlineStr">
        <is>
          <t>C</t>
        </is>
      </c>
      <c r="O122" s="19" t="n">
        <v>11176.14028222656</v>
      </c>
      <c r="P122" s="18" t="inlineStr">
        <is>
          <t>KHÔNG ĐỀ XUẤT TĂNG</t>
        </is>
      </c>
      <c r="Q122" s="17" t="inlineStr">
        <is>
          <t>Không</t>
        </is>
      </c>
      <c r="R122" s="20" t="n"/>
      <c r="S122" s="20" t="n"/>
      <c r="T122" s="21" t="n"/>
      <c r="U122" s="21" t="n"/>
      <c r="V122" s="22">
        <f>IF(U122="A",K122,IF(U122="B",L122,IF(U122="C",M122,IF(N122="A",K122,IF(N122="B",L122,M122)))))</f>
        <v/>
      </c>
      <c r="W122" s="22">
        <f>IF(R122="",O122,MAX(V122-R122-N(S122),0))</f>
        <v/>
      </c>
      <c r="X122" s="20" t="n"/>
      <c r="Y122" s="23">
        <f>IF(OR(X122="",W122=0),"",X122/W122-1)</f>
        <v/>
      </c>
      <c r="Z122" s="24" t="n"/>
      <c r="AA122" s="21" t="n"/>
      <c r="AB122" s="25" t="n"/>
      <c r="AC122" s="26">
        <f>IF(T122="","Chưa quyết định",IF(OR(Z122="",AA122=""),"⚠ Thiếu lý do/người duyệt",IF(AND(X122&lt;&gt;"",N(X122)+N(R122)+N(S122)&gt;M122*1.001,R122&lt;&gt;""),"⚠ Vượt mục tiêu P90",IF(AND(Y122&lt;&gt;"",ABS(N(Y122))&gt;0.3),"⚠ Lệch &gt; 30% so với nhu cầu",IF(Q122="Có","ℹ Kiểm tra ngoại suy KM","✓ Hợp lệ")))))</f>
        <v/>
      </c>
    </row>
    <row r="123">
      <c r="A123" s="16" t="n">
        <v>119</v>
      </c>
      <c r="B123" s="17" t="inlineStr">
        <is>
          <t>DEC-S03-POULTRY</t>
        </is>
      </c>
      <c r="C123" s="16" t="n">
        <v>3</v>
      </c>
      <c r="D123" s="17" t="inlineStr">
        <is>
          <t>POULTRY</t>
        </is>
      </c>
      <c r="E123" s="17" t="inlineStr">
        <is>
          <t>MEDIUM</t>
        </is>
      </c>
      <c r="F123" s="17" t="inlineStr">
        <is>
          <t>TRUNG BÌNH</t>
        </is>
      </c>
      <c r="G123" s="18" t="inlineStr">
        <is>
          <t>RISK_MEDIUM · LARGE_SERIES</t>
        </is>
      </c>
      <c r="H123" s="19" t="n">
        <v>15359.82009414062</v>
      </c>
      <c r="I123" s="19" t="n">
        <v>19384.85034179688</v>
      </c>
      <c r="J123" s="19" t="n">
        <v>26079.31605419922</v>
      </c>
      <c r="K123" s="19" t="n">
        <v>19384.85034179688</v>
      </c>
      <c r="L123" s="19" t="n">
        <v>23568.89141204834</v>
      </c>
      <c r="M123" s="19" t="n">
        <v>26079.31605419922</v>
      </c>
      <c r="N123" s="17" t="inlineStr">
        <is>
          <t>C</t>
        </is>
      </c>
      <c r="O123" s="19" t="n">
        <v>10571.43578076172</v>
      </c>
      <c r="P123" s="18" t="inlineStr">
        <is>
          <t>KHÔNG ĐỀ XUẤT TĂNG</t>
        </is>
      </c>
      <c r="Q123" s="17" t="inlineStr">
        <is>
          <t>Không</t>
        </is>
      </c>
      <c r="R123" s="20" t="n"/>
      <c r="S123" s="20" t="n"/>
      <c r="T123" s="21" t="n"/>
      <c r="U123" s="21" t="n"/>
      <c r="V123" s="22">
        <f>IF(U123="A",K123,IF(U123="B",L123,IF(U123="C",M123,IF(N123="A",K123,IF(N123="B",L123,M123)))))</f>
        <v/>
      </c>
      <c r="W123" s="22">
        <f>IF(R123="",O123,MAX(V123-R123-N(S123),0))</f>
        <v/>
      </c>
      <c r="X123" s="20" t="n"/>
      <c r="Y123" s="23">
        <f>IF(OR(X123="",W123=0),"",X123/W123-1)</f>
        <v/>
      </c>
      <c r="Z123" s="24" t="n"/>
      <c r="AA123" s="21" t="n"/>
      <c r="AB123" s="25" t="n"/>
      <c r="AC123" s="26">
        <f>IF(T123="","Chưa quyết định",IF(OR(Z123="",AA123=""),"⚠ Thiếu lý do/người duyệt",IF(AND(X123&lt;&gt;"",N(X123)+N(R123)+N(S123)&gt;M123*1.001,R123&lt;&gt;""),"⚠ Vượt mục tiêu P90",IF(AND(Y123&lt;&gt;"",ABS(N(Y123))&gt;0.3),"⚠ Lệch &gt; 30% so với nhu cầu",IF(Q123="Có","ℹ Kiểm tra ngoại suy KM","✓ Hợp lệ")))))</f>
        <v/>
      </c>
    </row>
    <row r="124">
      <c r="A124" s="16" t="n">
        <v>120</v>
      </c>
      <c r="B124" s="17" t="inlineStr">
        <is>
          <t>DEC-S47-BREAD_BAKERY</t>
        </is>
      </c>
      <c r="C124" s="16" t="n">
        <v>47</v>
      </c>
      <c r="D124" s="17" t="inlineStr">
        <is>
          <t>BREAD/BAKERY</t>
        </is>
      </c>
      <c r="E124" s="17" t="inlineStr">
        <is>
          <t>MEDIUM</t>
        </is>
      </c>
      <c r="F124" s="17" t="inlineStr">
        <is>
          <t>TRUNG BÌNH</t>
        </is>
      </c>
      <c r="G124" s="18" t="inlineStr">
        <is>
          <t>RISK_MEDIUM · LARGE_SERIES</t>
        </is>
      </c>
      <c r="H124" s="19" t="n">
        <v>15242.13198378906</v>
      </c>
      <c r="I124" s="19" t="n">
        <v>19267.16223144531</v>
      </c>
      <c r="J124" s="19" t="n">
        <v>25961.62794384766</v>
      </c>
      <c r="K124" s="19" t="n">
        <v>19267.16223144531</v>
      </c>
      <c r="L124" s="19" t="n">
        <v>23451.20330169678</v>
      </c>
      <c r="M124" s="19" t="n">
        <v>25961.62794384766</v>
      </c>
      <c r="N124" s="17" t="inlineStr">
        <is>
          <t>C</t>
        </is>
      </c>
      <c r="O124" s="19" t="n">
        <v>10547.8981586914</v>
      </c>
      <c r="P124" s="18" t="inlineStr">
        <is>
          <t>KHÔNG ĐỀ XUẤT TĂNG</t>
        </is>
      </c>
      <c r="Q124" s="17" t="inlineStr">
        <is>
          <t>Không</t>
        </is>
      </c>
      <c r="R124" s="20" t="n"/>
      <c r="S124" s="20" t="n"/>
      <c r="T124" s="21" t="n"/>
      <c r="U124" s="21" t="n"/>
      <c r="V124" s="22">
        <f>IF(U124="A",K124,IF(U124="B",L124,IF(U124="C",M124,IF(N124="A",K124,IF(N124="B",L124,M124)))))</f>
        <v/>
      </c>
      <c r="W124" s="22">
        <f>IF(R124="",O124,MAX(V124-R124-N(S124),0))</f>
        <v/>
      </c>
      <c r="X124" s="20" t="n"/>
      <c r="Y124" s="23">
        <f>IF(OR(X124="",W124=0),"",X124/W124-1)</f>
        <v/>
      </c>
      <c r="Z124" s="24" t="n"/>
      <c r="AA124" s="21" t="n"/>
      <c r="AB124" s="25" t="n"/>
      <c r="AC124" s="26">
        <f>IF(T124="","Chưa quyết định",IF(OR(Z124="",AA124=""),"⚠ Thiếu lý do/người duyệt",IF(AND(X124&lt;&gt;"",N(X124)+N(R124)+N(S124)&gt;M124*1.001,R124&lt;&gt;""),"⚠ Vượt mục tiêu P90",IF(AND(Y124&lt;&gt;"",ABS(N(Y124))&gt;0.3),"⚠ Lệch &gt; 30% so với nhu cầu",IF(Q124="Có","ℹ Kiểm tra ngoại suy KM","✓ Hợp lệ")))))</f>
        <v/>
      </c>
    </row>
    <row r="125">
      <c r="A125" s="16" t="n">
        <v>121</v>
      </c>
      <c r="B125" s="17" t="inlineStr">
        <is>
          <t>DEC-S45-MEATS</t>
        </is>
      </c>
      <c r="C125" s="16" t="n">
        <v>45</v>
      </c>
      <c r="D125" s="17" t="inlineStr">
        <is>
          <t>MEATS</t>
        </is>
      </c>
      <c r="E125" s="17" t="inlineStr">
        <is>
          <t>MEDIUM</t>
        </is>
      </c>
      <c r="F125" s="17" t="inlineStr">
        <is>
          <t>TRUNG BÌNH</t>
        </is>
      </c>
      <c r="G125" s="18" t="inlineStr">
        <is>
          <t>RISK_MEDIUM · LARGE_SERIES</t>
        </is>
      </c>
      <c r="H125" s="19" t="n">
        <v>15392.09699824219</v>
      </c>
      <c r="I125" s="19" t="n">
        <v>19122.16003417969</v>
      </c>
      <c r="J125" s="19" t="n">
        <v>25212.05032226562</v>
      </c>
      <c r="K125" s="19" t="n">
        <v>19122.16003417969</v>
      </c>
      <c r="L125" s="19" t="n">
        <v>22928.3414642334</v>
      </c>
      <c r="M125" s="19" t="n">
        <v>25212.05032226562</v>
      </c>
      <c r="N125" s="17" t="inlineStr">
        <is>
          <t>C</t>
        </is>
      </c>
      <c r="O125" s="19" t="n">
        <v>9914.322294921873</v>
      </c>
      <c r="P125" s="18" t="inlineStr">
        <is>
          <t>KHÔNG ĐỀ XUẤT TĂNG</t>
        </is>
      </c>
      <c r="Q125" s="17" t="inlineStr">
        <is>
          <t>Không</t>
        </is>
      </c>
      <c r="R125" s="20" t="n"/>
      <c r="S125" s="20" t="n"/>
      <c r="T125" s="21" t="n"/>
      <c r="U125" s="21" t="n"/>
      <c r="V125" s="22">
        <f>IF(U125="A",K125,IF(U125="B",L125,IF(U125="C",M125,IF(N125="A",K125,IF(N125="B",L125,M125)))))</f>
        <v/>
      </c>
      <c r="W125" s="22">
        <f>IF(R125="",O125,MAX(V125-R125-N(S125),0))</f>
        <v/>
      </c>
      <c r="X125" s="20" t="n"/>
      <c r="Y125" s="23">
        <f>IF(OR(X125="",W125=0),"",X125/W125-1)</f>
        <v/>
      </c>
      <c r="Z125" s="24" t="n"/>
      <c r="AA125" s="21" t="n"/>
      <c r="AB125" s="25" t="n"/>
      <c r="AC125" s="26">
        <f>IF(T125="","Chưa quyết định",IF(OR(Z125="",AA125=""),"⚠ Thiếu lý do/người duyệt",IF(AND(X125&lt;&gt;"",N(X125)+N(R125)+N(S125)&gt;M125*1.001,R125&lt;&gt;""),"⚠ Vượt mục tiêu P90",IF(AND(Y125&lt;&gt;"",ABS(N(Y125))&gt;0.3),"⚠ Lệch &gt; 30% so với nhu cầu",IF(Q125="Có","ℹ Kiểm tra ngoại suy KM","✓ Hợp lệ")))))</f>
        <v/>
      </c>
    </row>
    <row r="126">
      <c r="A126" s="16" t="n">
        <v>122</v>
      </c>
      <c r="B126" s="17" t="inlineStr">
        <is>
          <t>DEC-S07-CLEANING</t>
        </is>
      </c>
      <c r="C126" s="16" t="n">
        <v>7</v>
      </c>
      <c r="D126" s="17" t="inlineStr">
        <is>
          <t>CLEANING</t>
        </is>
      </c>
      <c r="E126" s="17" t="inlineStr">
        <is>
          <t>MEDIUM</t>
        </is>
      </c>
      <c r="F126" s="17" t="inlineStr">
        <is>
          <t>TRUNG BÌNH</t>
        </is>
      </c>
      <c r="G126" s="18" t="inlineStr">
        <is>
          <t>RISK_MEDIUM · LARGE_SERIES</t>
        </is>
      </c>
      <c r="H126" s="19" t="n">
        <v>15033.06733515625</v>
      </c>
      <c r="I126" s="19" t="n">
        <v>18763.13037109375</v>
      </c>
      <c r="J126" s="19" t="n">
        <v>24853.02065917969</v>
      </c>
      <c r="K126" s="19" t="n">
        <v>18763.13037109375</v>
      </c>
      <c r="L126" s="19" t="n">
        <v>22569.31180114746</v>
      </c>
      <c r="M126" s="19" t="n">
        <v>24853.02065917969</v>
      </c>
      <c r="N126" s="17" t="inlineStr">
        <is>
          <t>C</t>
        </is>
      </c>
      <c r="O126" s="19" t="n">
        <v>9842.516362304688</v>
      </c>
      <c r="P126" s="18" t="inlineStr">
        <is>
          <t>KHÔNG ĐỀ XUẤT TĂNG</t>
        </is>
      </c>
      <c r="Q126" s="17" t="inlineStr">
        <is>
          <t>Không</t>
        </is>
      </c>
      <c r="R126" s="20" t="n"/>
      <c r="S126" s="20" t="n"/>
      <c r="T126" s="21" t="n"/>
      <c r="U126" s="21" t="n"/>
      <c r="V126" s="22">
        <f>IF(U126="A",K126,IF(U126="B",L126,IF(U126="C",M126,IF(N126="A",K126,IF(N126="B",L126,M126)))))</f>
        <v/>
      </c>
      <c r="W126" s="22">
        <f>IF(R126="",O126,MAX(V126-R126-N(S126),0))</f>
        <v/>
      </c>
      <c r="X126" s="20" t="n"/>
      <c r="Y126" s="23">
        <f>IF(OR(X126="",W126=0),"",X126/W126-1)</f>
        <v/>
      </c>
      <c r="Z126" s="24" t="n"/>
      <c r="AA126" s="21" t="n"/>
      <c r="AB126" s="25" t="n"/>
      <c r="AC126" s="26">
        <f>IF(T126="","Chưa quyết định",IF(OR(Z126="",AA126=""),"⚠ Thiếu lý do/người duyệt",IF(AND(X126&lt;&gt;"",N(X126)+N(R126)+N(S126)&gt;M126*1.001,R126&lt;&gt;""),"⚠ Vượt mục tiêu P90",IF(AND(Y126&lt;&gt;"",ABS(N(Y126))&gt;0.3),"⚠ Lệch &gt; 30% so với nhu cầu",IF(Q126="Có","ℹ Kiểm tra ngoại suy KM","✓ Hợp lệ")))))</f>
        <v/>
      </c>
    </row>
    <row r="127">
      <c r="A127" s="16" t="n">
        <v>123</v>
      </c>
      <c r="B127" s="17" t="inlineStr">
        <is>
          <t>DEC-S52-DAIRY</t>
        </is>
      </c>
      <c r="C127" s="16" t="n">
        <v>52</v>
      </c>
      <c r="D127" s="17" t="inlineStr">
        <is>
          <t>DAIRY</t>
        </is>
      </c>
      <c r="E127" s="17" t="inlineStr">
        <is>
          <t>MEDIUM</t>
        </is>
      </c>
      <c r="F127" s="17" t="inlineStr">
        <is>
          <t>TRUNG BÌNH</t>
        </is>
      </c>
      <c r="G127" s="18" t="inlineStr">
        <is>
          <t>RISK_MEDIUM · LARGE_SERIES</t>
        </is>
      </c>
      <c r="H127" s="19" t="n">
        <v>15224.13446142578</v>
      </c>
      <c r="I127" s="19" t="n">
        <v>18659.23028564453</v>
      </c>
      <c r="J127" s="19" t="n">
        <v>24144.54514941406</v>
      </c>
      <c r="K127" s="19" t="n">
        <v>18659.23028564453</v>
      </c>
      <c r="L127" s="19" t="n">
        <v>22087.55207550049</v>
      </c>
      <c r="M127" s="19" t="n">
        <v>24144.54514941406</v>
      </c>
      <c r="N127" s="17" t="inlineStr">
        <is>
          <t>C</t>
        </is>
      </c>
      <c r="O127" s="19" t="n">
        <v>9217.160920898436</v>
      </c>
      <c r="P127" s="18" t="inlineStr">
        <is>
          <t>KHÔNG ĐỀ XUẤT TĂNG</t>
        </is>
      </c>
      <c r="Q127" s="17" t="inlineStr">
        <is>
          <t>Không</t>
        </is>
      </c>
      <c r="R127" s="20" t="n"/>
      <c r="S127" s="20" t="n"/>
      <c r="T127" s="21" t="n"/>
      <c r="U127" s="21" t="n"/>
      <c r="V127" s="22">
        <f>IF(U127="A",K127,IF(U127="B",L127,IF(U127="C",M127,IF(N127="A",K127,IF(N127="B",L127,M127)))))</f>
        <v/>
      </c>
      <c r="W127" s="22">
        <f>IF(R127="",O127,MAX(V127-R127-N(S127),0))</f>
        <v/>
      </c>
      <c r="X127" s="20" t="n"/>
      <c r="Y127" s="23">
        <f>IF(OR(X127="",W127=0),"",X127/W127-1)</f>
        <v/>
      </c>
      <c r="Z127" s="24" t="n"/>
      <c r="AA127" s="21" t="n"/>
      <c r="AB127" s="25" t="n"/>
      <c r="AC127" s="26">
        <f>IF(T127="","Chưa quyết định",IF(OR(Z127="",AA127=""),"⚠ Thiếu lý do/người duyệt",IF(AND(X127&lt;&gt;"",N(X127)+N(R127)+N(S127)&gt;M127*1.001,R127&lt;&gt;""),"⚠ Vượt mục tiêu P90",IF(AND(Y127&lt;&gt;"",ABS(N(Y127))&gt;0.3),"⚠ Lệch &gt; 30% so với nhu cầu",IF(Q127="Có","ℹ Kiểm tra ngoại suy KM","✓ Hợp lệ")))))</f>
        <v/>
      </c>
    </row>
    <row r="128">
      <c r="A128" s="16" t="n">
        <v>124</v>
      </c>
      <c r="B128" s="17" t="inlineStr">
        <is>
          <t>DEC-S49-POULTRY</t>
        </is>
      </c>
      <c r="C128" s="16" t="n">
        <v>49</v>
      </c>
      <c r="D128" s="17" t="inlineStr">
        <is>
          <t>POULTRY</t>
        </is>
      </c>
      <c r="E128" s="17" t="inlineStr">
        <is>
          <t>MEDIUM</t>
        </is>
      </c>
      <c r="F128" s="17" t="inlineStr">
        <is>
          <t>TRUNG BÌNH</t>
        </is>
      </c>
      <c r="G128" s="18" t="inlineStr">
        <is>
          <t>RISK_MEDIUM · LARGE_SERIES</t>
        </is>
      </c>
      <c r="H128" s="19" t="n">
        <v>14911.60608007812</v>
      </c>
      <c r="I128" s="19" t="n">
        <v>18346.70190429688</v>
      </c>
      <c r="J128" s="19" t="n">
        <v>23832.01676806641</v>
      </c>
      <c r="K128" s="19" t="n">
        <v>18346.70190429688</v>
      </c>
      <c r="L128" s="19" t="n">
        <v>21775.02369415283</v>
      </c>
      <c r="M128" s="19" t="n">
        <v>23832.01676806641</v>
      </c>
      <c r="N128" s="17" t="inlineStr">
        <is>
          <t>C</t>
        </is>
      </c>
      <c r="O128" s="19" t="n">
        <v>9154.655244628906</v>
      </c>
      <c r="P128" s="18" t="inlineStr">
        <is>
          <t>KHÔNG ĐỀ XUẤT TĂNG</t>
        </is>
      </c>
      <c r="Q128" s="17" t="inlineStr">
        <is>
          <t>Không</t>
        </is>
      </c>
      <c r="R128" s="20" t="n"/>
      <c r="S128" s="20" t="n"/>
      <c r="T128" s="21" t="n"/>
      <c r="U128" s="21" t="n"/>
      <c r="V128" s="22">
        <f>IF(U128="A",K128,IF(U128="B",L128,IF(U128="C",M128,IF(N128="A",K128,IF(N128="B",L128,M128)))))</f>
        <v/>
      </c>
      <c r="W128" s="22">
        <f>IF(R128="",O128,MAX(V128-R128-N(S128),0))</f>
        <v/>
      </c>
      <c r="X128" s="20" t="n"/>
      <c r="Y128" s="23">
        <f>IF(OR(X128="",W128=0),"",X128/W128-1)</f>
        <v/>
      </c>
      <c r="Z128" s="24" t="n"/>
      <c r="AA128" s="21" t="n"/>
      <c r="AB128" s="25" t="n"/>
      <c r="AC128" s="26">
        <f>IF(T128="","Chưa quyết định",IF(OR(Z128="",AA128=""),"⚠ Thiếu lý do/người duyệt",IF(AND(X128&lt;&gt;"",N(X128)+N(R128)+N(S128)&gt;M128*1.001,R128&lt;&gt;""),"⚠ Vượt mục tiêu P90",IF(AND(Y128&lt;&gt;"",ABS(N(Y128))&gt;0.3),"⚠ Lệch &gt; 30% so với nhu cầu",IF(Q128="Có","ℹ Kiểm tra ngoại suy KM","✓ Hợp lệ")))))</f>
        <v/>
      </c>
    </row>
    <row r="129">
      <c r="A129" s="16" t="n">
        <v>125</v>
      </c>
      <c r="B129" s="17" t="inlineStr">
        <is>
          <t>DEC-S54-CLEANING</t>
        </is>
      </c>
      <c r="C129" s="16" t="n">
        <v>54</v>
      </c>
      <c r="D129" s="17" t="inlineStr">
        <is>
          <t>CLEANING</t>
        </is>
      </c>
      <c r="E129" s="17" t="inlineStr">
        <is>
          <t>MEDIUM</t>
        </is>
      </c>
      <c r="F129" s="17" t="inlineStr">
        <is>
          <t>TRUNG BÌNH</t>
        </is>
      </c>
      <c r="G129" s="18" t="inlineStr">
        <is>
          <t>RISK_MEDIUM · LARGE_SERIES</t>
        </is>
      </c>
      <c r="H129" s="19" t="n">
        <v>14571.90968134766</v>
      </c>
      <c r="I129" s="19" t="n">
        <v>18301.97271728516</v>
      </c>
      <c r="J129" s="19" t="n">
        <v>24391.86300537109</v>
      </c>
      <c r="K129" s="19" t="n">
        <v>18301.97271728516</v>
      </c>
      <c r="L129" s="19" t="n">
        <v>22108.15414733887</v>
      </c>
      <c r="M129" s="19" t="n">
        <v>24391.86300537109</v>
      </c>
      <c r="N129" s="17" t="inlineStr">
        <is>
          <t>C</t>
        </is>
      </c>
      <c r="O129" s="19" t="n">
        <v>9750.284831542966</v>
      </c>
      <c r="P129" s="18" t="inlineStr">
        <is>
          <t>KHÔNG ĐỀ XUẤT TĂNG</t>
        </is>
      </c>
      <c r="Q129" s="17" t="inlineStr">
        <is>
          <t>Không</t>
        </is>
      </c>
      <c r="R129" s="20" t="n"/>
      <c r="S129" s="20" t="n"/>
      <c r="T129" s="21" t="n"/>
      <c r="U129" s="21" t="n"/>
      <c r="V129" s="22">
        <f>IF(U129="A",K129,IF(U129="B",L129,IF(U129="C",M129,IF(N129="A",K129,IF(N129="B",L129,M129)))))</f>
        <v/>
      </c>
      <c r="W129" s="22">
        <f>IF(R129="",O129,MAX(V129-R129-N(S129),0))</f>
        <v/>
      </c>
      <c r="X129" s="20" t="n"/>
      <c r="Y129" s="23">
        <f>IF(OR(X129="",W129=0),"",X129/W129-1)</f>
        <v/>
      </c>
      <c r="Z129" s="24" t="n"/>
      <c r="AA129" s="21" t="n"/>
      <c r="AB129" s="25" t="n"/>
      <c r="AC129" s="26">
        <f>IF(T129="","Chưa quyết định",IF(OR(Z129="",AA129=""),"⚠ Thiếu lý do/người duyệt",IF(AND(X129&lt;&gt;"",N(X129)+N(R129)+N(S129)&gt;M129*1.001,R129&lt;&gt;""),"⚠ Vượt mục tiêu P90",IF(AND(Y129&lt;&gt;"",ABS(N(Y129))&gt;0.3),"⚠ Lệch &gt; 30% so với nhu cầu",IF(Q129="Có","ℹ Kiểm tra ngoại suy KM","✓ Hợp lệ")))))</f>
        <v/>
      </c>
    </row>
    <row r="130">
      <c r="A130" s="16" t="n">
        <v>126</v>
      </c>
      <c r="B130" s="17" t="inlineStr">
        <is>
          <t>DEC-S20-PRODUCE</t>
        </is>
      </c>
      <c r="C130" s="16" t="n">
        <v>20</v>
      </c>
      <c r="D130" s="17" t="inlineStr">
        <is>
          <t>PRODUCE</t>
        </is>
      </c>
      <c r="E130" s="17" t="inlineStr">
        <is>
          <t>MEDIUM</t>
        </is>
      </c>
      <c r="F130" s="17" t="inlineStr">
        <is>
          <t>TRUNG BÌNH</t>
        </is>
      </c>
      <c r="G130" s="18" t="inlineStr">
        <is>
          <t>RISK_MEDIUM · LARGE_SERIES</t>
        </is>
      </c>
      <c r="H130" s="19" t="n">
        <v>14272.49166396484</v>
      </c>
      <c r="I130" s="19" t="n">
        <v>18297.52191162109</v>
      </c>
      <c r="J130" s="19" t="n">
        <v>24991.98762402344</v>
      </c>
      <c r="K130" s="19" t="n">
        <v>18297.52191162109</v>
      </c>
      <c r="L130" s="19" t="n">
        <v>22481.56298187256</v>
      </c>
      <c r="M130" s="19" t="n">
        <v>24991.98762402344</v>
      </c>
      <c r="N130" s="17" t="inlineStr">
        <is>
          <t>C</t>
        </is>
      </c>
      <c r="O130" s="19" t="n">
        <v>10353.97009472656</v>
      </c>
      <c r="P130" s="18" t="inlineStr">
        <is>
          <t>KHÔNG ĐỀ XUẤT TĂNG</t>
        </is>
      </c>
      <c r="Q130" s="17" t="inlineStr">
        <is>
          <t>Không</t>
        </is>
      </c>
      <c r="R130" s="20" t="n"/>
      <c r="S130" s="20" t="n"/>
      <c r="T130" s="21" t="n"/>
      <c r="U130" s="21" t="n"/>
      <c r="V130" s="22">
        <f>IF(U130="A",K130,IF(U130="B",L130,IF(U130="C",M130,IF(N130="A",K130,IF(N130="B",L130,M130)))))</f>
        <v/>
      </c>
      <c r="W130" s="22">
        <f>IF(R130="",O130,MAX(V130-R130-N(S130),0))</f>
        <v/>
      </c>
      <c r="X130" s="20" t="n"/>
      <c r="Y130" s="23">
        <f>IF(OR(X130="",W130=0),"",X130/W130-1)</f>
        <v/>
      </c>
      <c r="Z130" s="24" t="n"/>
      <c r="AA130" s="21" t="n"/>
      <c r="AB130" s="25" t="n"/>
      <c r="AC130" s="26">
        <f>IF(T130="","Chưa quyết định",IF(OR(Z130="",AA130=""),"⚠ Thiếu lý do/người duyệt",IF(AND(X130&lt;&gt;"",N(X130)+N(R130)+N(S130)&gt;M130*1.001,R130&lt;&gt;""),"⚠ Vượt mục tiêu P90",IF(AND(Y130&lt;&gt;"",ABS(N(Y130))&gt;0.3),"⚠ Lệch &gt; 30% so với nhu cầu",IF(Q130="Có","ℹ Kiểm tra ngoại suy KM","✓ Hợp lệ")))))</f>
        <v/>
      </c>
    </row>
    <row r="131">
      <c r="A131" s="16" t="n">
        <v>127</v>
      </c>
      <c r="B131" s="17" t="inlineStr">
        <is>
          <t>DEC-S38-CLEANING</t>
        </is>
      </c>
      <c r="C131" s="16" t="n">
        <v>38</v>
      </c>
      <c r="D131" s="17" t="inlineStr">
        <is>
          <t>CLEANING</t>
        </is>
      </c>
      <c r="E131" s="17" t="inlineStr">
        <is>
          <t>MEDIUM</t>
        </is>
      </c>
      <c r="F131" s="17" t="inlineStr">
        <is>
          <t>TRUNG BÌNH</t>
        </is>
      </c>
      <c r="G131" s="18" t="inlineStr">
        <is>
          <t>RISK_MEDIUM · LARGE_SERIES</t>
        </is>
      </c>
      <c r="H131" s="19" t="n">
        <v>14840.29388525391</v>
      </c>
      <c r="I131" s="19" t="n">
        <v>18275.38970947266</v>
      </c>
      <c r="J131" s="19" t="n">
        <v>23760.70457324219</v>
      </c>
      <c r="K131" s="19" t="n">
        <v>18275.38970947266</v>
      </c>
      <c r="L131" s="19" t="n">
        <v>21703.71149932861</v>
      </c>
      <c r="M131" s="19" t="n">
        <v>23760.70457324219</v>
      </c>
      <c r="N131" s="17" t="inlineStr">
        <is>
          <t>C</t>
        </is>
      </c>
      <c r="O131" s="19" t="n">
        <v>9140.392805664063</v>
      </c>
      <c r="P131" s="18" t="inlineStr">
        <is>
          <t>KHÔNG ĐỀ XUẤT TĂNG</t>
        </is>
      </c>
      <c r="Q131" s="17" t="inlineStr">
        <is>
          <t>Không</t>
        </is>
      </c>
      <c r="R131" s="20" t="n"/>
      <c r="S131" s="20" t="n"/>
      <c r="T131" s="21" t="n"/>
      <c r="U131" s="21" t="n"/>
      <c r="V131" s="22">
        <f>IF(U131="A",K131,IF(U131="B",L131,IF(U131="C",M131,IF(N131="A",K131,IF(N131="B",L131,M131)))))</f>
        <v/>
      </c>
      <c r="W131" s="22">
        <f>IF(R131="",O131,MAX(V131-R131-N(S131),0))</f>
        <v/>
      </c>
      <c r="X131" s="20" t="n"/>
      <c r="Y131" s="23">
        <f>IF(OR(X131="",W131=0),"",X131/W131-1)</f>
        <v/>
      </c>
      <c r="Z131" s="24" t="n"/>
      <c r="AA131" s="21" t="n"/>
      <c r="AB131" s="25" t="n"/>
      <c r="AC131" s="26">
        <f>IF(T131="","Chưa quyết định",IF(OR(Z131="",AA131=""),"⚠ Thiếu lý do/người duyệt",IF(AND(X131&lt;&gt;"",N(X131)+N(R131)+N(S131)&gt;M131*1.001,R131&lt;&gt;""),"⚠ Vượt mục tiêu P90",IF(AND(Y131&lt;&gt;"",ABS(N(Y131))&gt;0.3),"⚠ Lệch &gt; 30% so với nhu cầu",IF(Q131="Có","ℹ Kiểm tra ngoại suy KM","✓ Hợp lệ")))))</f>
        <v/>
      </c>
    </row>
    <row r="132">
      <c r="A132" s="16" t="n">
        <v>128</v>
      </c>
      <c r="B132" s="17" t="inlineStr">
        <is>
          <t>DEC-S17-CLEANING</t>
        </is>
      </c>
      <c r="C132" s="16" t="n">
        <v>17</v>
      </c>
      <c r="D132" s="17" t="inlineStr">
        <is>
          <t>CLEANING</t>
        </is>
      </c>
      <c r="E132" s="17" t="inlineStr">
        <is>
          <t>MEDIUM</t>
        </is>
      </c>
      <c r="F132" s="17" t="inlineStr">
        <is>
          <t>TRUNG BÌNH</t>
        </is>
      </c>
      <c r="G132" s="18" t="inlineStr">
        <is>
          <t>RISK_MEDIUM · LARGE_SERIES</t>
        </is>
      </c>
      <c r="H132" s="19" t="n">
        <v>15032.70396806641</v>
      </c>
      <c r="I132" s="19" t="n">
        <v>18172.83258056641</v>
      </c>
      <c r="J132" s="19" t="n">
        <v>23053.57202001953</v>
      </c>
      <c r="K132" s="19" t="n">
        <v>18172.83258056641</v>
      </c>
      <c r="L132" s="19" t="n">
        <v>21223.29473022461</v>
      </c>
      <c r="M132" s="19" t="n">
        <v>23053.57202001953</v>
      </c>
      <c r="N132" s="17" t="inlineStr">
        <is>
          <t>C</t>
        </is>
      </c>
      <c r="O132" s="19" t="n">
        <v>8515.305955566402</v>
      </c>
      <c r="P132" s="18" t="inlineStr">
        <is>
          <t>KHÔNG ĐỀ XUẤT TĂNG</t>
        </is>
      </c>
      <c r="Q132" s="17" t="inlineStr">
        <is>
          <t>Không</t>
        </is>
      </c>
      <c r="R132" s="20" t="n"/>
      <c r="S132" s="20" t="n"/>
      <c r="T132" s="21" t="n"/>
      <c r="U132" s="21" t="n"/>
      <c r="V132" s="22">
        <f>IF(U132="A",K132,IF(U132="B",L132,IF(U132="C",M132,IF(N132="A",K132,IF(N132="B",L132,M132)))))</f>
        <v/>
      </c>
      <c r="W132" s="22">
        <f>IF(R132="",O132,MAX(V132-R132-N(S132),0))</f>
        <v/>
      </c>
      <c r="X132" s="20" t="n"/>
      <c r="Y132" s="23">
        <f>IF(OR(X132="",W132=0),"",X132/W132-1)</f>
        <v/>
      </c>
      <c r="Z132" s="24" t="n"/>
      <c r="AA132" s="21" t="n"/>
      <c r="AB132" s="25" t="n"/>
      <c r="AC132" s="26">
        <f>IF(T132="","Chưa quyết định",IF(OR(Z132="",AA132=""),"⚠ Thiếu lý do/người duyệt",IF(AND(X132&lt;&gt;"",N(X132)+N(R132)+N(S132)&gt;M132*1.001,R132&lt;&gt;""),"⚠ Vượt mục tiêu P90",IF(AND(Y132&lt;&gt;"",ABS(N(Y132))&gt;0.3),"⚠ Lệch &gt; 30% so với nhu cầu",IF(Q132="Có","ℹ Kiểm tra ngoại suy KM","✓ Hợp lệ")))))</f>
        <v/>
      </c>
    </row>
    <row r="133">
      <c r="A133" s="16" t="n">
        <v>129</v>
      </c>
      <c r="B133" s="17" t="inlineStr">
        <is>
          <t>DEC-S14-CLEANING</t>
        </is>
      </c>
      <c r="C133" s="16" t="n">
        <v>14</v>
      </c>
      <c r="D133" s="17" t="inlineStr">
        <is>
          <t>CLEANING</t>
        </is>
      </c>
      <c r="E133" s="17" t="inlineStr">
        <is>
          <t>MEDIUM</t>
        </is>
      </c>
      <c r="F133" s="17" t="inlineStr">
        <is>
          <t>TRUNG BÌNH</t>
        </is>
      </c>
      <c r="G133" s="18" t="inlineStr">
        <is>
          <t>RISK_MEDIUM · LARGE_SERIES</t>
        </is>
      </c>
      <c r="H133" s="19" t="n">
        <v>14326.92730810547</v>
      </c>
      <c r="I133" s="19" t="n">
        <v>17762.02313232422</v>
      </c>
      <c r="J133" s="19" t="n">
        <v>23247.33799609375</v>
      </c>
      <c r="K133" s="19" t="n">
        <v>17762.02313232422</v>
      </c>
      <c r="L133" s="19" t="n">
        <v>21190.34492218017</v>
      </c>
      <c r="M133" s="19" t="n">
        <v>23247.33799609375</v>
      </c>
      <c r="N133" s="17" t="inlineStr">
        <is>
          <t>C</t>
        </is>
      </c>
      <c r="O133" s="19" t="n">
        <v>9037.719490234373</v>
      </c>
      <c r="P133" s="18" t="inlineStr">
        <is>
          <t>KHÔNG ĐỀ XUẤT TĂNG</t>
        </is>
      </c>
      <c r="Q133" s="17" t="inlineStr">
        <is>
          <t>Không</t>
        </is>
      </c>
      <c r="R133" s="20" t="n"/>
      <c r="S133" s="20" t="n"/>
      <c r="T133" s="21" t="n"/>
      <c r="U133" s="21" t="n"/>
      <c r="V133" s="22">
        <f>IF(U133="A",K133,IF(U133="B",L133,IF(U133="C",M133,IF(N133="A",K133,IF(N133="B",L133,M133)))))</f>
        <v/>
      </c>
      <c r="W133" s="22">
        <f>IF(R133="",O133,MAX(V133-R133-N(S133),0))</f>
        <v/>
      </c>
      <c r="X133" s="20" t="n"/>
      <c r="Y133" s="23">
        <f>IF(OR(X133="",W133=0),"",X133/W133-1)</f>
        <v/>
      </c>
      <c r="Z133" s="24" t="n"/>
      <c r="AA133" s="21" t="n"/>
      <c r="AB133" s="25" t="n"/>
      <c r="AC133" s="26">
        <f>IF(T133="","Chưa quyết định",IF(OR(Z133="",AA133=""),"⚠ Thiếu lý do/người duyệt",IF(AND(X133&lt;&gt;"",N(X133)+N(R133)+N(S133)&gt;M133*1.001,R133&lt;&gt;""),"⚠ Vượt mục tiêu P90",IF(AND(Y133&lt;&gt;"",ABS(N(Y133))&gt;0.3),"⚠ Lệch &gt; 30% so với nhu cầu",IF(Q133="Có","ℹ Kiểm tra ngoại suy KM","✓ Hợp lệ")))))</f>
        <v/>
      </c>
    </row>
    <row r="134">
      <c r="A134" s="16" t="n">
        <v>130</v>
      </c>
      <c r="B134" s="17" t="inlineStr">
        <is>
          <t>DEC-S06-DAIRY</t>
        </is>
      </c>
      <c r="C134" s="16" t="n">
        <v>6</v>
      </c>
      <c r="D134" s="17" t="inlineStr">
        <is>
          <t>DAIRY</t>
        </is>
      </c>
      <c r="E134" s="17" t="inlineStr">
        <is>
          <t>MEDIUM</t>
        </is>
      </c>
      <c r="F134" s="17" t="inlineStr">
        <is>
          <t>TRUNG BÌNH</t>
        </is>
      </c>
      <c r="G134" s="18" t="inlineStr">
        <is>
          <t>RISK_MEDIUM · LARGE_SERIES</t>
        </is>
      </c>
      <c r="H134" s="19" t="n">
        <v>14523.43706132812</v>
      </c>
      <c r="I134" s="19" t="n">
        <v>17663.56567382812</v>
      </c>
      <c r="J134" s="19" t="n">
        <v>22544.30511328125</v>
      </c>
      <c r="K134" s="19" t="n">
        <v>17663.56567382812</v>
      </c>
      <c r="L134" s="19" t="n">
        <v>20714.02782348633</v>
      </c>
      <c r="M134" s="19" t="n">
        <v>22544.30511328125</v>
      </c>
      <c r="N134" s="17" t="inlineStr">
        <is>
          <t>C</t>
        </is>
      </c>
      <c r="O134" s="19" t="n">
        <v>8413.452574218751</v>
      </c>
      <c r="P134" s="18" t="inlineStr">
        <is>
          <t>KHÔNG ĐỀ XUẤT TĂNG</t>
        </is>
      </c>
      <c r="Q134" s="17" t="inlineStr">
        <is>
          <t>Không</t>
        </is>
      </c>
      <c r="R134" s="20" t="n"/>
      <c r="S134" s="20" t="n"/>
      <c r="T134" s="21" t="n"/>
      <c r="U134" s="21" t="n"/>
      <c r="V134" s="22">
        <f>IF(U134="A",K134,IF(U134="B",L134,IF(U134="C",M134,IF(N134="A",K134,IF(N134="B",L134,M134)))))</f>
        <v/>
      </c>
      <c r="W134" s="22">
        <f>IF(R134="",O134,MAX(V134-R134-N(S134),0))</f>
        <v/>
      </c>
      <c r="X134" s="20" t="n"/>
      <c r="Y134" s="23">
        <f>IF(OR(X134="",W134=0),"",X134/W134-1)</f>
        <v/>
      </c>
      <c r="Z134" s="24" t="n"/>
      <c r="AA134" s="21" t="n"/>
      <c r="AB134" s="25" t="n"/>
      <c r="AC134" s="26">
        <f>IF(T134="","Chưa quyết định",IF(OR(Z134="",AA134=""),"⚠ Thiếu lý do/người duyệt",IF(AND(X134&lt;&gt;"",N(X134)+N(R134)+N(S134)&gt;M134*1.001,R134&lt;&gt;""),"⚠ Vượt mục tiêu P90",IF(AND(Y134&lt;&gt;"",ABS(N(Y134))&gt;0.3),"⚠ Lệch &gt; 30% so với nhu cầu",IF(Q134="Có","ℹ Kiểm tra ngoại suy KM","✓ Hợp lệ")))))</f>
        <v/>
      </c>
    </row>
    <row r="135">
      <c r="A135" s="16" t="n">
        <v>131</v>
      </c>
      <c r="B135" s="17" t="inlineStr">
        <is>
          <t>DEC-S51-POULTRY</t>
        </is>
      </c>
      <c r="C135" s="16" t="n">
        <v>51</v>
      </c>
      <c r="D135" s="17" t="inlineStr">
        <is>
          <t>POULTRY</t>
        </is>
      </c>
      <c r="E135" s="17" t="inlineStr">
        <is>
          <t>MEDIUM</t>
        </is>
      </c>
      <c r="F135" s="17" t="inlineStr">
        <is>
          <t>TRUNG BÌNH</t>
        </is>
      </c>
      <c r="G135" s="18" t="inlineStr">
        <is>
          <t>RISK_MEDIUM · LARGE_SERIES</t>
        </is>
      </c>
      <c r="H135" s="19" t="n">
        <v>14986.09060097656</v>
      </c>
      <c r="I135" s="19" t="n">
        <v>17536.28479003906</v>
      </c>
      <c r="J135" s="19" t="n">
        <v>21207.87338085937</v>
      </c>
      <c r="K135" s="19" t="n">
        <v>17536.28479003906</v>
      </c>
      <c r="L135" s="19" t="n">
        <v>19831.02765930176</v>
      </c>
      <c r="M135" s="19" t="n">
        <v>21207.87338085937</v>
      </c>
      <c r="N135" s="17" t="inlineStr">
        <is>
          <t>C</t>
        </is>
      </c>
      <c r="O135" s="19" t="n">
        <v>7178.845548828122</v>
      </c>
      <c r="P135" s="18" t="inlineStr">
        <is>
          <t>KHÔNG ĐỀ XUẤT TĂNG</t>
        </is>
      </c>
      <c r="Q135" s="17" t="inlineStr">
        <is>
          <t>Không</t>
        </is>
      </c>
      <c r="R135" s="20" t="n"/>
      <c r="S135" s="20" t="n"/>
      <c r="T135" s="21" t="n"/>
      <c r="U135" s="21" t="n"/>
      <c r="V135" s="22">
        <f>IF(U135="A",K135,IF(U135="B",L135,IF(U135="C",M135,IF(N135="A",K135,IF(N135="B",L135,M135)))))</f>
        <v/>
      </c>
      <c r="W135" s="22">
        <f>IF(R135="",O135,MAX(V135-R135-N(S135),0))</f>
        <v/>
      </c>
      <c r="X135" s="20" t="n"/>
      <c r="Y135" s="23">
        <f>IF(OR(X135="",W135=0),"",X135/W135-1)</f>
        <v/>
      </c>
      <c r="Z135" s="24" t="n"/>
      <c r="AA135" s="21" t="n"/>
      <c r="AB135" s="25" t="n"/>
      <c r="AC135" s="26">
        <f>IF(T135="","Chưa quyết định",IF(OR(Z135="",AA135=""),"⚠ Thiếu lý do/người duyệt",IF(AND(X135&lt;&gt;"",N(X135)+N(R135)+N(S135)&gt;M135*1.001,R135&lt;&gt;""),"⚠ Vượt mục tiêu P90",IF(AND(Y135&lt;&gt;"",ABS(N(Y135))&gt;0.3),"⚠ Lệch &gt; 30% so với nhu cầu",IF(Q135="Có","ℹ Kiểm tra ngoại suy KM","✓ Hợp lệ")))))</f>
        <v/>
      </c>
    </row>
    <row r="136">
      <c r="A136" s="16" t="n">
        <v>132</v>
      </c>
      <c r="B136" s="17" t="inlineStr">
        <is>
          <t>DEC-S46-MEATS</t>
        </is>
      </c>
      <c r="C136" s="16" t="n">
        <v>46</v>
      </c>
      <c r="D136" s="17" t="inlineStr">
        <is>
          <t>MEATS</t>
        </is>
      </c>
      <c r="E136" s="17" t="inlineStr">
        <is>
          <t>MEDIUM</t>
        </is>
      </c>
      <c r="F136" s="17" t="inlineStr">
        <is>
          <t>TRUNG BÌNH</t>
        </is>
      </c>
      <c r="G136" s="18" t="inlineStr">
        <is>
          <t>RISK_MEDIUM · LARGE_SERIES</t>
        </is>
      </c>
      <c r="H136" s="19" t="n">
        <v>14391.43687822266</v>
      </c>
      <c r="I136" s="19" t="n">
        <v>17531.56549072266</v>
      </c>
      <c r="J136" s="19" t="n">
        <v>22412.30493017579</v>
      </c>
      <c r="K136" s="19" t="n">
        <v>17531.56549072266</v>
      </c>
      <c r="L136" s="19" t="n">
        <v>20582.02764038086</v>
      </c>
      <c r="M136" s="19" t="n">
        <v>22412.30493017579</v>
      </c>
      <c r="N136" s="17" t="inlineStr">
        <is>
          <t>C</t>
        </is>
      </c>
      <c r="O136" s="19" t="n">
        <v>8387.052537597659</v>
      </c>
      <c r="P136" s="18" t="inlineStr">
        <is>
          <t>KHÔNG ĐỀ XUẤT TĂNG</t>
        </is>
      </c>
      <c r="Q136" s="17" t="inlineStr">
        <is>
          <t>Không</t>
        </is>
      </c>
      <c r="R136" s="20" t="n"/>
      <c r="S136" s="20" t="n"/>
      <c r="T136" s="21" t="n"/>
      <c r="U136" s="21" t="n"/>
      <c r="V136" s="22">
        <f>IF(U136="A",K136,IF(U136="B",L136,IF(U136="C",M136,IF(N136="A",K136,IF(N136="B",L136,M136)))))</f>
        <v/>
      </c>
      <c r="W136" s="22">
        <f>IF(R136="",O136,MAX(V136-R136-N(S136),0))</f>
        <v/>
      </c>
      <c r="X136" s="20" t="n"/>
      <c r="Y136" s="23">
        <f>IF(OR(X136="",W136=0),"",X136/W136-1)</f>
        <v/>
      </c>
      <c r="Z136" s="24" t="n"/>
      <c r="AA136" s="21" t="n"/>
      <c r="AB136" s="25" t="n"/>
      <c r="AC136" s="26">
        <f>IF(T136="","Chưa quyết định",IF(OR(Z136="",AA136=""),"⚠ Thiếu lý do/người duyệt",IF(AND(X136&lt;&gt;"",N(X136)+N(R136)+N(S136)&gt;M136*1.001,R136&lt;&gt;""),"⚠ Vượt mục tiêu P90",IF(AND(Y136&lt;&gt;"",ABS(N(Y136))&gt;0.3),"⚠ Lệch &gt; 30% so với nhu cầu",IF(Q136="Có","ℹ Kiểm tra ngoại suy KM","✓ Hợp lệ")))))</f>
        <v/>
      </c>
    </row>
    <row r="137">
      <c r="A137" s="16" t="n">
        <v>133</v>
      </c>
      <c r="B137" s="17" t="inlineStr">
        <is>
          <t>DEC-S37-CLEANING</t>
        </is>
      </c>
      <c r="C137" s="16" t="n">
        <v>37</v>
      </c>
      <c r="D137" s="17" t="inlineStr">
        <is>
          <t>CLEANING</t>
        </is>
      </c>
      <c r="E137" s="17" t="inlineStr">
        <is>
          <t>MEDIUM</t>
        </is>
      </c>
      <c r="F137" s="17" t="inlineStr">
        <is>
          <t>TRUNG BÌNH</t>
        </is>
      </c>
      <c r="G137" s="18" t="inlineStr">
        <is>
          <t>RISK_MEDIUM · LARGE_SERIES</t>
        </is>
      </c>
      <c r="H137" s="19" t="n">
        <v>14259.61638261719</v>
      </c>
      <c r="I137" s="19" t="n">
        <v>17399.74499511719</v>
      </c>
      <c r="J137" s="19" t="n">
        <v>22280.48443457032</v>
      </c>
      <c r="K137" s="19" t="n">
        <v>17399.74499511719</v>
      </c>
      <c r="L137" s="19" t="n">
        <v>20450.20714477539</v>
      </c>
      <c r="M137" s="19" t="n">
        <v>22280.48443457032</v>
      </c>
      <c r="N137" s="17" t="inlineStr">
        <is>
          <t>C</t>
        </is>
      </c>
      <c r="O137" s="19" t="n">
        <v>8360.688438476565</v>
      </c>
      <c r="P137" s="18" t="inlineStr">
        <is>
          <t>KHÔNG ĐỀ XUẤT TĂNG</t>
        </is>
      </c>
      <c r="Q137" s="17" t="inlineStr">
        <is>
          <t>Không</t>
        </is>
      </c>
      <c r="R137" s="20" t="n"/>
      <c r="S137" s="20" t="n"/>
      <c r="T137" s="21" t="n"/>
      <c r="U137" s="21" t="n"/>
      <c r="V137" s="22">
        <f>IF(U137="A",K137,IF(U137="B",L137,IF(U137="C",M137,IF(N137="A",K137,IF(N137="B",L137,M137)))))</f>
        <v/>
      </c>
      <c r="W137" s="22">
        <f>IF(R137="",O137,MAX(V137-R137-N(S137),0))</f>
        <v/>
      </c>
      <c r="X137" s="20" t="n"/>
      <c r="Y137" s="23">
        <f>IF(OR(X137="",W137=0),"",X137/W137-1)</f>
        <v/>
      </c>
      <c r="Z137" s="24" t="n"/>
      <c r="AA137" s="21" t="n"/>
      <c r="AB137" s="25" t="n"/>
      <c r="AC137" s="26">
        <f>IF(T137="","Chưa quyết định",IF(OR(Z137="",AA137=""),"⚠ Thiếu lý do/người duyệt",IF(AND(X137&lt;&gt;"",N(X137)+N(R137)+N(S137)&gt;M137*1.001,R137&lt;&gt;""),"⚠ Vượt mục tiêu P90",IF(AND(Y137&lt;&gt;"",ABS(N(Y137))&gt;0.3),"⚠ Lệch &gt; 30% so với nhu cầu",IF(Q137="Có","ℹ Kiểm tra ngoại suy KM","✓ Hợp lệ")))))</f>
        <v/>
      </c>
    </row>
    <row r="138">
      <c r="A138" s="16" t="n">
        <v>134</v>
      </c>
      <c r="B138" s="17" t="inlineStr">
        <is>
          <t>DEC-S53-CLEANING</t>
        </is>
      </c>
      <c r="C138" s="16" t="n">
        <v>53</v>
      </c>
      <c r="D138" s="17" t="inlineStr">
        <is>
          <t>CLEANING</t>
        </is>
      </c>
      <c r="E138" s="17" t="inlineStr">
        <is>
          <t>MEDIUM</t>
        </is>
      </c>
      <c r="F138" s="17" t="inlineStr">
        <is>
          <t>TRUNG BÌNH</t>
        </is>
      </c>
      <c r="G138" s="18" t="inlineStr">
        <is>
          <t>RISK_MEDIUM · LARGE_SERIES</t>
        </is>
      </c>
      <c r="H138" s="19" t="n">
        <v>13963.06407548828</v>
      </c>
      <c r="I138" s="19" t="n">
        <v>17103.19268798828</v>
      </c>
      <c r="J138" s="19" t="n">
        <v>21983.93212744141</v>
      </c>
      <c r="K138" s="19" t="n">
        <v>17103.19268798828</v>
      </c>
      <c r="L138" s="19" t="n">
        <v>20153.65483764649</v>
      </c>
      <c r="M138" s="19" t="n">
        <v>21983.93212744141</v>
      </c>
      <c r="N138" s="17" t="inlineStr">
        <is>
          <t>C</t>
        </is>
      </c>
      <c r="O138" s="19" t="n">
        <v>8301.377977050781</v>
      </c>
      <c r="P138" s="18" t="inlineStr">
        <is>
          <t>KHÔNG ĐỀ XUẤT TĂNG</t>
        </is>
      </c>
      <c r="Q138" s="17" t="inlineStr">
        <is>
          <t>Không</t>
        </is>
      </c>
      <c r="R138" s="20" t="n"/>
      <c r="S138" s="20" t="n"/>
      <c r="T138" s="21" t="n"/>
      <c r="U138" s="21" t="n"/>
      <c r="V138" s="22">
        <f>IF(U138="A",K138,IF(U138="B",L138,IF(U138="C",M138,IF(N138="A",K138,IF(N138="B",L138,M138)))))</f>
        <v/>
      </c>
      <c r="W138" s="22">
        <f>IF(R138="",O138,MAX(V138-R138-N(S138),0))</f>
        <v/>
      </c>
      <c r="X138" s="20" t="n"/>
      <c r="Y138" s="23">
        <f>IF(OR(X138="",W138=0),"",X138/W138-1)</f>
        <v/>
      </c>
      <c r="Z138" s="24" t="n"/>
      <c r="AA138" s="21" t="n"/>
      <c r="AB138" s="25" t="n"/>
      <c r="AC138" s="26">
        <f>IF(T138="","Chưa quyết định",IF(OR(Z138="",AA138=""),"⚠ Thiếu lý do/người duyệt",IF(AND(X138&lt;&gt;"",N(X138)+N(R138)+N(S138)&gt;M138*1.001,R138&lt;&gt;""),"⚠ Vượt mục tiêu P90",IF(AND(Y138&lt;&gt;"",ABS(N(Y138))&gt;0.3),"⚠ Lệch &gt; 30% so với nhu cầu",IF(Q138="Có","ℹ Kiểm tra ngoại suy KM","✓ Hợp lệ")))))</f>
        <v/>
      </c>
    </row>
    <row r="139">
      <c r="A139" s="16" t="n">
        <v>135</v>
      </c>
      <c r="B139" s="17" t="inlineStr">
        <is>
          <t>DEC-S27-DAIRY</t>
        </is>
      </c>
      <c r="C139" s="16" t="n">
        <v>27</v>
      </c>
      <c r="D139" s="17" t="inlineStr">
        <is>
          <t>DAIRY</t>
        </is>
      </c>
      <c r="E139" s="17" t="inlineStr">
        <is>
          <t>MEDIUM</t>
        </is>
      </c>
      <c r="F139" s="17" t="inlineStr">
        <is>
          <t>TRUNG BÌNH</t>
        </is>
      </c>
      <c r="G139" s="18" t="inlineStr">
        <is>
          <t>RISK_MEDIUM · LARGE_SERIES</t>
        </is>
      </c>
      <c r="H139" s="19" t="n">
        <v>14413.56661416016</v>
      </c>
      <c r="I139" s="19" t="n">
        <v>16963.76080322266</v>
      </c>
      <c r="J139" s="19" t="n">
        <v>20635.34939404297</v>
      </c>
      <c r="K139" s="19" t="n">
        <v>16963.76080322266</v>
      </c>
      <c r="L139" s="19" t="n">
        <v>19258.50367248535</v>
      </c>
      <c r="M139" s="19" t="n">
        <v>20635.34939404297</v>
      </c>
      <c r="N139" s="17" t="inlineStr">
        <is>
          <t>C</t>
        </is>
      </c>
      <c r="O139" s="19" t="n">
        <v>7064.340751464842</v>
      </c>
      <c r="P139" s="18" t="inlineStr">
        <is>
          <t>KHÔNG ĐỀ XUẤT TĂNG</t>
        </is>
      </c>
      <c r="Q139" s="17" t="inlineStr">
        <is>
          <t>Không</t>
        </is>
      </c>
      <c r="R139" s="20" t="n"/>
      <c r="S139" s="20" t="n"/>
      <c r="T139" s="21" t="n"/>
      <c r="U139" s="21" t="n"/>
      <c r="V139" s="22">
        <f>IF(U139="A",K139,IF(U139="B",L139,IF(U139="C",M139,IF(N139="A",K139,IF(N139="B",L139,M139)))))</f>
        <v/>
      </c>
      <c r="W139" s="22">
        <f>IF(R139="",O139,MAX(V139-R139-N(S139),0))</f>
        <v/>
      </c>
      <c r="X139" s="20" t="n"/>
      <c r="Y139" s="23">
        <f>IF(OR(X139="",W139=0),"",X139/W139-1)</f>
        <v/>
      </c>
      <c r="Z139" s="24" t="n"/>
      <c r="AA139" s="21" t="n"/>
      <c r="AB139" s="25" t="n"/>
      <c r="AC139" s="26">
        <f>IF(T139="","Chưa quyết định",IF(OR(Z139="",AA139=""),"⚠ Thiếu lý do/người duyệt",IF(AND(X139&lt;&gt;"",N(X139)+N(R139)+N(S139)&gt;M139*1.001,R139&lt;&gt;""),"⚠ Vượt mục tiêu P90",IF(AND(Y139&lt;&gt;"",ABS(N(Y139))&gt;0.3),"⚠ Lệch &gt; 30% so với nhu cầu",IF(Q139="Có","ℹ Kiểm tra ngoại suy KM","✓ Hợp lệ")))))</f>
        <v/>
      </c>
    </row>
    <row r="140">
      <c r="A140" s="16" t="n">
        <v>136</v>
      </c>
      <c r="B140" s="17" t="inlineStr">
        <is>
          <t>DEC-S26-BEVERAGES</t>
        </is>
      </c>
      <c r="C140" s="16" t="n">
        <v>26</v>
      </c>
      <c r="D140" s="17" t="inlineStr">
        <is>
          <t>BEVERAGES</t>
        </is>
      </c>
      <c r="E140" s="17" t="inlineStr">
        <is>
          <t>MEDIUM</t>
        </is>
      </c>
      <c r="F140" s="17" t="inlineStr">
        <is>
          <t>TRUNG BÌNH</t>
        </is>
      </c>
      <c r="G140" s="18" t="inlineStr">
        <is>
          <t>RISK_MEDIUM · LARGE_SERIES</t>
        </is>
      </c>
      <c r="H140" s="19" t="n">
        <v>14413.55184365234</v>
      </c>
      <c r="I140" s="19" t="n">
        <v>16963.74603271484</v>
      </c>
      <c r="J140" s="19" t="n">
        <v>20635.33462353516</v>
      </c>
      <c r="K140" s="19" t="n">
        <v>16963.74603271484</v>
      </c>
      <c r="L140" s="19" t="n">
        <v>19258.48890197754</v>
      </c>
      <c r="M140" s="19" t="n">
        <v>20635.33462353516</v>
      </c>
      <c r="N140" s="17" t="inlineStr">
        <is>
          <t>C</t>
        </is>
      </c>
      <c r="O140" s="19" t="n">
        <v>7064.337797363283</v>
      </c>
      <c r="P140" s="18" t="inlineStr">
        <is>
          <t>KHÔNG ĐỀ XUẤT TĂNG</t>
        </is>
      </c>
      <c r="Q140" s="17" t="inlineStr">
        <is>
          <t>Không</t>
        </is>
      </c>
      <c r="R140" s="20" t="n"/>
      <c r="S140" s="20" t="n"/>
      <c r="T140" s="21" t="n"/>
      <c r="U140" s="21" t="n"/>
      <c r="V140" s="22">
        <f>IF(U140="A",K140,IF(U140="B",L140,IF(U140="C",M140,IF(N140="A",K140,IF(N140="B",L140,M140)))))</f>
        <v/>
      </c>
      <c r="W140" s="22">
        <f>IF(R140="",O140,MAX(V140-R140-N(S140),0))</f>
        <v/>
      </c>
      <c r="X140" s="20" t="n"/>
      <c r="Y140" s="23">
        <f>IF(OR(X140="",W140=0),"",X140/W140-1)</f>
        <v/>
      </c>
      <c r="Z140" s="24" t="n"/>
      <c r="AA140" s="21" t="n"/>
      <c r="AB140" s="25" t="n"/>
      <c r="AC140" s="26">
        <f>IF(T140="","Chưa quyết định",IF(OR(Z140="",AA140=""),"⚠ Thiếu lý do/người duyệt",IF(AND(X140&lt;&gt;"",N(X140)+N(R140)+N(S140)&gt;M140*1.001,R140&lt;&gt;""),"⚠ Vượt mục tiêu P90",IF(AND(Y140&lt;&gt;"",ABS(N(Y140))&gt;0.3),"⚠ Lệch &gt; 30% so với nhu cầu",IF(Q140="Có","ℹ Kiểm tra ngoại suy KM","✓ Hợp lệ")))))</f>
        <v/>
      </c>
    </row>
    <row r="141">
      <c r="A141" s="16" t="n">
        <v>137</v>
      </c>
      <c r="B141" s="17" t="inlineStr">
        <is>
          <t>DEC-S33-CLEANING</t>
        </is>
      </c>
      <c r="C141" s="16" t="n">
        <v>33</v>
      </c>
      <c r="D141" s="17" t="inlineStr">
        <is>
          <t>CLEANING</t>
        </is>
      </c>
      <c r="E141" s="17" t="inlineStr">
        <is>
          <t>MEDIUM</t>
        </is>
      </c>
      <c r="F141" s="17" t="inlineStr">
        <is>
          <t>TRUNG BÌNH</t>
        </is>
      </c>
      <c r="G141" s="18" t="inlineStr">
        <is>
          <t>RISK_MEDIUM · LARGE_SERIES</t>
        </is>
      </c>
      <c r="H141" s="19" t="n">
        <v>14116.21152402344</v>
      </c>
      <c r="I141" s="19" t="n">
        <v>16961.37292480469</v>
      </c>
      <c r="J141" s="19" t="n">
        <v>21237.5369399414</v>
      </c>
      <c r="K141" s="19" t="n">
        <v>16961.37292480469</v>
      </c>
      <c r="L141" s="19" t="n">
        <v>19633.97543426514</v>
      </c>
      <c r="M141" s="19" t="n">
        <v>21237.5369399414</v>
      </c>
      <c r="N141" s="17" t="inlineStr">
        <is>
          <t>C</t>
        </is>
      </c>
      <c r="O141" s="19" t="n">
        <v>7668.438600097654</v>
      </c>
      <c r="P141" s="18" t="inlineStr">
        <is>
          <t>KHÔNG ĐỀ XUẤT TĂNG</t>
        </is>
      </c>
      <c r="Q141" s="17" t="inlineStr">
        <is>
          <t>Không</t>
        </is>
      </c>
      <c r="R141" s="20" t="n"/>
      <c r="S141" s="20" t="n"/>
      <c r="T141" s="21" t="n"/>
      <c r="U141" s="21" t="n"/>
      <c r="V141" s="22">
        <f>IF(U141="A",K141,IF(U141="B",L141,IF(U141="C",M141,IF(N141="A",K141,IF(N141="B",L141,M141)))))</f>
        <v/>
      </c>
      <c r="W141" s="22">
        <f>IF(R141="",O141,MAX(V141-R141-N(S141),0))</f>
        <v/>
      </c>
      <c r="X141" s="20" t="n"/>
      <c r="Y141" s="23">
        <f>IF(OR(X141="",W141=0),"",X141/W141-1)</f>
        <v/>
      </c>
      <c r="Z141" s="24" t="n"/>
      <c r="AA141" s="21" t="n"/>
      <c r="AB141" s="25" t="n"/>
      <c r="AC141" s="26">
        <f>IF(T141="","Chưa quyết định",IF(OR(Z141="",AA141=""),"⚠ Thiếu lý do/người duyệt",IF(AND(X141&lt;&gt;"",N(X141)+N(R141)+N(S141)&gt;M141*1.001,R141&lt;&gt;""),"⚠ Vượt mục tiêu P90",IF(AND(Y141&lt;&gt;"",ABS(N(Y141))&gt;0.3),"⚠ Lệch &gt; 30% so với nhu cầu",IF(Q141="Có","ℹ Kiểm tra ngoại suy KM","✓ Hợp lệ")))))</f>
        <v/>
      </c>
    </row>
    <row r="142">
      <c r="A142" s="16" t="n">
        <v>138</v>
      </c>
      <c r="B142" s="17" t="inlineStr">
        <is>
          <t>DEC-S29-CLEANING</t>
        </is>
      </c>
      <c r="C142" s="16" t="n">
        <v>29</v>
      </c>
      <c r="D142" s="17" t="inlineStr">
        <is>
          <t>CLEANING</t>
        </is>
      </c>
      <c r="E142" s="17" t="inlineStr">
        <is>
          <t>MEDIUM</t>
        </is>
      </c>
      <c r="F142" s="17" t="inlineStr">
        <is>
          <t>TRUNG BÌNH</t>
        </is>
      </c>
      <c r="G142" s="18" t="inlineStr">
        <is>
          <t>RISK_MEDIUM · LARGE_SERIES</t>
        </is>
      </c>
      <c r="H142" s="19" t="n">
        <v>13541.451465625</v>
      </c>
      <c r="I142" s="19" t="n">
        <v>16681.580078125</v>
      </c>
      <c r="J142" s="19" t="n">
        <v>21562.31951757813</v>
      </c>
      <c r="K142" s="19" t="n">
        <v>16681.580078125</v>
      </c>
      <c r="L142" s="19" t="n">
        <v>19732.0422277832</v>
      </c>
      <c r="M142" s="19" t="n">
        <v>21562.31951757813</v>
      </c>
      <c r="N142" s="17" t="inlineStr">
        <is>
          <t>C</t>
        </is>
      </c>
      <c r="O142" s="19" t="n">
        <v>8217.055455078129</v>
      </c>
      <c r="P142" s="18" t="inlineStr">
        <is>
          <t>KHÔNG ĐỀ XUẤT TĂNG</t>
        </is>
      </c>
      <c r="Q142" s="17" t="inlineStr">
        <is>
          <t>Không</t>
        </is>
      </c>
      <c r="R142" s="20" t="n"/>
      <c r="S142" s="20" t="n"/>
      <c r="T142" s="21" t="n"/>
      <c r="U142" s="21" t="n"/>
      <c r="V142" s="22">
        <f>IF(U142="A",K142,IF(U142="B",L142,IF(U142="C",M142,IF(N142="A",K142,IF(N142="B",L142,M142)))))</f>
        <v/>
      </c>
      <c r="W142" s="22">
        <f>IF(R142="",O142,MAX(V142-R142-N(S142),0))</f>
        <v/>
      </c>
      <c r="X142" s="20" t="n"/>
      <c r="Y142" s="23">
        <f>IF(OR(X142="",W142=0),"",X142/W142-1)</f>
        <v/>
      </c>
      <c r="Z142" s="24" t="n"/>
      <c r="AA142" s="21" t="n"/>
      <c r="AB142" s="25" t="n"/>
      <c r="AC142" s="26">
        <f>IF(T142="","Chưa quyết định",IF(OR(Z142="",AA142=""),"⚠ Thiếu lý do/người duyệt",IF(AND(X142&lt;&gt;"",N(X142)+N(R142)+N(S142)&gt;M142*1.001,R142&lt;&gt;""),"⚠ Vượt mục tiêu P90",IF(AND(Y142&lt;&gt;"",ABS(N(Y142))&gt;0.3),"⚠ Lệch &gt; 30% so với nhu cầu",IF(Q142="Có","ℹ Kiểm tra ngoại suy KM","✓ Hợp lệ")))))</f>
        <v/>
      </c>
    </row>
    <row r="143">
      <c r="A143" s="16" t="n">
        <v>139</v>
      </c>
      <c r="B143" s="17" t="inlineStr">
        <is>
          <t>DEC-S32-BEVERAGES</t>
        </is>
      </c>
      <c r="C143" s="16" t="n">
        <v>32</v>
      </c>
      <c r="D143" s="17" t="inlineStr">
        <is>
          <t>BEVERAGES</t>
        </is>
      </c>
      <c r="E143" s="17" t="inlineStr">
        <is>
          <t>MEDIUM</t>
        </is>
      </c>
      <c r="F143" s="17" t="inlineStr">
        <is>
          <t>TRUNG BÌNH</t>
        </is>
      </c>
      <c r="G143" s="18" t="inlineStr">
        <is>
          <t>RISK_MEDIUM · LARGE_SERIES</t>
        </is>
      </c>
      <c r="H143" s="19" t="n">
        <v>14127.44832802734</v>
      </c>
      <c r="I143" s="19" t="n">
        <v>16677.64251708984</v>
      </c>
      <c r="J143" s="19" t="n">
        <v>20349.23110791016</v>
      </c>
      <c r="K143" s="19" t="n">
        <v>16677.64251708984</v>
      </c>
      <c r="L143" s="19" t="n">
        <v>18972.38538635254</v>
      </c>
      <c r="M143" s="19" t="n">
        <v>20349.23110791016</v>
      </c>
      <c r="N143" s="17" t="inlineStr">
        <is>
          <t>C</t>
        </is>
      </c>
      <c r="O143" s="19" t="n">
        <v>7007.117094238283</v>
      </c>
      <c r="P143" s="18" t="inlineStr">
        <is>
          <t>KHÔNG ĐỀ XUẤT TĂNG</t>
        </is>
      </c>
      <c r="Q143" s="17" t="inlineStr">
        <is>
          <t>Không</t>
        </is>
      </c>
      <c r="R143" s="20" t="n"/>
      <c r="S143" s="20" t="n"/>
      <c r="T143" s="21" t="n"/>
      <c r="U143" s="21" t="n"/>
      <c r="V143" s="22">
        <f>IF(U143="A",K143,IF(U143="B",L143,IF(U143="C",M143,IF(N143="A",K143,IF(N143="B",L143,M143)))))</f>
        <v/>
      </c>
      <c r="W143" s="22">
        <f>IF(R143="",O143,MAX(V143-R143-N(S143),0))</f>
        <v/>
      </c>
      <c r="X143" s="20" t="n"/>
      <c r="Y143" s="23">
        <f>IF(OR(X143="",W143=0),"",X143/W143-1)</f>
        <v/>
      </c>
      <c r="Z143" s="24" t="n"/>
      <c r="AA143" s="21" t="n"/>
      <c r="AB143" s="25" t="n"/>
      <c r="AC143" s="26">
        <f>IF(T143="","Chưa quyết định",IF(OR(Z143="",AA143=""),"⚠ Thiếu lý do/người duyệt",IF(AND(X143&lt;&gt;"",N(X143)+N(R143)+N(S143)&gt;M143*1.001,R143&lt;&gt;""),"⚠ Vượt mục tiêu P90",IF(AND(Y143&lt;&gt;"",ABS(N(Y143))&gt;0.3),"⚠ Lệch &gt; 30% so với nhu cầu",IF(Q143="Có","ℹ Kiểm tra ngoại suy KM","✓ Hợp lệ")))))</f>
        <v/>
      </c>
    </row>
    <row r="144">
      <c r="A144" s="16" t="n">
        <v>140</v>
      </c>
      <c r="B144" s="17" t="inlineStr">
        <is>
          <t>DEC-S46-BREAD_BAKERY</t>
        </is>
      </c>
      <c r="C144" s="16" t="n">
        <v>46</v>
      </c>
      <c r="D144" s="17" t="inlineStr">
        <is>
          <t>BREAD/BAKERY</t>
        </is>
      </c>
      <c r="E144" s="17" t="inlineStr">
        <is>
          <t>MEDIUM</t>
        </is>
      </c>
      <c r="F144" s="17" t="inlineStr">
        <is>
          <t>TRUNG BÌNH</t>
        </is>
      </c>
      <c r="G144" s="18" t="inlineStr">
        <is>
          <t>RISK_MEDIUM · LARGE_SERIES</t>
        </is>
      </c>
      <c r="H144" s="19" t="n">
        <v>13679.95322324219</v>
      </c>
      <c r="I144" s="19" t="n">
        <v>16525.11462402344</v>
      </c>
      <c r="J144" s="19" t="n">
        <v>20801.27863916015</v>
      </c>
      <c r="K144" s="19" t="n">
        <v>16525.11462402344</v>
      </c>
      <c r="L144" s="19" t="n">
        <v>19197.71713348389</v>
      </c>
      <c r="M144" s="19" t="n">
        <v>20801.27863916015</v>
      </c>
      <c r="N144" s="17" t="inlineStr">
        <is>
          <t>C</t>
        </is>
      </c>
      <c r="O144" s="19" t="n">
        <v>7581.186939941404</v>
      </c>
      <c r="P144" s="18" t="inlineStr">
        <is>
          <t>KHÔNG ĐỀ XUẤT TĂNG</t>
        </is>
      </c>
      <c r="Q144" s="17" t="inlineStr">
        <is>
          <t>Không</t>
        </is>
      </c>
      <c r="R144" s="20" t="n"/>
      <c r="S144" s="20" t="n"/>
      <c r="T144" s="21" t="n"/>
      <c r="U144" s="21" t="n"/>
      <c r="V144" s="22">
        <f>IF(U144="A",K144,IF(U144="B",L144,IF(U144="C",M144,IF(N144="A",K144,IF(N144="B",L144,M144)))))</f>
        <v/>
      </c>
      <c r="W144" s="22">
        <f>IF(R144="",O144,MAX(V144-R144-N(S144),0))</f>
        <v/>
      </c>
      <c r="X144" s="20" t="n"/>
      <c r="Y144" s="23">
        <f>IF(OR(X144="",W144=0),"",X144/W144-1)</f>
        <v/>
      </c>
      <c r="Z144" s="24" t="n"/>
      <c r="AA144" s="21" t="n"/>
      <c r="AB144" s="25" t="n"/>
      <c r="AC144" s="26">
        <f>IF(T144="","Chưa quyết định",IF(OR(Z144="",AA144=""),"⚠ Thiếu lý do/người duyệt",IF(AND(X144&lt;&gt;"",N(X144)+N(R144)+N(S144)&gt;M144*1.001,R144&lt;&gt;""),"⚠ Vượt mục tiêu P90",IF(AND(Y144&lt;&gt;"",ABS(N(Y144))&gt;0.3),"⚠ Lệch &gt; 30% so với nhu cầu",IF(Q144="Có","ℹ Kiểm tra ngoại suy KM","✓ Hợp lệ")))))</f>
        <v/>
      </c>
    </row>
    <row r="145">
      <c r="A145" s="16" t="n">
        <v>141</v>
      </c>
      <c r="B145" s="17" t="inlineStr">
        <is>
          <t>DEC-S47-MEATS</t>
        </is>
      </c>
      <c r="C145" s="16" t="n">
        <v>47</v>
      </c>
      <c r="D145" s="17" t="inlineStr">
        <is>
          <t>MEATS</t>
        </is>
      </c>
      <c r="E145" s="17" t="inlineStr">
        <is>
          <t>MEDIUM</t>
        </is>
      </c>
      <c r="F145" s="17" t="inlineStr">
        <is>
          <t>TRUNG BÌNH</t>
        </is>
      </c>
      <c r="G145" s="18" t="inlineStr">
        <is>
          <t>RISK_MEDIUM · LARGE_SERIES</t>
        </is>
      </c>
      <c r="H145" s="19" t="n">
        <v>13821.85384560547</v>
      </c>
      <c r="I145" s="19" t="n">
        <v>16372.04803466797</v>
      </c>
      <c r="J145" s="19" t="n">
        <v>20043.63662548828</v>
      </c>
      <c r="K145" s="19" t="n">
        <v>16372.04803466797</v>
      </c>
      <c r="L145" s="19" t="n">
        <v>18666.79090393067</v>
      </c>
      <c r="M145" s="19" t="n">
        <v>20043.63662548828</v>
      </c>
      <c r="N145" s="17" t="inlineStr">
        <is>
          <t>C</t>
        </is>
      </c>
      <c r="O145" s="19" t="n">
        <v>6945.998197753905</v>
      </c>
      <c r="P145" s="18" t="inlineStr">
        <is>
          <t>KHÔNG ĐỀ XUẤT TĂNG</t>
        </is>
      </c>
      <c r="Q145" s="17" t="inlineStr">
        <is>
          <t>Không</t>
        </is>
      </c>
      <c r="R145" s="20" t="n"/>
      <c r="S145" s="20" t="n"/>
      <c r="T145" s="21" t="n"/>
      <c r="U145" s="21" t="n"/>
      <c r="V145" s="22">
        <f>IF(U145="A",K145,IF(U145="B",L145,IF(U145="C",M145,IF(N145="A",K145,IF(N145="B",L145,M145)))))</f>
        <v/>
      </c>
      <c r="W145" s="22">
        <f>IF(R145="",O145,MAX(V145-R145-N(S145),0))</f>
        <v/>
      </c>
      <c r="X145" s="20" t="n"/>
      <c r="Y145" s="23">
        <f>IF(OR(X145="",W145=0),"",X145/W145-1)</f>
        <v/>
      </c>
      <c r="Z145" s="24" t="n"/>
      <c r="AA145" s="21" t="n"/>
      <c r="AB145" s="25" t="n"/>
      <c r="AC145" s="26">
        <f>IF(T145="","Chưa quyết định",IF(OR(Z145="",AA145=""),"⚠ Thiếu lý do/người duyệt",IF(AND(X145&lt;&gt;"",N(X145)+N(R145)+N(S145)&gt;M145*1.001,R145&lt;&gt;""),"⚠ Vượt mục tiêu P90",IF(AND(Y145&lt;&gt;"",ABS(N(Y145))&gt;0.3),"⚠ Lệch &gt; 30% so với nhu cầu",IF(Q145="Có","ℹ Kiểm tra ngoại suy KM","✓ Hợp lệ")))))</f>
        <v/>
      </c>
    </row>
    <row r="146">
      <c r="A146" s="16" t="n">
        <v>142</v>
      </c>
      <c r="B146" s="17" t="inlineStr">
        <is>
          <t>DEC-S28-DAIRY</t>
        </is>
      </c>
      <c r="C146" s="16" t="n">
        <v>28</v>
      </c>
      <c r="D146" s="17" t="inlineStr">
        <is>
          <t>DAIRY</t>
        </is>
      </c>
      <c r="E146" s="17" t="inlineStr">
        <is>
          <t>MEDIUM</t>
        </is>
      </c>
      <c r="F146" s="17" t="inlineStr">
        <is>
          <t>TRUNG BÌNH</t>
        </is>
      </c>
      <c r="G146" s="18" t="inlineStr">
        <is>
          <t>RISK_MEDIUM · LARGE_SERIES</t>
        </is>
      </c>
      <c r="H146" s="19" t="n">
        <v>13706.18770791016</v>
      </c>
      <c r="I146" s="19" t="n">
        <v>16256.38189697266</v>
      </c>
      <c r="J146" s="19" t="n">
        <v>19927.97048779297</v>
      </c>
      <c r="K146" s="19" t="n">
        <v>16256.38189697266</v>
      </c>
      <c r="L146" s="19" t="n">
        <v>18551.12476623535</v>
      </c>
      <c r="M146" s="19" t="n">
        <v>19927.97048779297</v>
      </c>
      <c r="N146" s="17" t="inlineStr">
        <is>
          <t>C</t>
        </is>
      </c>
      <c r="O146" s="19" t="n">
        <v>6922.864970214843</v>
      </c>
      <c r="P146" s="18" t="inlineStr">
        <is>
          <t>KHÔNG ĐỀ XUẤT TĂNG</t>
        </is>
      </c>
      <c r="Q146" s="17" t="inlineStr">
        <is>
          <t>Không</t>
        </is>
      </c>
      <c r="R146" s="20" t="n"/>
      <c r="S146" s="20" t="n"/>
      <c r="T146" s="21" t="n"/>
      <c r="U146" s="21" t="n"/>
      <c r="V146" s="22">
        <f>IF(U146="A",K146,IF(U146="B",L146,IF(U146="C",M146,IF(N146="A",K146,IF(N146="B",L146,M146)))))</f>
        <v/>
      </c>
      <c r="W146" s="22">
        <f>IF(R146="",O146,MAX(V146-R146-N(S146),0))</f>
        <v/>
      </c>
      <c r="X146" s="20" t="n"/>
      <c r="Y146" s="23">
        <f>IF(OR(X146="",W146=0),"",X146/W146-1)</f>
        <v/>
      </c>
      <c r="Z146" s="24" t="n"/>
      <c r="AA146" s="21" t="n"/>
      <c r="AB146" s="25" t="n"/>
      <c r="AC146" s="26">
        <f>IF(T146="","Chưa quyết định",IF(OR(Z146="",AA146=""),"⚠ Thiếu lý do/người duyệt",IF(AND(X146&lt;&gt;"",N(X146)+N(R146)+N(S146)&gt;M146*1.001,R146&lt;&gt;""),"⚠ Vượt mục tiêu P90",IF(AND(Y146&lt;&gt;"",ABS(N(Y146))&gt;0.3),"⚠ Lệch &gt; 30% so với nhu cầu",IF(Q146="Có","ℹ Kiểm tra ngoại suy KM","✓ Hợp lệ")))))</f>
        <v/>
      </c>
    </row>
    <row r="147">
      <c r="A147" s="16" t="n">
        <v>143</v>
      </c>
      <c r="B147" s="17" t="inlineStr">
        <is>
          <t>DEC-S44-MEATS</t>
        </is>
      </c>
      <c r="C147" s="16" t="n">
        <v>44</v>
      </c>
      <c r="D147" s="17" t="inlineStr">
        <is>
          <t>MEATS</t>
        </is>
      </c>
      <c r="E147" s="17" t="inlineStr">
        <is>
          <t>MEDIUM</t>
        </is>
      </c>
      <c r="F147" s="17" t="inlineStr">
        <is>
          <t>TRUNG BÌNH</t>
        </is>
      </c>
      <c r="G147" s="18" t="inlineStr">
        <is>
          <t>RISK_MEDIUM · LARGE_SERIES</t>
        </is>
      </c>
      <c r="H147" s="19" t="n">
        <v>12404.84227373047</v>
      </c>
      <c r="I147" s="19" t="n">
        <v>15544.97088623047</v>
      </c>
      <c r="J147" s="19" t="n">
        <v>20425.71032568359</v>
      </c>
      <c r="K147" s="19" t="n">
        <v>15544.97088623047</v>
      </c>
      <c r="L147" s="19" t="n">
        <v>18595.43303588867</v>
      </c>
      <c r="M147" s="19" t="n">
        <v>20425.71032568359</v>
      </c>
      <c r="N147" s="17" t="inlineStr">
        <is>
          <t>C</t>
        </is>
      </c>
      <c r="O147" s="19" t="n">
        <v>7989.733616699219</v>
      </c>
      <c r="P147" s="18" t="inlineStr">
        <is>
          <t>KHÔNG ĐỀ XUẤT TĂNG</t>
        </is>
      </c>
      <c r="Q147" s="17" t="inlineStr">
        <is>
          <t>Không</t>
        </is>
      </c>
      <c r="R147" s="20" t="n"/>
      <c r="S147" s="20" t="n"/>
      <c r="T147" s="21" t="n"/>
      <c r="U147" s="21" t="n"/>
      <c r="V147" s="22">
        <f>IF(U147="A",K147,IF(U147="B",L147,IF(U147="C",M147,IF(N147="A",K147,IF(N147="B",L147,M147)))))</f>
        <v/>
      </c>
      <c r="W147" s="22">
        <f>IF(R147="",O147,MAX(V147-R147-N(S147),0))</f>
        <v/>
      </c>
      <c r="X147" s="20" t="n"/>
      <c r="Y147" s="23">
        <f>IF(OR(X147="",W147=0),"",X147/W147-1)</f>
        <v/>
      </c>
      <c r="Z147" s="24" t="n"/>
      <c r="AA147" s="21" t="n"/>
      <c r="AB147" s="25" t="n"/>
      <c r="AC147" s="26">
        <f>IF(T147="","Chưa quyết định",IF(OR(Z147="",AA147=""),"⚠ Thiếu lý do/người duyệt",IF(AND(X147&lt;&gt;"",N(X147)+N(R147)+N(S147)&gt;M147*1.001,R147&lt;&gt;""),"⚠ Vượt mục tiêu P90",IF(AND(Y147&lt;&gt;"",ABS(N(Y147))&gt;0.3),"⚠ Lệch &gt; 30% so với nhu cầu",IF(Q147="Có","ℹ Kiểm tra ngoại suy KM","✓ Hợp lệ")))))</f>
        <v/>
      </c>
    </row>
    <row r="148">
      <c r="A148" s="16" t="n">
        <v>144</v>
      </c>
      <c r="B148" s="17" t="inlineStr">
        <is>
          <t>DEC-S32-CLEANING</t>
        </is>
      </c>
      <c r="C148" s="16" t="n">
        <v>32</v>
      </c>
      <c r="D148" s="17" t="inlineStr">
        <is>
          <t>CLEANING</t>
        </is>
      </c>
      <c r="E148" s="17" t="inlineStr">
        <is>
          <t>MEDIUM</t>
        </is>
      </c>
      <c r="F148" s="17" t="inlineStr">
        <is>
          <t>TRUNG BÌNH</t>
        </is>
      </c>
      <c r="G148" s="18" t="inlineStr">
        <is>
          <t>RISK_MEDIUM · LARGE_SERIES</t>
        </is>
      </c>
      <c r="H148" s="19" t="n">
        <v>12336.19450078125</v>
      </c>
      <c r="I148" s="19" t="n">
        <v>15409.83733605957</v>
      </c>
      <c r="J148" s="19" t="n">
        <v>20208.56681689453</v>
      </c>
      <c r="K148" s="19" t="n">
        <v>15409.83733605957</v>
      </c>
      <c r="L148" s="19" t="n">
        <v>18409.04326158142</v>
      </c>
      <c r="M148" s="19" t="n">
        <v>20208.56681689453</v>
      </c>
      <c r="N148" s="17" t="inlineStr">
        <is>
          <t>C</t>
        </is>
      </c>
      <c r="O148" s="19" t="n">
        <v>7880.696948046872</v>
      </c>
      <c r="P148" s="18" t="inlineStr">
        <is>
          <t>KHÔNG ĐỀ XUẤT TĂNG</t>
        </is>
      </c>
      <c r="Q148" s="17" t="inlineStr">
        <is>
          <t>Không</t>
        </is>
      </c>
      <c r="R148" s="20" t="n"/>
      <c r="S148" s="20" t="n"/>
      <c r="T148" s="21" t="n"/>
      <c r="U148" s="21" t="n"/>
      <c r="V148" s="22">
        <f>IF(U148="A",K148,IF(U148="B",L148,IF(U148="C",M148,IF(N148="A",K148,IF(N148="B",L148,M148)))))</f>
        <v/>
      </c>
      <c r="W148" s="22">
        <f>IF(R148="",O148,MAX(V148-R148-N(S148),0))</f>
        <v/>
      </c>
      <c r="X148" s="20" t="n"/>
      <c r="Y148" s="23">
        <f>IF(OR(X148="",W148=0),"",X148/W148-1)</f>
        <v/>
      </c>
      <c r="Z148" s="24" t="n"/>
      <c r="AA148" s="21" t="n"/>
      <c r="AB148" s="25" t="n"/>
      <c r="AC148" s="26">
        <f>IF(T148="","Chưa quyết định",IF(OR(Z148="",AA148=""),"⚠ Thiếu lý do/người duyệt",IF(AND(X148&lt;&gt;"",N(X148)+N(R148)+N(S148)&gt;M148*1.001,R148&lt;&gt;""),"⚠ Vượt mục tiêu P90",IF(AND(Y148&lt;&gt;"",ABS(N(Y148))&gt;0.3),"⚠ Lệch &gt; 30% so với nhu cầu",IF(Q148="Có","ℹ Kiểm tra ngoại suy KM","✓ Hợp lệ")))))</f>
        <v/>
      </c>
    </row>
    <row r="149">
      <c r="A149" s="16" t="n">
        <v>145</v>
      </c>
      <c r="B149" s="17" t="inlineStr">
        <is>
          <t>DEC-S48-MEATS</t>
        </is>
      </c>
      <c r="C149" s="16" t="n">
        <v>48</v>
      </c>
      <c r="D149" s="17" t="inlineStr">
        <is>
          <t>MEATS</t>
        </is>
      </c>
      <c r="E149" s="17" t="inlineStr">
        <is>
          <t>MEDIUM</t>
        </is>
      </c>
      <c r="F149" s="17" t="inlineStr">
        <is>
          <t>TRUNG BÌNH</t>
        </is>
      </c>
      <c r="G149" s="18" t="inlineStr">
        <is>
          <t>RISK_MEDIUM · LARGE_SERIES</t>
        </is>
      </c>
      <c r="H149" s="19" t="n">
        <v>12564.59714414062</v>
      </c>
      <c r="I149" s="19" t="n">
        <v>15409.75854492188</v>
      </c>
      <c r="J149" s="19" t="n">
        <v>19685.92256005859</v>
      </c>
      <c r="K149" s="19" t="n">
        <v>15409.75854492188</v>
      </c>
      <c r="L149" s="19" t="n">
        <v>18082.36105438232</v>
      </c>
      <c r="M149" s="19" t="n">
        <v>19685.92256005859</v>
      </c>
      <c r="N149" s="17" t="inlineStr">
        <is>
          <t>C</t>
        </is>
      </c>
      <c r="O149" s="19" t="n">
        <v>7358.115724121093</v>
      </c>
      <c r="P149" s="18" t="inlineStr">
        <is>
          <t>KHÔNG ĐỀ XUẤT TĂNG</t>
        </is>
      </c>
      <c r="Q149" s="17" t="inlineStr">
        <is>
          <t>Không</t>
        </is>
      </c>
      <c r="R149" s="20" t="n"/>
      <c r="S149" s="20" t="n"/>
      <c r="T149" s="21" t="n"/>
      <c r="U149" s="21" t="n"/>
      <c r="V149" s="22">
        <f>IF(U149="A",K149,IF(U149="B",L149,IF(U149="C",M149,IF(N149="A",K149,IF(N149="B",L149,M149)))))</f>
        <v/>
      </c>
      <c r="W149" s="22">
        <f>IF(R149="",O149,MAX(V149-R149-N(S149),0))</f>
        <v/>
      </c>
      <c r="X149" s="20" t="n"/>
      <c r="Y149" s="23">
        <f>IF(OR(X149="",W149=0),"",X149/W149-1)</f>
        <v/>
      </c>
      <c r="Z149" s="24" t="n"/>
      <c r="AA149" s="21" t="n"/>
      <c r="AB149" s="25" t="n"/>
      <c r="AC149" s="26">
        <f>IF(T149="","Chưa quyết định",IF(OR(Z149="",AA149=""),"⚠ Thiếu lý do/người duyệt",IF(AND(X149&lt;&gt;"",N(X149)+N(R149)+N(S149)&gt;M149*1.001,R149&lt;&gt;""),"⚠ Vượt mục tiêu P90",IF(AND(Y149&lt;&gt;"",ABS(N(Y149))&gt;0.3),"⚠ Lệch &gt; 30% so với nhu cầu",IF(Q149="Có","ℹ Kiểm tra ngoại suy KM","✓ Hợp lệ")))))</f>
        <v/>
      </c>
    </row>
    <row r="150">
      <c r="A150" s="16" t="n">
        <v>146</v>
      </c>
      <c r="B150" s="17" t="inlineStr">
        <is>
          <t>DEC-S19-CLEANING</t>
        </is>
      </c>
      <c r="C150" s="16" t="n">
        <v>19</v>
      </c>
      <c r="D150" s="17" t="inlineStr">
        <is>
          <t>CLEANING</t>
        </is>
      </c>
      <c r="E150" s="17" t="inlineStr">
        <is>
          <t>MEDIUM</t>
        </is>
      </c>
      <c r="F150" s="17" t="inlineStr">
        <is>
          <t>TRUNG BÌNH</t>
        </is>
      </c>
      <c r="G150" s="18" t="inlineStr">
        <is>
          <t>RISK_MEDIUM · LARGE_SERIES</t>
        </is>
      </c>
      <c r="H150" s="19" t="n">
        <v>12613.13363076172</v>
      </c>
      <c r="I150" s="19" t="n">
        <v>15163.32781982422</v>
      </c>
      <c r="J150" s="19" t="n">
        <v>18834.91641064453</v>
      </c>
      <c r="K150" s="19" t="n">
        <v>15163.32781982422</v>
      </c>
      <c r="L150" s="19" t="n">
        <v>17458.07068908692</v>
      </c>
      <c r="M150" s="19" t="n">
        <v>18834.91641064453</v>
      </c>
      <c r="N150" s="17" t="inlineStr">
        <is>
          <t>C</t>
        </is>
      </c>
      <c r="O150" s="19" t="n">
        <v>6704.254154785156</v>
      </c>
      <c r="P150" s="18" t="inlineStr">
        <is>
          <t>KHÔNG ĐỀ XUẤT TĂNG</t>
        </is>
      </c>
      <c r="Q150" s="17" t="inlineStr">
        <is>
          <t>Không</t>
        </is>
      </c>
      <c r="R150" s="20" t="n"/>
      <c r="S150" s="20" t="n"/>
      <c r="T150" s="21" t="n"/>
      <c r="U150" s="21" t="n"/>
      <c r="V150" s="22">
        <f>IF(U150="A",K150,IF(U150="B",L150,IF(U150="C",M150,IF(N150="A",K150,IF(N150="B",L150,M150)))))</f>
        <v/>
      </c>
      <c r="W150" s="22">
        <f>IF(R150="",O150,MAX(V150-R150-N(S150),0))</f>
        <v/>
      </c>
      <c r="X150" s="20" t="n"/>
      <c r="Y150" s="23">
        <f>IF(OR(X150="",W150=0),"",X150/W150-1)</f>
        <v/>
      </c>
      <c r="Z150" s="24" t="n"/>
      <c r="AA150" s="21" t="n"/>
      <c r="AB150" s="25" t="n"/>
      <c r="AC150" s="26">
        <f>IF(T150="","Chưa quyết định",IF(OR(Z150="",AA150=""),"⚠ Thiếu lý do/người duyệt",IF(AND(X150&lt;&gt;"",N(X150)+N(R150)+N(S150)&gt;M150*1.001,R150&lt;&gt;""),"⚠ Vượt mục tiêu P90",IF(AND(Y150&lt;&gt;"",ABS(N(Y150))&gt;0.3),"⚠ Lệch &gt; 30% so với nhu cầu",IF(Q150="Có","ℹ Kiểm tra ngoại suy KM","✓ Hợp lệ")))))</f>
        <v/>
      </c>
    </row>
    <row r="151">
      <c r="A151" s="16" t="n">
        <v>147</v>
      </c>
      <c r="B151" s="17" t="inlineStr">
        <is>
          <t>DEC-S16-CLEANING</t>
        </is>
      </c>
      <c r="C151" s="16" t="n">
        <v>16</v>
      </c>
      <c r="D151" s="17" t="inlineStr">
        <is>
          <t>CLEANING</t>
        </is>
      </c>
      <c r="E151" s="17" t="inlineStr">
        <is>
          <t>MEDIUM</t>
        </is>
      </c>
      <c r="F151" s="17" t="inlineStr">
        <is>
          <t>TRUNG BÌNH</t>
        </is>
      </c>
      <c r="G151" s="18" t="inlineStr">
        <is>
          <t>RISK_MEDIUM · LARGE_SERIES</t>
        </is>
      </c>
      <c r="H151" s="19" t="n">
        <v>12704.41688251953</v>
      </c>
      <c r="I151" s="19" t="n">
        <v>14959.64385986328</v>
      </c>
      <c r="J151" s="19" t="n">
        <v>18026.65702636719</v>
      </c>
      <c r="K151" s="19" t="n">
        <v>14959.64385986328</v>
      </c>
      <c r="L151" s="19" t="n">
        <v>16876.52708892822</v>
      </c>
      <c r="M151" s="19" t="n">
        <v>18026.65702636719</v>
      </c>
      <c r="N151" s="17" t="inlineStr">
        <is>
          <t>C</t>
        </is>
      </c>
      <c r="O151" s="19" t="n">
        <v>6058.941938476562</v>
      </c>
      <c r="P151" s="18" t="inlineStr">
        <is>
          <t>KHÔNG ĐỀ XUẤT TĂNG</t>
        </is>
      </c>
      <c r="Q151" s="17" t="inlineStr">
        <is>
          <t>Không</t>
        </is>
      </c>
      <c r="R151" s="20" t="n"/>
      <c r="S151" s="20" t="n"/>
      <c r="T151" s="21" t="n"/>
      <c r="U151" s="21" t="n"/>
      <c r="V151" s="22">
        <f>IF(U151="A",K151,IF(U151="B",L151,IF(U151="C",M151,IF(N151="A",K151,IF(N151="B",L151,M151)))))</f>
        <v/>
      </c>
      <c r="W151" s="22">
        <f>IF(R151="",O151,MAX(V151-R151-N(S151),0))</f>
        <v/>
      </c>
      <c r="X151" s="20" t="n"/>
      <c r="Y151" s="23">
        <f>IF(OR(X151="",W151=0),"",X151/W151-1)</f>
        <v/>
      </c>
      <c r="Z151" s="24" t="n"/>
      <c r="AA151" s="21" t="n"/>
      <c r="AB151" s="25" t="n"/>
      <c r="AC151" s="26">
        <f>IF(T151="","Chưa quyết định",IF(OR(Z151="",AA151=""),"⚠ Thiếu lý do/người duyệt",IF(AND(X151&lt;&gt;"",N(X151)+N(R151)+N(S151)&gt;M151*1.001,R151&lt;&gt;""),"⚠ Vượt mục tiêu P90",IF(AND(Y151&lt;&gt;"",ABS(N(Y151))&gt;0.3),"⚠ Lệch &gt; 30% so với nhu cầu",IF(Q151="Có","ℹ Kiểm tra ngoại suy KM","✓ Hợp lệ")))))</f>
        <v/>
      </c>
    </row>
    <row r="152">
      <c r="A152" s="16" t="n">
        <v>148</v>
      </c>
      <c r="B152" s="17" t="inlineStr">
        <is>
          <t>DEC-S02-DAIRY</t>
        </is>
      </c>
      <c r="C152" s="16" t="n">
        <v>2</v>
      </c>
      <c r="D152" s="17" t="inlineStr">
        <is>
          <t>DAIRY</t>
        </is>
      </c>
      <c r="E152" s="17" t="inlineStr">
        <is>
          <t>MEDIUM</t>
        </is>
      </c>
      <c r="F152" s="17" t="inlineStr">
        <is>
          <t>TRUNG BÌNH</t>
        </is>
      </c>
      <c r="G152" s="18" t="inlineStr">
        <is>
          <t>RISK_MEDIUM · LARGE_SERIES</t>
        </is>
      </c>
      <c r="H152" s="19" t="n">
        <v>12565.03297138672</v>
      </c>
      <c r="I152" s="19" t="n">
        <v>14820.25994873047</v>
      </c>
      <c r="J152" s="19" t="n">
        <v>17887.27311523437</v>
      </c>
      <c r="K152" s="19" t="n">
        <v>14820.25994873047</v>
      </c>
      <c r="L152" s="19" t="n">
        <v>16737.14317779541</v>
      </c>
      <c r="M152" s="19" t="n">
        <v>17887.27311523437</v>
      </c>
      <c r="N152" s="17" t="inlineStr">
        <is>
          <t>C</t>
        </is>
      </c>
      <c r="O152" s="19" t="n">
        <v>6031.065156249997</v>
      </c>
      <c r="P152" s="18" t="inlineStr">
        <is>
          <t>KHÔNG ĐỀ XUẤT TĂNG</t>
        </is>
      </c>
      <c r="Q152" s="17" t="inlineStr">
        <is>
          <t>Không</t>
        </is>
      </c>
      <c r="R152" s="20" t="n"/>
      <c r="S152" s="20" t="n"/>
      <c r="T152" s="21" t="n"/>
      <c r="U152" s="21" t="n"/>
      <c r="V152" s="22">
        <f>IF(U152="A",K152,IF(U152="B",L152,IF(U152="C",M152,IF(N152="A",K152,IF(N152="B",L152,M152)))))</f>
        <v/>
      </c>
      <c r="W152" s="22">
        <f>IF(R152="",O152,MAX(V152-R152-N(S152),0))</f>
        <v/>
      </c>
      <c r="X152" s="20" t="n"/>
      <c r="Y152" s="23">
        <f>IF(OR(X152="",W152=0),"",X152/W152-1)</f>
        <v/>
      </c>
      <c r="Z152" s="24" t="n"/>
      <c r="AA152" s="21" t="n"/>
      <c r="AB152" s="25" t="n"/>
      <c r="AC152" s="26">
        <f>IF(T152="","Chưa quyết định",IF(OR(Z152="",AA152=""),"⚠ Thiếu lý do/người duyệt",IF(AND(X152&lt;&gt;"",N(X152)+N(R152)+N(S152)&gt;M152*1.001,R152&lt;&gt;""),"⚠ Vượt mục tiêu P90",IF(AND(Y152&lt;&gt;"",ABS(N(Y152))&gt;0.3),"⚠ Lệch &gt; 30% so với nhu cầu",IF(Q152="Có","ℹ Kiểm tra ngoại suy KM","✓ Hợp lệ")))))</f>
        <v/>
      </c>
    </row>
    <row r="153">
      <c r="A153" s="16" t="n">
        <v>149</v>
      </c>
      <c r="B153" s="17" t="inlineStr">
        <is>
          <t>DEC-S42-DAIRY</t>
        </is>
      </c>
      <c r="C153" s="16" t="n">
        <v>42</v>
      </c>
      <c r="D153" s="17" t="inlineStr">
        <is>
          <t>DAIRY</t>
        </is>
      </c>
      <c r="E153" s="17" t="inlineStr">
        <is>
          <t>MEDIUM</t>
        </is>
      </c>
      <c r="F153" s="17" t="inlineStr">
        <is>
          <t>TRUNG BÌNH</t>
        </is>
      </c>
      <c r="G153" s="18" t="inlineStr">
        <is>
          <t>RISK_MEDIUM · LARGE_SERIES</t>
        </is>
      </c>
      <c r="H153" s="19" t="n">
        <v>12452.15943623047</v>
      </c>
      <c r="I153" s="19" t="n">
        <v>14707.38641357422</v>
      </c>
      <c r="J153" s="19" t="n">
        <v>17774.39958007813</v>
      </c>
      <c r="K153" s="19" t="n">
        <v>14707.38641357422</v>
      </c>
      <c r="L153" s="19" t="n">
        <v>16624.26964263916</v>
      </c>
      <c r="M153" s="19" t="n">
        <v>17774.39958007813</v>
      </c>
      <c r="N153" s="17" t="inlineStr">
        <is>
          <t>C</t>
        </is>
      </c>
      <c r="O153" s="19" t="n">
        <v>6008.490449218751</v>
      </c>
      <c r="P153" s="18" t="inlineStr">
        <is>
          <t>KHÔNG ĐỀ XUẤT TĂNG</t>
        </is>
      </c>
      <c r="Q153" s="17" t="inlineStr">
        <is>
          <t>Không</t>
        </is>
      </c>
      <c r="R153" s="20" t="n"/>
      <c r="S153" s="20" t="n"/>
      <c r="T153" s="21" t="n"/>
      <c r="U153" s="21" t="n"/>
      <c r="V153" s="22">
        <f>IF(U153="A",K153,IF(U153="B",L153,IF(U153="C",M153,IF(N153="A",K153,IF(N153="B",L153,M153)))))</f>
        <v/>
      </c>
      <c r="W153" s="22">
        <f>IF(R153="",O153,MAX(V153-R153-N(S153),0))</f>
        <v/>
      </c>
      <c r="X153" s="20" t="n"/>
      <c r="Y153" s="23">
        <f>IF(OR(X153="",W153=0),"",X153/W153-1)</f>
        <v/>
      </c>
      <c r="Z153" s="24" t="n"/>
      <c r="AA153" s="21" t="n"/>
      <c r="AB153" s="25" t="n"/>
      <c r="AC153" s="26">
        <f>IF(T153="","Chưa quyết định",IF(OR(Z153="",AA153=""),"⚠ Thiếu lý do/người duyệt",IF(AND(X153&lt;&gt;"",N(X153)+N(R153)+N(S153)&gt;M153*1.001,R153&lt;&gt;""),"⚠ Vượt mục tiêu P90",IF(AND(Y153&lt;&gt;"",ABS(N(Y153))&gt;0.3),"⚠ Lệch &gt; 30% so với nhu cầu",IF(Q153="Có","ℹ Kiểm tra ngoại suy KM","✓ Hợp lệ")))))</f>
        <v/>
      </c>
    </row>
    <row r="154">
      <c r="A154" s="16" t="n">
        <v>150</v>
      </c>
      <c r="B154" s="17" t="inlineStr">
        <is>
          <t>DEC-S09-DAIRY</t>
        </is>
      </c>
      <c r="C154" s="16" t="n">
        <v>9</v>
      </c>
      <c r="D154" s="17" t="inlineStr">
        <is>
          <t>DAIRY</t>
        </is>
      </c>
      <c r="E154" s="17" t="inlineStr">
        <is>
          <t>MEDIUM</t>
        </is>
      </c>
      <c r="F154" s="17" t="inlineStr">
        <is>
          <t>TRUNG BÌNH</t>
        </is>
      </c>
      <c r="G154" s="18" t="inlineStr">
        <is>
          <t>RISK_MEDIUM · LARGE_SERIES</t>
        </is>
      </c>
      <c r="H154" s="19" t="n">
        <v>12451.96479511719</v>
      </c>
      <c r="I154" s="19" t="n">
        <v>14707.19177246094</v>
      </c>
      <c r="J154" s="19" t="n">
        <v>17774.20493896484</v>
      </c>
      <c r="K154" s="19" t="n">
        <v>14707.19177246094</v>
      </c>
      <c r="L154" s="19" t="n">
        <v>16624.07500152588</v>
      </c>
      <c r="M154" s="19" t="n">
        <v>17774.20493896484</v>
      </c>
      <c r="N154" s="17" t="inlineStr">
        <is>
          <t>C</t>
        </is>
      </c>
      <c r="O154" s="19" t="n">
        <v>6008.451520996092</v>
      </c>
      <c r="P154" s="18" t="inlineStr">
        <is>
          <t>KHÔNG ĐỀ XUẤT TĂNG</t>
        </is>
      </c>
      <c r="Q154" s="17" t="inlineStr">
        <is>
          <t>Không</t>
        </is>
      </c>
      <c r="R154" s="20" t="n"/>
      <c r="S154" s="20" t="n"/>
      <c r="T154" s="21" t="n"/>
      <c r="U154" s="21" t="n"/>
      <c r="V154" s="22">
        <f>IF(U154="A",K154,IF(U154="B",L154,IF(U154="C",M154,IF(N154="A",K154,IF(N154="B",L154,M154)))))</f>
        <v/>
      </c>
      <c r="W154" s="22">
        <f>IF(R154="",O154,MAX(V154-R154-N(S154),0))</f>
        <v/>
      </c>
      <c r="X154" s="20" t="n"/>
      <c r="Y154" s="23">
        <f>IF(OR(X154="",W154=0),"",X154/W154-1)</f>
        <v/>
      </c>
      <c r="Z154" s="24" t="n"/>
      <c r="AA154" s="21" t="n"/>
      <c r="AB154" s="25" t="n"/>
      <c r="AC154" s="26">
        <f>IF(T154="","Chưa quyết định",IF(OR(Z154="",AA154=""),"⚠ Thiếu lý do/người duyệt",IF(AND(X154&lt;&gt;"",N(X154)+N(R154)+N(S154)&gt;M154*1.001,R154&lt;&gt;""),"⚠ Vượt mục tiêu P90",IF(AND(Y154&lt;&gt;"",ABS(N(Y154))&gt;0.3),"⚠ Lệch &gt; 30% so với nhu cầu",IF(Q154="Có","ℹ Kiểm tra ngoại suy KM","✓ Hợp lệ")))))</f>
        <v/>
      </c>
    </row>
    <row r="155">
      <c r="A155" s="16" t="n">
        <v>151</v>
      </c>
      <c r="B155" s="17" t="inlineStr">
        <is>
          <t>DEC-S51-BREAD_BAKERY</t>
        </is>
      </c>
      <c r="C155" s="16" t="n">
        <v>51</v>
      </c>
      <c r="D155" s="17" t="inlineStr">
        <is>
          <t>BREAD/BAKERY</t>
        </is>
      </c>
      <c r="E155" s="17" t="inlineStr">
        <is>
          <t>MEDIUM</t>
        </is>
      </c>
      <c r="F155" s="17" t="inlineStr">
        <is>
          <t>TRUNG BÌNH</t>
        </is>
      </c>
      <c r="G155" s="18" t="inlineStr">
        <is>
          <t>RISK_MEDIUM · LARGE_SERIES</t>
        </is>
      </c>
      <c r="H155" s="19" t="n">
        <v>12311.27747822266</v>
      </c>
      <c r="I155" s="19" t="n">
        <v>14566.50445556641</v>
      </c>
      <c r="J155" s="19" t="n">
        <v>17633.51762207031</v>
      </c>
      <c r="K155" s="19" t="n">
        <v>14566.50445556641</v>
      </c>
      <c r="L155" s="19" t="n">
        <v>16483.38768463135</v>
      </c>
      <c r="M155" s="19" t="n">
        <v>17633.51762207031</v>
      </c>
      <c r="N155" s="17" t="inlineStr">
        <is>
          <t>C</t>
        </is>
      </c>
      <c r="O155" s="19" t="n">
        <v>5980.314057617185</v>
      </c>
      <c r="P155" s="18" t="inlineStr">
        <is>
          <t>KHÔNG ĐỀ XUẤT TĂNG</t>
        </is>
      </c>
      <c r="Q155" s="17" t="inlineStr">
        <is>
          <t>Không</t>
        </is>
      </c>
      <c r="R155" s="20" t="n"/>
      <c r="S155" s="20" t="n"/>
      <c r="T155" s="21" t="n"/>
      <c r="U155" s="21" t="n"/>
      <c r="V155" s="22">
        <f>IF(U155="A",K155,IF(U155="B",L155,IF(U155="C",M155,IF(N155="A",K155,IF(N155="B",L155,M155)))))</f>
        <v/>
      </c>
      <c r="W155" s="22">
        <f>IF(R155="",O155,MAX(V155-R155-N(S155),0))</f>
        <v/>
      </c>
      <c r="X155" s="20" t="n"/>
      <c r="Y155" s="23">
        <f>IF(OR(X155="",W155=0),"",X155/W155-1)</f>
        <v/>
      </c>
      <c r="Z155" s="24" t="n"/>
      <c r="AA155" s="21" t="n"/>
      <c r="AB155" s="25" t="n"/>
      <c r="AC155" s="26">
        <f>IF(T155="","Chưa quyết định",IF(OR(Z155="",AA155=""),"⚠ Thiếu lý do/người duyệt",IF(AND(X155&lt;&gt;"",N(X155)+N(R155)+N(S155)&gt;M155*1.001,R155&lt;&gt;""),"⚠ Vượt mục tiêu P90",IF(AND(Y155&lt;&gt;"",ABS(N(Y155))&gt;0.3),"⚠ Lệch &gt; 30% so với nhu cầu",IF(Q155="Có","ℹ Kiểm tra ngoại suy KM","✓ Hợp lệ")))))</f>
        <v/>
      </c>
    </row>
    <row r="156">
      <c r="A156" s="16" t="n">
        <v>152</v>
      </c>
      <c r="B156" s="17" t="inlineStr">
        <is>
          <t>DEC-S49-MEATS</t>
        </is>
      </c>
      <c r="C156" s="16" t="n">
        <v>49</v>
      </c>
      <c r="D156" s="17" t="inlineStr">
        <is>
          <t>MEATS</t>
        </is>
      </c>
      <c r="E156" s="17" t="inlineStr">
        <is>
          <t>MEDIUM</t>
        </is>
      </c>
      <c r="F156" s="17" t="inlineStr">
        <is>
          <t>TRUNG BÌNH</t>
        </is>
      </c>
      <c r="G156" s="18" t="inlineStr">
        <is>
          <t>RISK_MEDIUM · LARGE_SERIES</t>
        </is>
      </c>
      <c r="H156" s="19" t="n">
        <v>11741.96907998047</v>
      </c>
      <c r="I156" s="19" t="n">
        <v>14292.16326904297</v>
      </c>
      <c r="J156" s="19" t="n">
        <v>17963.75185986328</v>
      </c>
      <c r="K156" s="19" t="n">
        <v>14292.16326904297</v>
      </c>
      <c r="L156" s="19" t="n">
        <v>16586.90613830567</v>
      </c>
      <c r="M156" s="19" t="n">
        <v>17963.75185986328</v>
      </c>
      <c r="N156" s="17" t="inlineStr">
        <is>
          <t>C</t>
        </is>
      </c>
      <c r="O156" s="19" t="n">
        <v>6530.021244628906</v>
      </c>
      <c r="P156" s="18" t="inlineStr">
        <is>
          <t>KHÔNG ĐỀ XUẤT TĂNG</t>
        </is>
      </c>
      <c r="Q156" s="17" t="inlineStr">
        <is>
          <t>Không</t>
        </is>
      </c>
      <c r="R156" s="20" t="n"/>
      <c r="S156" s="20" t="n"/>
      <c r="T156" s="21" t="n"/>
      <c r="U156" s="21" t="n"/>
      <c r="V156" s="22">
        <f>IF(U156="A",K156,IF(U156="B",L156,IF(U156="C",M156,IF(N156="A",K156,IF(N156="B",L156,M156)))))</f>
        <v/>
      </c>
      <c r="W156" s="22">
        <f>IF(R156="",O156,MAX(V156-R156-N(S156),0))</f>
        <v/>
      </c>
      <c r="X156" s="20" t="n"/>
      <c r="Y156" s="23">
        <f>IF(OR(X156="",W156=0),"",X156/W156-1)</f>
        <v/>
      </c>
      <c r="Z156" s="24" t="n"/>
      <c r="AA156" s="21" t="n"/>
      <c r="AB156" s="25" t="n"/>
      <c r="AC156" s="26">
        <f>IF(T156="","Chưa quyết định",IF(OR(Z156="",AA156=""),"⚠ Thiếu lý do/người duyệt",IF(AND(X156&lt;&gt;"",N(X156)+N(R156)+N(S156)&gt;M156*1.001,R156&lt;&gt;""),"⚠ Vượt mục tiêu P90",IF(AND(Y156&lt;&gt;"",ABS(N(Y156))&gt;0.3),"⚠ Lệch &gt; 30% so với nhu cầu",IF(Q156="Có","ℹ Kiểm tra ngoại suy KM","✓ Hợp lệ")))))</f>
        <v/>
      </c>
    </row>
    <row r="157">
      <c r="A157" s="16" t="n">
        <v>153</v>
      </c>
      <c r="B157" s="17" t="inlineStr">
        <is>
          <t>DEC-S04-CLEANING</t>
        </is>
      </c>
      <c r="C157" s="16" t="n">
        <v>4</v>
      </c>
      <c r="D157" s="17" t="inlineStr">
        <is>
          <t>CLEANING</t>
        </is>
      </c>
      <c r="E157" s="17" t="inlineStr">
        <is>
          <t>MEDIUM</t>
        </is>
      </c>
      <c r="F157" s="17" t="inlineStr">
        <is>
          <t>TRUNG BÌNH</t>
        </is>
      </c>
      <c r="G157" s="18" t="inlineStr">
        <is>
          <t>RISK_MEDIUM · LARGE_SERIES</t>
        </is>
      </c>
      <c r="H157" s="19" t="n">
        <v>11840.02387714844</v>
      </c>
      <c r="I157" s="19" t="n">
        <v>14095.25085449219</v>
      </c>
      <c r="J157" s="19" t="n">
        <v>17162.2640209961</v>
      </c>
      <c r="K157" s="19" t="n">
        <v>14095.25085449219</v>
      </c>
      <c r="L157" s="19" t="n">
        <v>16012.13408355713</v>
      </c>
      <c r="M157" s="19" t="n">
        <v>17162.2640209961</v>
      </c>
      <c r="N157" s="17" t="inlineStr">
        <is>
          <t>C</t>
        </is>
      </c>
      <c r="O157" s="19" t="n">
        <v>5886.063337402345</v>
      </c>
      <c r="P157" s="18" t="inlineStr">
        <is>
          <t>KHÔNG ĐỀ XUẤT TĂNG</t>
        </is>
      </c>
      <c r="Q157" s="17" t="inlineStr">
        <is>
          <t>Không</t>
        </is>
      </c>
      <c r="R157" s="20" t="n"/>
      <c r="S157" s="20" t="n"/>
      <c r="T157" s="21" t="n"/>
      <c r="U157" s="21" t="n"/>
      <c r="V157" s="22">
        <f>IF(U157="A",K157,IF(U157="B",L157,IF(U157="C",M157,IF(N157="A",K157,IF(N157="B",L157,M157)))))</f>
        <v/>
      </c>
      <c r="W157" s="22">
        <f>IF(R157="",O157,MAX(V157-R157-N(S157),0))</f>
        <v/>
      </c>
      <c r="X157" s="20" t="n"/>
      <c r="Y157" s="23">
        <f>IF(OR(X157="",W157=0),"",X157/W157-1)</f>
        <v/>
      </c>
      <c r="Z157" s="24" t="n"/>
      <c r="AA157" s="21" t="n"/>
      <c r="AB157" s="25" t="n"/>
      <c r="AC157" s="26">
        <f>IF(T157="","Chưa quyết định",IF(OR(Z157="",AA157=""),"⚠ Thiếu lý do/người duyệt",IF(AND(X157&lt;&gt;"",N(X157)+N(R157)+N(S157)&gt;M157*1.001,R157&lt;&gt;""),"⚠ Vượt mục tiêu P90",IF(AND(Y157&lt;&gt;"",ABS(N(Y157))&gt;0.3),"⚠ Lệch &gt; 30% so với nhu cầu",IF(Q157="Có","ℹ Kiểm tra ngoại suy KM","✓ Hợp lệ")))))</f>
        <v/>
      </c>
    </row>
    <row r="158">
      <c r="A158" s="16" t="n">
        <v>154</v>
      </c>
      <c r="B158" s="17" t="inlineStr">
        <is>
          <t>DEC-S48-POULTRY</t>
        </is>
      </c>
      <c r="C158" s="16" t="n">
        <v>48</v>
      </c>
      <c r="D158" s="17" t="inlineStr">
        <is>
          <t>POULTRY</t>
        </is>
      </c>
      <c r="E158" s="17" t="inlineStr">
        <is>
          <t>MEDIUM</t>
        </is>
      </c>
      <c r="F158" s="17" t="inlineStr">
        <is>
          <t>TRUNG BÌNH</t>
        </is>
      </c>
      <c r="G158" s="18" t="inlineStr">
        <is>
          <t>RISK_MEDIUM · LARGE_SERIES</t>
        </is>
      </c>
      <c r="H158" s="19" t="n">
        <v>11405.85372353516</v>
      </c>
      <c r="I158" s="19" t="n">
        <v>13956.04791259766</v>
      </c>
      <c r="J158" s="19" t="n">
        <v>17627.63650341797</v>
      </c>
      <c r="K158" s="19" t="n">
        <v>13956.04791259766</v>
      </c>
      <c r="L158" s="19" t="n">
        <v>16250.79078186035</v>
      </c>
      <c r="M158" s="19" t="n">
        <v>17627.63650341797</v>
      </c>
      <c r="N158" s="17" t="inlineStr">
        <is>
          <t>C</t>
        </is>
      </c>
      <c r="O158" s="19" t="n">
        <v>6462.798173339843</v>
      </c>
      <c r="P158" s="18" t="inlineStr">
        <is>
          <t>KHÔNG ĐỀ XUẤT TĂNG</t>
        </is>
      </c>
      <c r="Q158" s="17" t="inlineStr">
        <is>
          <t>Không</t>
        </is>
      </c>
      <c r="R158" s="20" t="n"/>
      <c r="S158" s="20" t="n"/>
      <c r="T158" s="21" t="n"/>
      <c r="U158" s="21" t="n"/>
      <c r="V158" s="22">
        <f>IF(U158="A",K158,IF(U158="B",L158,IF(U158="C",M158,IF(N158="A",K158,IF(N158="B",L158,M158)))))</f>
        <v/>
      </c>
      <c r="W158" s="22">
        <f>IF(R158="",O158,MAX(V158-R158-N(S158),0))</f>
        <v/>
      </c>
      <c r="X158" s="20" t="n"/>
      <c r="Y158" s="23">
        <f>IF(OR(X158="",W158=0),"",X158/W158-1)</f>
        <v/>
      </c>
      <c r="Z158" s="24" t="n"/>
      <c r="AA158" s="21" t="n"/>
      <c r="AB158" s="25" t="n"/>
      <c r="AC158" s="26">
        <f>IF(T158="","Chưa quyết định",IF(OR(Z158="",AA158=""),"⚠ Thiếu lý do/người duyệt",IF(AND(X158&lt;&gt;"",N(X158)+N(R158)+N(S158)&gt;M158*1.001,R158&lt;&gt;""),"⚠ Vượt mục tiêu P90",IF(AND(Y158&lt;&gt;"",ABS(N(Y158))&gt;0.3),"⚠ Lệch &gt; 30% so với nhu cầu",IF(Q158="Có","ℹ Kiểm tra ngoại suy KM","✓ Hợp lệ")))))</f>
        <v/>
      </c>
    </row>
    <row r="159">
      <c r="A159" s="16" t="n">
        <v>155</v>
      </c>
      <c r="B159" s="17" t="inlineStr">
        <is>
          <t>DEC-S46-POULTRY</t>
        </is>
      </c>
      <c r="C159" s="16" t="n">
        <v>46</v>
      </c>
      <c r="D159" s="17" t="inlineStr">
        <is>
          <t>POULTRY</t>
        </is>
      </c>
      <c r="E159" s="17" t="inlineStr">
        <is>
          <t>MEDIUM</t>
        </is>
      </c>
      <c r="F159" s="17" t="inlineStr">
        <is>
          <t>TRUNG BÌNH</t>
        </is>
      </c>
      <c r="G159" s="18" t="inlineStr">
        <is>
          <t>RISK_MEDIUM · LARGE_SERIES</t>
        </is>
      </c>
      <c r="H159" s="19" t="n">
        <v>11306.70449257812</v>
      </c>
      <c r="I159" s="19" t="n">
        <v>13856.89868164062</v>
      </c>
      <c r="J159" s="19" t="n">
        <v>17528.48727246094</v>
      </c>
      <c r="K159" s="19" t="n">
        <v>13856.89868164062</v>
      </c>
      <c r="L159" s="19" t="n">
        <v>16151.64155090332</v>
      </c>
      <c r="M159" s="19" t="n">
        <v>17528.48727246094</v>
      </c>
      <c r="N159" s="17" t="inlineStr">
        <is>
          <t>C</t>
        </is>
      </c>
      <c r="O159" s="19" t="n">
        <v>6442.968327148437</v>
      </c>
      <c r="P159" s="18" t="inlineStr">
        <is>
          <t>KHÔNG ĐỀ XUẤT TĂNG</t>
        </is>
      </c>
      <c r="Q159" s="17" t="inlineStr">
        <is>
          <t>Không</t>
        </is>
      </c>
      <c r="R159" s="20" t="n"/>
      <c r="S159" s="20" t="n"/>
      <c r="T159" s="21" t="n"/>
      <c r="U159" s="21" t="n"/>
      <c r="V159" s="22">
        <f>IF(U159="A",K159,IF(U159="B",L159,IF(U159="C",M159,IF(N159="A",K159,IF(N159="B",L159,M159)))))</f>
        <v/>
      </c>
      <c r="W159" s="22">
        <f>IF(R159="",O159,MAX(V159-R159-N(S159),0))</f>
        <v/>
      </c>
      <c r="X159" s="20" t="n"/>
      <c r="Y159" s="23">
        <f>IF(OR(X159="",W159=0),"",X159/W159-1)</f>
        <v/>
      </c>
      <c r="Z159" s="24" t="n"/>
      <c r="AA159" s="21" t="n"/>
      <c r="AB159" s="25" t="n"/>
      <c r="AC159" s="26">
        <f>IF(T159="","Chưa quyết định",IF(OR(Z159="",AA159=""),"⚠ Thiếu lý do/người duyệt",IF(AND(X159&lt;&gt;"",N(X159)+N(R159)+N(S159)&gt;M159*1.001,R159&lt;&gt;""),"⚠ Vượt mục tiêu P90",IF(AND(Y159&lt;&gt;"",ABS(N(Y159))&gt;0.3),"⚠ Lệch &gt; 30% so với nhu cầu",IF(Q159="Có","ℹ Kiểm tra ngoại suy KM","✓ Hợp lệ")))))</f>
        <v/>
      </c>
    </row>
    <row r="160">
      <c r="A160" s="16" t="n">
        <v>156</v>
      </c>
      <c r="B160" s="17" t="inlineStr">
        <is>
          <t>DEC-S48-BREAD_BAKERY</t>
        </is>
      </c>
      <c r="C160" s="16" t="n">
        <v>48</v>
      </c>
      <c r="D160" s="17" t="inlineStr">
        <is>
          <t>BREAD/BAKERY</t>
        </is>
      </c>
      <c r="E160" s="17" t="inlineStr">
        <is>
          <t>MEDIUM</t>
        </is>
      </c>
      <c r="F160" s="17" t="inlineStr">
        <is>
          <t>TRUNG BÌNH</t>
        </is>
      </c>
      <c r="G160" s="18" t="inlineStr">
        <is>
          <t>RISK_MEDIUM · LARGE_SERIES</t>
        </is>
      </c>
      <c r="H160" s="19" t="n">
        <v>11537.90351582031</v>
      </c>
      <c r="I160" s="19" t="n">
        <v>13793.13049316406</v>
      </c>
      <c r="J160" s="19" t="n">
        <v>16860.14365966797</v>
      </c>
      <c r="K160" s="19" t="n">
        <v>13793.13049316406</v>
      </c>
      <c r="L160" s="19" t="n">
        <v>15710.013722229</v>
      </c>
      <c r="M160" s="19" t="n">
        <v>16860.14365966797</v>
      </c>
      <c r="N160" s="17" t="inlineStr">
        <is>
          <t>C</t>
        </is>
      </c>
      <c r="O160" s="19" t="n">
        <v>5825.639265136717</v>
      </c>
      <c r="P160" s="18" t="inlineStr">
        <is>
          <t>KHÔNG ĐỀ XUẤT TĂNG</t>
        </is>
      </c>
      <c r="Q160" s="17" t="inlineStr">
        <is>
          <t>Không</t>
        </is>
      </c>
      <c r="R160" s="20" t="n"/>
      <c r="S160" s="20" t="n"/>
      <c r="T160" s="21" t="n"/>
      <c r="U160" s="21" t="n"/>
      <c r="V160" s="22">
        <f>IF(U160="A",K160,IF(U160="B",L160,IF(U160="C",M160,IF(N160="A",K160,IF(N160="B",L160,M160)))))</f>
        <v/>
      </c>
      <c r="W160" s="22">
        <f>IF(R160="",O160,MAX(V160-R160-N(S160),0))</f>
        <v/>
      </c>
      <c r="X160" s="20" t="n"/>
      <c r="Y160" s="23">
        <f>IF(OR(X160="",W160=0),"",X160/W160-1)</f>
        <v/>
      </c>
      <c r="Z160" s="24" t="n"/>
      <c r="AA160" s="21" t="n"/>
      <c r="AB160" s="25" t="n"/>
      <c r="AC160" s="26">
        <f>IF(T160="","Chưa quyết định",IF(OR(Z160="",AA160=""),"⚠ Thiếu lý do/người duyệt",IF(AND(X160&lt;&gt;"",N(X160)+N(R160)+N(S160)&gt;M160*1.001,R160&lt;&gt;""),"⚠ Vượt mục tiêu P90",IF(AND(Y160&lt;&gt;"",ABS(N(Y160))&gt;0.3),"⚠ Lệch &gt; 30% so với nhu cầu",IF(Q160="Có","ℹ Kiểm tra ngoại suy KM","✓ Hợp lệ")))))</f>
        <v/>
      </c>
    </row>
    <row r="161">
      <c r="A161" s="16" t="n">
        <v>157</v>
      </c>
      <c r="B161" s="17" t="inlineStr">
        <is>
          <t>DEC-S20-DAIRY</t>
        </is>
      </c>
      <c r="C161" s="16" t="n">
        <v>20</v>
      </c>
      <c r="D161" s="17" t="inlineStr">
        <is>
          <t>DAIRY</t>
        </is>
      </c>
      <c r="E161" s="17" t="inlineStr">
        <is>
          <t>MEDIUM</t>
        </is>
      </c>
      <c r="F161" s="17" t="inlineStr">
        <is>
          <t>TRUNG BÌNH</t>
        </is>
      </c>
      <c r="G161" s="18" t="inlineStr">
        <is>
          <t>RISK_MEDIUM · LARGE_SERIES</t>
        </is>
      </c>
      <c r="H161" s="19" t="n">
        <v>11427.17475605469</v>
      </c>
      <c r="I161" s="19" t="n">
        <v>13682.40173339844</v>
      </c>
      <c r="J161" s="19" t="n">
        <v>16749.41489990234</v>
      </c>
      <c r="K161" s="19" t="n">
        <v>13682.40173339844</v>
      </c>
      <c r="L161" s="19" t="n">
        <v>15599.28496246338</v>
      </c>
      <c r="M161" s="19" t="n">
        <v>16749.41489990234</v>
      </c>
      <c r="N161" s="17" t="inlineStr">
        <is>
          <t>C</t>
        </is>
      </c>
      <c r="O161" s="19" t="n">
        <v>5803.493513183592</v>
      </c>
      <c r="P161" s="18" t="inlineStr">
        <is>
          <t>KHÔNG ĐỀ XUẤT TĂNG</t>
        </is>
      </c>
      <c r="Q161" s="17" t="inlineStr">
        <is>
          <t>Không</t>
        </is>
      </c>
      <c r="R161" s="20" t="n"/>
      <c r="S161" s="20" t="n"/>
      <c r="T161" s="21" t="n"/>
      <c r="U161" s="21" t="n"/>
      <c r="V161" s="22">
        <f>IF(U161="A",K161,IF(U161="B",L161,IF(U161="C",M161,IF(N161="A",K161,IF(N161="B",L161,M161)))))</f>
        <v/>
      </c>
      <c r="W161" s="22">
        <f>IF(R161="",O161,MAX(V161-R161-N(S161),0))</f>
        <v/>
      </c>
      <c r="X161" s="20" t="n"/>
      <c r="Y161" s="23">
        <f>IF(OR(X161="",W161=0),"",X161/W161-1)</f>
        <v/>
      </c>
      <c r="Z161" s="24" t="n"/>
      <c r="AA161" s="21" t="n"/>
      <c r="AB161" s="25" t="n"/>
      <c r="AC161" s="26">
        <f>IF(T161="","Chưa quyết định",IF(OR(Z161="",AA161=""),"⚠ Thiếu lý do/người duyệt",IF(AND(X161&lt;&gt;"",N(X161)+N(R161)+N(S161)&gt;M161*1.001,R161&lt;&gt;""),"⚠ Vượt mục tiêu P90",IF(AND(Y161&lt;&gt;"",ABS(N(Y161))&gt;0.3),"⚠ Lệch &gt; 30% so với nhu cầu",IF(Q161="Có","ℹ Kiểm tra ngoại suy KM","✓ Hợp lệ")))))</f>
        <v/>
      </c>
    </row>
    <row r="162">
      <c r="A162" s="16" t="n">
        <v>158</v>
      </c>
      <c r="B162" s="17" t="inlineStr">
        <is>
          <t>DEC-S46-DELI</t>
        </is>
      </c>
      <c r="C162" s="16" t="n">
        <v>46</v>
      </c>
      <c r="D162" s="17" t="inlineStr">
        <is>
          <t>DELI</t>
        </is>
      </c>
      <c r="E162" s="17" t="inlineStr">
        <is>
          <t>MEDIUM</t>
        </is>
      </c>
      <c r="F162" s="17" t="inlineStr">
        <is>
          <t>TRUNG BÌNH</t>
        </is>
      </c>
      <c r="G162" s="18" t="inlineStr">
        <is>
          <t>RISK_MEDIUM · LARGE_SERIES</t>
        </is>
      </c>
      <c r="H162" s="19" t="n">
        <v>11309.47083759766</v>
      </c>
      <c r="I162" s="19" t="n">
        <v>13564.69781494141</v>
      </c>
      <c r="J162" s="19" t="n">
        <v>16631.71098144531</v>
      </c>
      <c r="K162" s="19" t="n">
        <v>13564.69781494141</v>
      </c>
      <c r="L162" s="19" t="n">
        <v>15481.58104400635</v>
      </c>
      <c r="M162" s="19" t="n">
        <v>16631.71098144531</v>
      </c>
      <c r="N162" s="17" t="inlineStr">
        <is>
          <t>C</t>
        </is>
      </c>
      <c r="O162" s="19" t="n">
        <v>5779.952729492185</v>
      </c>
      <c r="P162" s="18" t="inlineStr">
        <is>
          <t>KHÔNG ĐỀ XUẤT TĂNG</t>
        </is>
      </c>
      <c r="Q162" s="17" t="inlineStr">
        <is>
          <t>Không</t>
        </is>
      </c>
      <c r="R162" s="20" t="n"/>
      <c r="S162" s="20" t="n"/>
      <c r="T162" s="21" t="n"/>
      <c r="U162" s="21" t="n"/>
      <c r="V162" s="22">
        <f>IF(U162="A",K162,IF(U162="B",L162,IF(U162="C",M162,IF(N162="A",K162,IF(N162="B",L162,M162)))))</f>
        <v/>
      </c>
      <c r="W162" s="22">
        <f>IF(R162="",O162,MAX(V162-R162-N(S162),0))</f>
        <v/>
      </c>
      <c r="X162" s="20" t="n"/>
      <c r="Y162" s="23">
        <f>IF(OR(X162="",W162=0),"",X162/W162-1)</f>
        <v/>
      </c>
      <c r="Z162" s="24" t="n"/>
      <c r="AA162" s="21" t="n"/>
      <c r="AB162" s="25" t="n"/>
      <c r="AC162" s="26">
        <f>IF(T162="","Chưa quyết định",IF(OR(Z162="",AA162=""),"⚠ Thiếu lý do/người duyệt",IF(AND(X162&lt;&gt;"",N(X162)+N(R162)+N(S162)&gt;M162*1.001,R162&lt;&gt;""),"⚠ Vượt mục tiêu P90",IF(AND(Y162&lt;&gt;"",ABS(N(Y162))&gt;0.3),"⚠ Lệch &gt; 30% so với nhu cầu",IF(Q162="Có","ℹ Kiểm tra ngoại suy KM","✓ Hợp lệ")))))</f>
        <v/>
      </c>
    </row>
    <row r="163">
      <c r="A163" s="16" t="n">
        <v>159</v>
      </c>
      <c r="B163" s="17" t="inlineStr">
        <is>
          <t>DEC-S04-DAIRY</t>
        </is>
      </c>
      <c r="C163" s="16" t="n">
        <v>4</v>
      </c>
      <c r="D163" s="17" t="inlineStr">
        <is>
          <t>DAIRY</t>
        </is>
      </c>
      <c r="E163" s="17" t="inlineStr">
        <is>
          <t>MEDIUM</t>
        </is>
      </c>
      <c r="F163" s="17" t="inlineStr">
        <is>
          <t>TRUNG BÌNH</t>
        </is>
      </c>
      <c r="G163" s="18" t="inlineStr">
        <is>
          <t>RISK_MEDIUM · LARGE_SERIES</t>
        </is>
      </c>
      <c r="H163" s="19" t="n">
        <v>11102.999096875</v>
      </c>
      <c r="I163" s="19" t="n">
        <v>13358.22607421875</v>
      </c>
      <c r="J163" s="19" t="n">
        <v>16425.23924072265</v>
      </c>
      <c r="K163" s="19" t="n">
        <v>13358.22607421875</v>
      </c>
      <c r="L163" s="19" t="n">
        <v>15275.10930328369</v>
      </c>
      <c r="M163" s="19" t="n">
        <v>16425.23924072265</v>
      </c>
      <c r="N163" s="17" t="inlineStr">
        <is>
          <t>C</t>
        </is>
      </c>
      <c r="O163" s="19" t="n">
        <v>5738.658381347654</v>
      </c>
      <c r="P163" s="18" t="inlineStr">
        <is>
          <t>KHÔNG ĐỀ XUẤT TĂNG</t>
        </is>
      </c>
      <c r="Q163" s="17" t="inlineStr">
        <is>
          <t>Không</t>
        </is>
      </c>
      <c r="R163" s="20" t="n"/>
      <c r="S163" s="20" t="n"/>
      <c r="T163" s="21" t="n"/>
      <c r="U163" s="21" t="n"/>
      <c r="V163" s="22">
        <f>IF(U163="A",K163,IF(U163="B",L163,IF(U163="C",M163,IF(N163="A",K163,IF(N163="B",L163,M163)))))</f>
        <v/>
      </c>
      <c r="W163" s="22">
        <f>IF(R163="",O163,MAX(V163-R163-N(S163),0))</f>
        <v/>
      </c>
      <c r="X163" s="20" t="n"/>
      <c r="Y163" s="23">
        <f>IF(OR(X163="",W163=0),"",X163/W163-1)</f>
        <v/>
      </c>
      <c r="Z163" s="24" t="n"/>
      <c r="AA163" s="21" t="n"/>
      <c r="AB163" s="25" t="n"/>
      <c r="AC163" s="26">
        <f>IF(T163="","Chưa quyết định",IF(OR(Z163="",AA163=""),"⚠ Thiếu lý do/người duyệt",IF(AND(X163&lt;&gt;"",N(X163)+N(R163)+N(S163)&gt;M163*1.001,R163&lt;&gt;""),"⚠ Vượt mục tiêu P90",IF(AND(Y163&lt;&gt;"",ABS(N(Y163))&gt;0.3),"⚠ Lệch &gt; 30% so với nhu cầu",IF(Q163="Có","ℹ Kiểm tra ngoại suy KM","✓ Hợp lệ")))))</f>
        <v/>
      </c>
    </row>
    <row r="164">
      <c r="A164" s="16" t="n">
        <v>160</v>
      </c>
      <c r="B164" s="17" t="inlineStr">
        <is>
          <t>DEC-S29-DAIRY</t>
        </is>
      </c>
      <c r="C164" s="16" t="n">
        <v>29</v>
      </c>
      <c r="D164" s="17" t="inlineStr">
        <is>
          <t>DAIRY</t>
        </is>
      </c>
      <c r="E164" s="17" t="inlineStr">
        <is>
          <t>MEDIUM</t>
        </is>
      </c>
      <c r="F164" s="17" t="inlineStr">
        <is>
          <t>TRUNG BÌNH</t>
        </is>
      </c>
      <c r="G164" s="18" t="inlineStr">
        <is>
          <t>RISK_MEDIUM · LARGE_SERIES</t>
        </is>
      </c>
      <c r="H164" s="19" t="n">
        <v>10901.0288209961</v>
      </c>
      <c r="I164" s="19" t="n">
        <v>13156.25579833984</v>
      </c>
      <c r="J164" s="19" t="n">
        <v>16223.26896484375</v>
      </c>
      <c r="K164" s="19" t="n">
        <v>13156.25579833984</v>
      </c>
      <c r="L164" s="19" t="n">
        <v>15073.13902740478</v>
      </c>
      <c r="M164" s="19" t="n">
        <v>16223.26896484375</v>
      </c>
      <c r="N164" s="17" t="inlineStr">
        <is>
          <t>C</t>
        </is>
      </c>
      <c r="O164" s="19" t="n">
        <v>5698.264326171873</v>
      </c>
      <c r="P164" s="18" t="inlineStr">
        <is>
          <t>KHÔNG ĐỀ XUẤT TĂNG</t>
        </is>
      </c>
      <c r="Q164" s="17" t="inlineStr">
        <is>
          <t>Không</t>
        </is>
      </c>
      <c r="R164" s="20" t="n"/>
      <c r="S164" s="20" t="n"/>
      <c r="T164" s="21" t="n"/>
      <c r="U164" s="21" t="n"/>
      <c r="V164" s="22">
        <f>IF(U164="A",K164,IF(U164="B",L164,IF(U164="C",M164,IF(N164="A",K164,IF(N164="B",L164,M164)))))</f>
        <v/>
      </c>
      <c r="W164" s="22">
        <f>IF(R164="",O164,MAX(V164-R164-N(S164),0))</f>
        <v/>
      </c>
      <c r="X164" s="20" t="n"/>
      <c r="Y164" s="23">
        <f>IF(OR(X164="",W164=0),"",X164/W164-1)</f>
        <v/>
      </c>
      <c r="Z164" s="24" t="n"/>
      <c r="AA164" s="21" t="n"/>
      <c r="AB164" s="25" t="n"/>
      <c r="AC164" s="26">
        <f>IF(T164="","Chưa quyết định",IF(OR(Z164="",AA164=""),"⚠ Thiếu lý do/người duyệt",IF(AND(X164&lt;&gt;"",N(X164)+N(R164)+N(S164)&gt;M164*1.001,R164&lt;&gt;""),"⚠ Vượt mục tiêu P90",IF(AND(Y164&lt;&gt;"",ABS(N(Y164))&gt;0.3),"⚠ Lệch &gt; 30% so với nhu cầu",IF(Q164="Có","ℹ Kiểm tra ngoại suy KM","✓ Hợp lệ")))))</f>
        <v/>
      </c>
    </row>
    <row r="165">
      <c r="A165" s="16" t="n">
        <v>161</v>
      </c>
      <c r="B165" s="17" t="inlineStr">
        <is>
          <t>DEC-S03-MEATS</t>
        </is>
      </c>
      <c r="C165" s="16" t="n">
        <v>3</v>
      </c>
      <c r="D165" s="17" t="inlineStr">
        <is>
          <t>MEATS</t>
        </is>
      </c>
      <c r="E165" s="17" t="inlineStr">
        <is>
          <t>MEDIUM</t>
        </is>
      </c>
      <c r="F165" s="17" t="inlineStr">
        <is>
          <t>TRUNG BÌNH</t>
        </is>
      </c>
      <c r="G165" s="18" t="inlineStr">
        <is>
          <t>RISK_MEDIUM · LARGE_SERIES</t>
        </is>
      </c>
      <c r="H165" s="19" t="n">
        <v>10453.51937294922</v>
      </c>
      <c r="I165" s="19" t="n">
        <v>13003.71356201172</v>
      </c>
      <c r="J165" s="19" t="n">
        <v>16675.30215283203</v>
      </c>
      <c r="K165" s="19" t="n">
        <v>13003.71356201172</v>
      </c>
      <c r="L165" s="19" t="n">
        <v>15298.45643127442</v>
      </c>
      <c r="M165" s="19" t="n">
        <v>16675.30215283203</v>
      </c>
      <c r="N165" s="17" t="inlineStr">
        <is>
          <t>C</t>
        </is>
      </c>
      <c r="O165" s="19" t="n">
        <v>6272.331303222656</v>
      </c>
      <c r="P165" s="18" t="inlineStr">
        <is>
          <t>KHÔNG ĐỀ XUẤT TĂNG</t>
        </is>
      </c>
      <c r="Q165" s="17" t="inlineStr">
        <is>
          <t>Không</t>
        </is>
      </c>
      <c r="R165" s="20" t="n"/>
      <c r="S165" s="20" t="n"/>
      <c r="T165" s="21" t="n"/>
      <c r="U165" s="21" t="n"/>
      <c r="V165" s="22">
        <f>IF(U165="A",K165,IF(U165="B",L165,IF(U165="C",M165,IF(N165="A",K165,IF(N165="B",L165,M165)))))</f>
        <v/>
      </c>
      <c r="W165" s="22">
        <f>IF(R165="",O165,MAX(V165-R165-N(S165),0))</f>
        <v/>
      </c>
      <c r="X165" s="20" t="n"/>
      <c r="Y165" s="23">
        <f>IF(OR(X165="",W165=0),"",X165/W165-1)</f>
        <v/>
      </c>
      <c r="Z165" s="24" t="n"/>
      <c r="AA165" s="21" t="n"/>
      <c r="AB165" s="25" t="n"/>
      <c r="AC165" s="26">
        <f>IF(T165="","Chưa quyết định",IF(OR(Z165="",AA165=""),"⚠ Thiếu lý do/người duyệt",IF(AND(X165&lt;&gt;"",N(X165)+N(R165)+N(S165)&gt;M165*1.001,R165&lt;&gt;""),"⚠ Vượt mục tiêu P90",IF(AND(Y165&lt;&gt;"",ABS(N(Y165))&gt;0.3),"⚠ Lệch &gt; 30% so với nhu cầu",IF(Q165="Có","ℹ Kiểm tra ngoại suy KM","✓ Hợp lệ")))))</f>
        <v/>
      </c>
    </row>
    <row r="166">
      <c r="A166" s="16" t="n">
        <v>162</v>
      </c>
      <c r="B166" s="17" t="inlineStr">
        <is>
          <t>DEC-S41-DAIRY</t>
        </is>
      </c>
      <c r="C166" s="16" t="n">
        <v>41</v>
      </c>
      <c r="D166" s="17" t="inlineStr">
        <is>
          <t>DAIRY</t>
        </is>
      </c>
      <c r="E166" s="17" t="inlineStr">
        <is>
          <t>MEDIUM</t>
        </is>
      </c>
      <c r="F166" s="17" t="inlineStr">
        <is>
          <t>TRUNG BÌNH</t>
        </is>
      </c>
      <c r="G166" s="18" t="inlineStr">
        <is>
          <t>RISK_MEDIUM · LARGE_SERIES</t>
        </is>
      </c>
      <c r="H166" s="19" t="n">
        <v>10578.56776142578</v>
      </c>
      <c r="I166" s="19" t="n">
        <v>12833.79473876953</v>
      </c>
      <c r="J166" s="19" t="n">
        <v>15900.80790527344</v>
      </c>
      <c r="K166" s="19" t="n">
        <v>12833.79473876953</v>
      </c>
      <c r="L166" s="19" t="n">
        <v>14750.67796783447</v>
      </c>
      <c r="M166" s="19" t="n">
        <v>15900.80790527344</v>
      </c>
      <c r="N166" s="17" t="inlineStr">
        <is>
          <t>C</t>
        </is>
      </c>
      <c r="O166" s="19" t="n">
        <v>5633.772114257812</v>
      </c>
      <c r="P166" s="18" t="inlineStr">
        <is>
          <t>KHÔNG ĐỀ XUẤT TĂNG</t>
        </is>
      </c>
      <c r="Q166" s="17" t="inlineStr">
        <is>
          <t>Không</t>
        </is>
      </c>
      <c r="R166" s="20" t="n"/>
      <c r="S166" s="20" t="n"/>
      <c r="T166" s="21" t="n"/>
      <c r="U166" s="21" t="n"/>
      <c r="V166" s="22">
        <f>IF(U166="A",K166,IF(U166="B",L166,IF(U166="C",M166,IF(N166="A",K166,IF(N166="B",L166,M166)))))</f>
        <v/>
      </c>
      <c r="W166" s="22">
        <f>IF(R166="",O166,MAX(V166-R166-N(S166),0))</f>
        <v/>
      </c>
      <c r="X166" s="20" t="n"/>
      <c r="Y166" s="23">
        <f>IF(OR(X166="",W166=0),"",X166/W166-1)</f>
        <v/>
      </c>
      <c r="Z166" s="24" t="n"/>
      <c r="AA166" s="21" t="n"/>
      <c r="AB166" s="25" t="n"/>
      <c r="AC166" s="26">
        <f>IF(T166="","Chưa quyết định",IF(OR(Z166="",AA166=""),"⚠ Thiếu lý do/người duyệt",IF(AND(X166&lt;&gt;"",N(X166)+N(R166)+N(S166)&gt;M166*1.001,R166&lt;&gt;""),"⚠ Vượt mục tiêu P90",IF(AND(Y166&lt;&gt;"",ABS(N(Y166))&gt;0.3),"⚠ Lệch &gt; 30% so với nhu cầu",IF(Q166="Có","ℹ Kiểm tra ngoại suy KM","✓ Hợp lệ")))))</f>
        <v/>
      </c>
    </row>
    <row r="167">
      <c r="A167" s="16" t="n">
        <v>163</v>
      </c>
      <c r="B167" s="17" t="inlineStr">
        <is>
          <t>DEC-S46-PERSONAL_CARE</t>
        </is>
      </c>
      <c r="C167" s="16" t="n">
        <v>46</v>
      </c>
      <c r="D167" s="17" t="inlineStr">
        <is>
          <t>PERSONAL CARE</t>
        </is>
      </c>
      <c r="E167" s="17" t="inlineStr">
        <is>
          <t>MEDIUM</t>
        </is>
      </c>
      <c r="F167" s="17" t="inlineStr">
        <is>
          <t>TRUNG BÌNH</t>
        </is>
      </c>
      <c r="G167" s="18" t="inlineStr">
        <is>
          <t>RISK_MEDIUM · LARGE_SERIES</t>
        </is>
      </c>
      <c r="H167" s="19" t="n">
        <v>10574.68656635742</v>
      </c>
      <c r="I167" s="19" t="n">
        <v>12829.91354370117</v>
      </c>
      <c r="J167" s="19" t="n">
        <v>15896.92671020508</v>
      </c>
      <c r="K167" s="19" t="n">
        <v>12829.91354370117</v>
      </c>
      <c r="L167" s="19" t="n">
        <v>14746.79677276611</v>
      </c>
      <c r="M167" s="19" t="n">
        <v>15896.92671020508</v>
      </c>
      <c r="N167" s="17" t="inlineStr">
        <is>
          <t>C</t>
        </is>
      </c>
      <c r="O167" s="19" t="n">
        <v>5632.99587524414</v>
      </c>
      <c r="P167" s="18" t="inlineStr">
        <is>
          <t>KHÔNG ĐỀ XUẤT TĂNG</t>
        </is>
      </c>
      <c r="Q167" s="17" t="inlineStr">
        <is>
          <t>Không</t>
        </is>
      </c>
      <c r="R167" s="20" t="n"/>
      <c r="S167" s="20" t="n"/>
      <c r="T167" s="21" t="n"/>
      <c r="U167" s="21" t="n"/>
      <c r="V167" s="22">
        <f>IF(U167="A",K167,IF(U167="B",L167,IF(U167="C",M167,IF(N167="A",K167,IF(N167="B",L167,M167)))))</f>
        <v/>
      </c>
      <c r="W167" s="22">
        <f>IF(R167="",O167,MAX(V167-R167-N(S167),0))</f>
        <v/>
      </c>
      <c r="X167" s="20" t="n"/>
      <c r="Y167" s="23">
        <f>IF(OR(X167="",W167=0),"",X167/W167-1)</f>
        <v/>
      </c>
      <c r="Z167" s="24" t="n"/>
      <c r="AA167" s="21" t="n"/>
      <c r="AB167" s="25" t="n"/>
      <c r="AC167" s="26">
        <f>IF(T167="","Chưa quyết định",IF(OR(Z167="",AA167=""),"⚠ Thiếu lý do/người duyệt",IF(AND(X167&lt;&gt;"",N(X167)+N(R167)+N(S167)&gt;M167*1.001,R167&lt;&gt;""),"⚠ Vượt mục tiêu P90",IF(AND(Y167&lt;&gt;"",ABS(N(Y167))&gt;0.3),"⚠ Lệch &gt; 30% so với nhu cầu",IF(Q167="Có","ℹ Kiểm tra ngoại suy KM","✓ Hợp lệ")))))</f>
        <v/>
      </c>
    </row>
    <row r="168">
      <c r="A168" s="16" t="n">
        <v>164</v>
      </c>
      <c r="B168" s="17" t="inlineStr">
        <is>
          <t>DEC-S34-PRODUCE</t>
        </is>
      </c>
      <c r="C168" s="16" t="n">
        <v>34</v>
      </c>
      <c r="D168" s="17" t="inlineStr">
        <is>
          <t>PRODUCE</t>
        </is>
      </c>
      <c r="E168" s="17" t="inlineStr">
        <is>
          <t>MEDIUM</t>
        </is>
      </c>
      <c r="F168" s="17" t="inlineStr">
        <is>
          <t>TRUNG BÌNH</t>
        </is>
      </c>
      <c r="G168" s="18" t="inlineStr">
        <is>
          <t>RISK_MEDIUM · LARGE_SERIES</t>
        </is>
      </c>
      <c r="H168" s="19" t="n">
        <v>10268.47542763672</v>
      </c>
      <c r="I168" s="19" t="n">
        <v>12818.66961669922</v>
      </c>
      <c r="J168" s="19" t="n">
        <v>16490.25820751953</v>
      </c>
      <c r="K168" s="19" t="n">
        <v>12818.66961669922</v>
      </c>
      <c r="L168" s="19" t="n">
        <v>15113.41248596192</v>
      </c>
      <c r="M168" s="19" t="n">
        <v>16490.25820751953</v>
      </c>
      <c r="N168" s="17" t="inlineStr">
        <is>
          <t>C</t>
        </is>
      </c>
      <c r="O168" s="19" t="n">
        <v>6235.322514160156</v>
      </c>
      <c r="P168" s="18" t="inlineStr">
        <is>
          <t>KHÔNG ĐỀ XUẤT TĂNG</t>
        </is>
      </c>
      <c r="Q168" s="17" t="inlineStr">
        <is>
          <t>Không</t>
        </is>
      </c>
      <c r="R168" s="20" t="n"/>
      <c r="S168" s="20" t="n"/>
      <c r="T168" s="21" t="n"/>
      <c r="U168" s="21" t="n"/>
      <c r="V168" s="22">
        <f>IF(U168="A",K168,IF(U168="B",L168,IF(U168="C",M168,IF(N168="A",K168,IF(N168="B",L168,M168)))))</f>
        <v/>
      </c>
      <c r="W168" s="22">
        <f>IF(R168="",O168,MAX(V168-R168-N(S168),0))</f>
        <v/>
      </c>
      <c r="X168" s="20" t="n"/>
      <c r="Y168" s="23">
        <f>IF(OR(X168="",W168=0),"",X168/W168-1)</f>
        <v/>
      </c>
      <c r="Z168" s="24" t="n"/>
      <c r="AA168" s="21" t="n"/>
      <c r="AB168" s="25" t="n"/>
      <c r="AC168" s="26">
        <f>IF(T168="","Chưa quyết định",IF(OR(Z168="",AA168=""),"⚠ Thiếu lý do/người duyệt",IF(AND(X168&lt;&gt;"",N(X168)+N(R168)+N(S168)&gt;M168*1.001,R168&lt;&gt;""),"⚠ Vượt mục tiêu P90",IF(AND(Y168&lt;&gt;"",ABS(N(Y168))&gt;0.3),"⚠ Lệch &gt; 30% so với nhu cầu",IF(Q168="Có","ℹ Kiểm tra ngoại suy KM","✓ Hợp lệ")))))</f>
        <v/>
      </c>
    </row>
    <row r="169">
      <c r="A169" s="16" t="n">
        <v>165</v>
      </c>
      <c r="B169" s="17" t="inlineStr">
        <is>
          <t>DEC-S44-HOME_CARE</t>
        </is>
      </c>
      <c r="C169" s="16" t="n">
        <v>44</v>
      </c>
      <c r="D169" s="17" t="inlineStr">
        <is>
          <t>HOME CARE</t>
        </is>
      </c>
      <c r="E169" s="17" t="inlineStr">
        <is>
          <t>MEDIUM</t>
        </is>
      </c>
      <c r="F169" s="17" t="inlineStr">
        <is>
          <t>TRUNG BÌNH</t>
        </is>
      </c>
      <c r="G169" s="18" t="inlineStr">
        <is>
          <t>RISK_MEDIUM · LARGE_SERIES</t>
        </is>
      </c>
      <c r="H169" s="19" t="n">
        <v>10399.14832783203</v>
      </c>
      <c r="I169" s="19" t="n">
        <v>12654.37530517578</v>
      </c>
      <c r="J169" s="19" t="n">
        <v>15721.38847167969</v>
      </c>
      <c r="K169" s="19" t="n">
        <v>12654.37530517578</v>
      </c>
      <c r="L169" s="19" t="n">
        <v>14571.25853424072</v>
      </c>
      <c r="M169" s="19" t="n">
        <v>15721.38847167969</v>
      </c>
      <c r="N169" s="17" t="inlineStr">
        <is>
          <t>C</t>
        </is>
      </c>
      <c r="O169" s="19" t="n">
        <v>5597.888227539064</v>
      </c>
      <c r="P169" s="18" t="inlineStr">
        <is>
          <t>KHÔNG ĐỀ XUẤT TĂNG</t>
        </is>
      </c>
      <c r="Q169" s="17" t="inlineStr">
        <is>
          <t>Không</t>
        </is>
      </c>
      <c r="R169" s="20" t="n"/>
      <c r="S169" s="20" t="n"/>
      <c r="T169" s="21" t="n"/>
      <c r="U169" s="21" t="n"/>
      <c r="V169" s="22">
        <f>IF(U169="A",K169,IF(U169="B",L169,IF(U169="C",M169,IF(N169="A",K169,IF(N169="B",L169,M169)))))</f>
        <v/>
      </c>
      <c r="W169" s="22">
        <f>IF(R169="",O169,MAX(V169-R169-N(S169),0))</f>
        <v/>
      </c>
      <c r="X169" s="20" t="n"/>
      <c r="Y169" s="23">
        <f>IF(OR(X169="",W169=0),"",X169/W169-1)</f>
        <v/>
      </c>
      <c r="Z169" s="24" t="n"/>
      <c r="AA169" s="21" t="n"/>
      <c r="AB169" s="25" t="n"/>
      <c r="AC169" s="26">
        <f>IF(T169="","Chưa quyết định",IF(OR(Z169="",AA169=""),"⚠ Thiếu lý do/người duyệt",IF(AND(X169&lt;&gt;"",N(X169)+N(R169)+N(S169)&gt;M169*1.001,R169&lt;&gt;""),"⚠ Vượt mục tiêu P90",IF(AND(Y169&lt;&gt;"",ABS(N(Y169))&gt;0.3),"⚠ Lệch &gt; 30% so với nhu cầu",IF(Q169="Có","ℹ Kiểm tra ngoại suy KM","✓ Hợp lệ")))))</f>
        <v/>
      </c>
    </row>
    <row r="170">
      <c r="A170" s="16" t="n">
        <v>166</v>
      </c>
      <c r="B170" s="17" t="inlineStr">
        <is>
          <t>DEC-S48-PERSONAL_CARE</t>
        </is>
      </c>
      <c r="C170" s="16" t="n">
        <v>48</v>
      </c>
      <c r="D170" s="17" t="inlineStr">
        <is>
          <t>PERSONAL CARE</t>
        </is>
      </c>
      <c r="E170" s="17" t="inlineStr">
        <is>
          <t>MEDIUM</t>
        </is>
      </c>
      <c r="F170" s="17" t="inlineStr">
        <is>
          <t>TRUNG BÌNH</t>
        </is>
      </c>
      <c r="G170" s="18" t="inlineStr">
        <is>
          <t>RISK_MEDIUM · LARGE_SERIES</t>
        </is>
      </c>
      <c r="H170" s="19" t="n">
        <v>10241.87177753906</v>
      </c>
      <c r="I170" s="19" t="n">
        <v>12497.09875488281</v>
      </c>
      <c r="J170" s="19" t="n">
        <v>15564.11192138672</v>
      </c>
      <c r="K170" s="19" t="n">
        <v>12497.09875488281</v>
      </c>
      <c r="L170" s="19" t="n">
        <v>14413.98198394775</v>
      </c>
      <c r="M170" s="19" t="n">
        <v>15564.11192138672</v>
      </c>
      <c r="N170" s="17" t="inlineStr">
        <is>
          <t>C</t>
        </is>
      </c>
      <c r="O170" s="19" t="n">
        <v>5566.43291748047</v>
      </c>
      <c r="P170" s="18" t="inlineStr">
        <is>
          <t>KHÔNG ĐỀ XUẤT TĂNG</t>
        </is>
      </c>
      <c r="Q170" s="17" t="inlineStr">
        <is>
          <t>Không</t>
        </is>
      </c>
      <c r="R170" s="20" t="n"/>
      <c r="S170" s="20" t="n"/>
      <c r="T170" s="21" t="n"/>
      <c r="U170" s="21" t="n"/>
      <c r="V170" s="22">
        <f>IF(U170="A",K170,IF(U170="B",L170,IF(U170="C",M170,IF(N170="A",K170,IF(N170="B",L170,M170)))))</f>
        <v/>
      </c>
      <c r="W170" s="22">
        <f>IF(R170="",O170,MAX(V170-R170-N(S170),0))</f>
        <v/>
      </c>
      <c r="X170" s="20" t="n"/>
      <c r="Y170" s="23">
        <f>IF(OR(X170="",W170=0),"",X170/W170-1)</f>
        <v/>
      </c>
      <c r="Z170" s="24" t="n"/>
      <c r="AA170" s="21" t="n"/>
      <c r="AB170" s="25" t="n"/>
      <c r="AC170" s="26">
        <f>IF(T170="","Chưa quyết định",IF(OR(Z170="",AA170=""),"⚠ Thiếu lý do/người duyệt",IF(AND(X170&lt;&gt;"",N(X170)+N(R170)+N(S170)&gt;M170*1.001,R170&lt;&gt;""),"⚠ Vượt mục tiêu P90",IF(AND(Y170&lt;&gt;"",ABS(N(Y170))&gt;0.3),"⚠ Lệch &gt; 30% so với nhu cầu",IF(Q170="Có","ℹ Kiểm tra ngoại suy KM","✓ Hợp lệ")))))</f>
        <v/>
      </c>
    </row>
    <row r="171">
      <c r="A171" s="16" t="n">
        <v>167</v>
      </c>
      <c r="B171" s="17" t="inlineStr">
        <is>
          <t>DEC-S47-PERSONAL_CARE</t>
        </is>
      </c>
      <c r="C171" s="16" t="n">
        <v>47</v>
      </c>
      <c r="D171" s="17" t="inlineStr">
        <is>
          <t>PERSONAL CARE</t>
        </is>
      </c>
      <c r="E171" s="17" t="inlineStr">
        <is>
          <t>MEDIUM</t>
        </is>
      </c>
      <c r="F171" s="17" t="inlineStr">
        <is>
          <t>TRUNG BÌNH</t>
        </is>
      </c>
      <c r="G171" s="18" t="inlineStr">
        <is>
          <t>RISK_MEDIUM · LARGE_SERIES</t>
        </is>
      </c>
      <c r="H171" s="19" t="n">
        <v>10234.5337038086</v>
      </c>
      <c r="I171" s="19" t="n">
        <v>12489.76068115234</v>
      </c>
      <c r="J171" s="19" t="n">
        <v>15556.77384765625</v>
      </c>
      <c r="K171" s="19" t="n">
        <v>12489.76068115234</v>
      </c>
      <c r="L171" s="19" t="n">
        <v>14406.64391021728</v>
      </c>
      <c r="M171" s="19" t="n">
        <v>15556.77384765625</v>
      </c>
      <c r="N171" s="17" t="inlineStr">
        <is>
          <t>C</t>
        </is>
      </c>
      <c r="O171" s="19" t="n">
        <v>5564.965302734374</v>
      </c>
      <c r="P171" s="18" t="inlineStr">
        <is>
          <t>KHÔNG ĐỀ XUẤT TĂNG</t>
        </is>
      </c>
      <c r="Q171" s="17" t="inlineStr">
        <is>
          <t>Không</t>
        </is>
      </c>
      <c r="R171" s="20" t="n"/>
      <c r="S171" s="20" t="n"/>
      <c r="T171" s="21" t="n"/>
      <c r="U171" s="21" t="n"/>
      <c r="V171" s="22">
        <f>IF(U171="A",K171,IF(U171="B",L171,IF(U171="C",M171,IF(N171="A",K171,IF(N171="B",L171,M171)))))</f>
        <v/>
      </c>
      <c r="W171" s="22">
        <f>IF(R171="",O171,MAX(V171-R171-N(S171),0))</f>
        <v/>
      </c>
      <c r="X171" s="20" t="n"/>
      <c r="Y171" s="23">
        <f>IF(OR(X171="",W171=0),"",X171/W171-1)</f>
        <v/>
      </c>
      <c r="Z171" s="24" t="n"/>
      <c r="AA171" s="21" t="n"/>
      <c r="AB171" s="25" t="n"/>
      <c r="AC171" s="26">
        <f>IF(T171="","Chưa quyết định",IF(OR(Z171="",AA171=""),"⚠ Thiếu lý do/người duyệt",IF(AND(X171&lt;&gt;"",N(X171)+N(R171)+N(S171)&gt;M171*1.001,R171&lt;&gt;""),"⚠ Vượt mục tiêu P90",IF(AND(Y171&lt;&gt;"",ABS(N(Y171))&gt;0.3),"⚠ Lệch &gt; 30% so với nhu cầu",IF(Q171="Có","ℹ Kiểm tra ngoại suy KM","✓ Hợp lệ")))))</f>
        <v/>
      </c>
    </row>
    <row r="172">
      <c r="A172" s="16" t="n">
        <v>168</v>
      </c>
      <c r="B172" s="17" t="inlineStr">
        <is>
          <t>DEC-S45-DELI</t>
        </is>
      </c>
      <c r="C172" s="16" t="n">
        <v>45</v>
      </c>
      <c r="D172" s="17" t="inlineStr">
        <is>
          <t>DELI</t>
        </is>
      </c>
      <c r="E172" s="17" t="inlineStr">
        <is>
          <t>MEDIUM</t>
        </is>
      </c>
      <c r="F172" s="17" t="inlineStr">
        <is>
          <t>TRUNG BÌNH</t>
        </is>
      </c>
      <c r="G172" s="18" t="inlineStr">
        <is>
          <t>RISK_MEDIUM · LARGE_SERIES</t>
        </is>
      </c>
      <c r="H172" s="19" t="n">
        <v>10464.59130859375</v>
      </c>
      <c r="I172" s="19" t="n">
        <v>12424.85107421875</v>
      </c>
      <c r="J172" s="19" t="n">
        <v>14887.28881640625</v>
      </c>
      <c r="K172" s="19" t="n">
        <v>12424.85107421875</v>
      </c>
      <c r="L172" s="19" t="n">
        <v>13963.87466308594</v>
      </c>
      <c r="M172" s="19" t="n">
        <v>14887.28881640625</v>
      </c>
      <c r="N172" s="17" t="inlineStr">
        <is>
          <t>C</t>
        </is>
      </c>
      <c r="O172" s="19" t="n">
        <v>4947.40795703125</v>
      </c>
      <c r="P172" s="18" t="inlineStr">
        <is>
          <t>KHÔNG ĐỀ XUẤT TĂNG</t>
        </is>
      </c>
      <c r="Q172" s="17" t="inlineStr">
        <is>
          <t>Không</t>
        </is>
      </c>
      <c r="R172" s="20" t="n"/>
      <c r="S172" s="20" t="n"/>
      <c r="T172" s="21" t="n"/>
      <c r="U172" s="21" t="n"/>
      <c r="V172" s="22">
        <f>IF(U172="A",K172,IF(U172="B",L172,IF(U172="C",M172,IF(N172="A",K172,IF(N172="B",L172,M172)))))</f>
        <v/>
      </c>
      <c r="W172" s="22">
        <f>IF(R172="",O172,MAX(V172-R172-N(S172),0))</f>
        <v/>
      </c>
      <c r="X172" s="20" t="n"/>
      <c r="Y172" s="23">
        <f>IF(OR(X172="",W172=0),"",X172/W172-1)</f>
        <v/>
      </c>
      <c r="Z172" s="24" t="n"/>
      <c r="AA172" s="21" t="n"/>
      <c r="AB172" s="25" t="n"/>
      <c r="AC172" s="26">
        <f>IF(T172="","Chưa quyết định",IF(OR(Z172="",AA172=""),"⚠ Thiếu lý do/người duyệt",IF(AND(X172&lt;&gt;"",N(X172)+N(R172)+N(S172)&gt;M172*1.001,R172&lt;&gt;""),"⚠ Vượt mục tiêu P90",IF(AND(Y172&lt;&gt;"",ABS(N(Y172))&gt;0.3),"⚠ Lệch &gt; 30% so với nhu cầu",IF(Q172="Có","ℹ Kiểm tra ngoại suy KM","✓ Hợp lệ")))))</f>
        <v/>
      </c>
    </row>
    <row r="173">
      <c r="A173" s="16" t="n">
        <v>169</v>
      </c>
      <c r="B173" s="17" t="inlineStr">
        <is>
          <t>DEC-S31-DAIRY</t>
        </is>
      </c>
      <c r="C173" s="16" t="n">
        <v>31</v>
      </c>
      <c r="D173" s="17" t="inlineStr">
        <is>
          <t>DAIRY</t>
        </is>
      </c>
      <c r="E173" s="17" t="inlineStr">
        <is>
          <t>MEDIUM</t>
        </is>
      </c>
      <c r="F173" s="17" t="inlineStr">
        <is>
          <t>TRUNG BÌNH</t>
        </is>
      </c>
      <c r="G173" s="18" t="inlineStr">
        <is>
          <t>RISK_MEDIUM · LARGE_SERIES</t>
        </is>
      </c>
      <c r="H173" s="19" t="n">
        <v>10081.25452900391</v>
      </c>
      <c r="I173" s="19" t="n">
        <v>12336.48150634766</v>
      </c>
      <c r="J173" s="19" t="n">
        <v>15403.49467285156</v>
      </c>
      <c r="K173" s="19" t="n">
        <v>12336.48150634766</v>
      </c>
      <c r="L173" s="19" t="n">
        <v>14253.3647354126</v>
      </c>
      <c r="M173" s="19" t="n">
        <v>15403.49467285156</v>
      </c>
      <c r="N173" s="17" t="inlineStr">
        <is>
          <t>C</t>
        </is>
      </c>
      <c r="O173" s="19" t="n">
        <v>5534.309467773439</v>
      </c>
      <c r="P173" s="18" t="inlineStr">
        <is>
          <t>KHÔNG ĐỀ XUẤT TĂNG</t>
        </is>
      </c>
      <c r="Q173" s="17" t="inlineStr">
        <is>
          <t>Không</t>
        </is>
      </c>
      <c r="R173" s="20" t="n"/>
      <c r="S173" s="20" t="n"/>
      <c r="T173" s="21" t="n"/>
      <c r="U173" s="21" t="n"/>
      <c r="V173" s="22">
        <f>IF(U173="A",K173,IF(U173="B",L173,IF(U173="C",M173,IF(N173="A",K173,IF(N173="B",L173,M173)))))</f>
        <v/>
      </c>
      <c r="W173" s="22">
        <f>IF(R173="",O173,MAX(V173-R173-N(S173),0))</f>
        <v/>
      </c>
      <c r="X173" s="20" t="n"/>
      <c r="Y173" s="23">
        <f>IF(OR(X173="",W173=0),"",X173/W173-1)</f>
        <v/>
      </c>
      <c r="Z173" s="24" t="n"/>
      <c r="AA173" s="21" t="n"/>
      <c r="AB173" s="25" t="n"/>
      <c r="AC173" s="26">
        <f>IF(T173="","Chưa quyết định",IF(OR(Z173="",AA173=""),"⚠ Thiếu lý do/người duyệt",IF(AND(X173&lt;&gt;"",N(X173)+N(R173)+N(S173)&gt;M173*1.001,R173&lt;&gt;""),"⚠ Vượt mục tiêu P90",IF(AND(Y173&lt;&gt;"",ABS(N(Y173))&gt;0.3),"⚠ Lệch &gt; 30% so với nhu cầu",IF(Q173="Có","ℹ Kiểm tra ngoại suy KM","✓ Hợp lệ")))))</f>
        <v/>
      </c>
    </row>
    <row r="174">
      <c r="A174" s="16" t="n">
        <v>170</v>
      </c>
      <c r="B174" s="17" t="inlineStr">
        <is>
          <t>DEC-S39-DAIRY</t>
        </is>
      </c>
      <c r="C174" s="16" t="n">
        <v>39</v>
      </c>
      <c r="D174" s="17" t="inlineStr">
        <is>
          <t>DAIRY</t>
        </is>
      </c>
      <c r="E174" s="17" t="inlineStr">
        <is>
          <t>MEDIUM</t>
        </is>
      </c>
      <c r="F174" s="17" t="inlineStr">
        <is>
          <t>TRUNG BÌNH</t>
        </is>
      </c>
      <c r="G174" s="18" t="inlineStr">
        <is>
          <t>RISK_MEDIUM · LARGE_SERIES</t>
        </is>
      </c>
      <c r="H174" s="19" t="n">
        <v>10352.04565429688</v>
      </c>
      <c r="I174" s="19" t="n">
        <v>12312.30541992188</v>
      </c>
      <c r="J174" s="19" t="n">
        <v>14774.74316210938</v>
      </c>
      <c r="K174" s="19" t="n">
        <v>12312.30541992188</v>
      </c>
      <c r="L174" s="19" t="n">
        <v>13851.32900878906</v>
      </c>
      <c r="M174" s="19" t="n">
        <v>14774.74316210938</v>
      </c>
      <c r="N174" s="17" t="inlineStr">
        <is>
          <t>C</t>
        </is>
      </c>
      <c r="O174" s="19" t="n">
        <v>4924.898826171877</v>
      </c>
      <c r="P174" s="18" t="inlineStr">
        <is>
          <t>KHÔNG ĐỀ XUẤT TĂNG</t>
        </is>
      </c>
      <c r="Q174" s="17" t="inlineStr">
        <is>
          <t>Không</t>
        </is>
      </c>
      <c r="R174" s="20" t="n"/>
      <c r="S174" s="20" t="n"/>
      <c r="T174" s="21" t="n"/>
      <c r="U174" s="21" t="n"/>
      <c r="V174" s="22">
        <f>IF(U174="A",K174,IF(U174="B",L174,IF(U174="C",M174,IF(N174="A",K174,IF(N174="B",L174,M174)))))</f>
        <v/>
      </c>
      <c r="W174" s="22">
        <f>IF(R174="",O174,MAX(V174-R174-N(S174),0))</f>
        <v/>
      </c>
      <c r="X174" s="20" t="n"/>
      <c r="Y174" s="23">
        <f>IF(OR(X174="",W174=0),"",X174/W174-1)</f>
        <v/>
      </c>
      <c r="Z174" s="24" t="n"/>
      <c r="AA174" s="21" t="n"/>
      <c r="AB174" s="25" t="n"/>
      <c r="AC174" s="26">
        <f>IF(T174="","Chưa quyết định",IF(OR(Z174="",AA174=""),"⚠ Thiếu lý do/người duyệt",IF(AND(X174&lt;&gt;"",N(X174)+N(R174)+N(S174)&gt;M174*1.001,R174&lt;&gt;""),"⚠ Vượt mục tiêu P90",IF(AND(Y174&lt;&gt;"",ABS(N(Y174))&gt;0.3),"⚠ Lệch &gt; 30% so với nhu cầu",IF(Q174="Có","ℹ Kiểm tra ngoại suy KM","✓ Hợp lệ")))))</f>
        <v/>
      </c>
    </row>
    <row r="175">
      <c r="A175" s="16" t="n">
        <v>171</v>
      </c>
      <c r="B175" s="17" t="inlineStr">
        <is>
          <t>DEC-S24-BREAD_BAKERY</t>
        </is>
      </c>
      <c r="C175" s="16" t="n">
        <v>24</v>
      </c>
      <c r="D175" s="17" t="inlineStr">
        <is>
          <t>BREAD/BAKERY</t>
        </is>
      </c>
      <c r="E175" s="17" t="inlineStr">
        <is>
          <t>MEDIUM</t>
        </is>
      </c>
      <c r="F175" s="17" t="inlineStr">
        <is>
          <t>TRUNG BÌNH</t>
        </is>
      </c>
      <c r="G175" s="18" t="inlineStr">
        <is>
          <t>RISK_MEDIUM · LARGE_SERIES</t>
        </is>
      </c>
      <c r="H175" s="19" t="n">
        <v>10336.05444335938</v>
      </c>
      <c r="I175" s="19" t="n">
        <v>12296.31420898438</v>
      </c>
      <c r="J175" s="19" t="n">
        <v>14758.75195117188</v>
      </c>
      <c r="K175" s="19" t="n">
        <v>12296.31420898438</v>
      </c>
      <c r="L175" s="19" t="n">
        <v>13835.33779785156</v>
      </c>
      <c r="M175" s="19" t="n">
        <v>14758.75195117188</v>
      </c>
      <c r="N175" s="17" t="inlineStr">
        <is>
          <t>C</t>
        </is>
      </c>
      <c r="O175" s="19" t="n">
        <v>4921.700583984377</v>
      </c>
      <c r="P175" s="18" t="inlineStr">
        <is>
          <t>KHÔNG ĐỀ XUẤT TĂNG</t>
        </is>
      </c>
      <c r="Q175" s="17" t="inlineStr">
        <is>
          <t>Không</t>
        </is>
      </c>
      <c r="R175" s="20" t="n"/>
      <c r="S175" s="20" t="n"/>
      <c r="T175" s="21" t="n"/>
      <c r="U175" s="21" t="n"/>
      <c r="V175" s="22">
        <f>IF(U175="A",K175,IF(U175="B",L175,IF(U175="C",M175,IF(N175="A",K175,IF(N175="B",L175,M175)))))</f>
        <v/>
      </c>
      <c r="W175" s="22">
        <f>IF(R175="",O175,MAX(V175-R175-N(S175),0))</f>
        <v/>
      </c>
      <c r="X175" s="20" t="n"/>
      <c r="Y175" s="23">
        <f>IF(OR(X175="",W175=0),"",X175/W175-1)</f>
        <v/>
      </c>
      <c r="Z175" s="24" t="n"/>
      <c r="AA175" s="21" t="n"/>
      <c r="AB175" s="25" t="n"/>
      <c r="AC175" s="26">
        <f>IF(T175="","Chưa quyết định",IF(OR(Z175="",AA175=""),"⚠ Thiếu lý do/người duyệt",IF(AND(X175&lt;&gt;"",N(X175)+N(R175)+N(S175)&gt;M175*1.001,R175&lt;&gt;""),"⚠ Vượt mục tiêu P90",IF(AND(Y175&lt;&gt;"",ABS(N(Y175))&gt;0.3),"⚠ Lệch &gt; 30% so với nhu cầu",IF(Q175="Có","ℹ Kiểm tra ngoại suy KM","✓ Hợp lệ")))))</f>
        <v/>
      </c>
    </row>
    <row r="176">
      <c r="A176" s="16" t="n">
        <v>172</v>
      </c>
      <c r="B176" s="17" t="inlineStr">
        <is>
          <t>DEC-S45-PERSONAL_CARE</t>
        </is>
      </c>
      <c r="C176" s="16" t="n">
        <v>45</v>
      </c>
      <c r="D176" s="17" t="inlineStr">
        <is>
          <t>PERSONAL CARE</t>
        </is>
      </c>
      <c r="E176" s="17" t="inlineStr">
        <is>
          <t>MEDIUM</t>
        </is>
      </c>
      <c r="F176" s="17" t="inlineStr">
        <is>
          <t>TRUNG BÌNH</t>
        </is>
      </c>
      <c r="G176" s="18" t="inlineStr">
        <is>
          <t>RISK_MEDIUM · LARGE_SERIES</t>
        </is>
      </c>
      <c r="H176" s="19" t="n">
        <v>9873.645031933596</v>
      </c>
      <c r="I176" s="19" t="n">
        <v>12128.87200927734</v>
      </c>
      <c r="J176" s="19" t="n">
        <v>15195.88517578125</v>
      </c>
      <c r="K176" s="19" t="n">
        <v>12128.87200927734</v>
      </c>
      <c r="L176" s="19" t="n">
        <v>14045.75523834228</v>
      </c>
      <c r="M176" s="19" t="n">
        <v>15195.88517578125</v>
      </c>
      <c r="N176" s="17" t="inlineStr">
        <is>
          <t>C</t>
        </is>
      </c>
      <c r="O176" s="19" t="n">
        <v>5492.787568359374</v>
      </c>
      <c r="P176" s="18" t="inlineStr">
        <is>
          <t>KHÔNG ĐỀ XUẤT TĂNG</t>
        </is>
      </c>
      <c r="Q176" s="17" t="inlineStr">
        <is>
          <t>Không</t>
        </is>
      </c>
      <c r="R176" s="20" t="n"/>
      <c r="S176" s="20" t="n"/>
      <c r="T176" s="21" t="n"/>
      <c r="U176" s="21" t="n"/>
      <c r="V176" s="22">
        <f>IF(U176="A",K176,IF(U176="B",L176,IF(U176="C",M176,IF(N176="A",K176,IF(N176="B",L176,M176)))))</f>
        <v/>
      </c>
      <c r="W176" s="22">
        <f>IF(R176="",O176,MAX(V176-R176-N(S176),0))</f>
        <v/>
      </c>
      <c r="X176" s="20" t="n"/>
      <c r="Y176" s="23">
        <f>IF(OR(X176="",W176=0),"",X176/W176-1)</f>
        <v/>
      </c>
      <c r="Z176" s="24" t="n"/>
      <c r="AA176" s="21" t="n"/>
      <c r="AB176" s="25" t="n"/>
      <c r="AC176" s="26">
        <f>IF(T176="","Chưa quyết định",IF(OR(Z176="",AA176=""),"⚠ Thiếu lý do/người duyệt",IF(AND(X176&lt;&gt;"",N(X176)+N(R176)+N(S176)&gt;M176*1.001,R176&lt;&gt;""),"⚠ Vượt mục tiêu P90",IF(AND(Y176&lt;&gt;"",ABS(N(Y176))&gt;0.3),"⚠ Lệch &gt; 30% so với nhu cầu",IF(Q176="Có","ℹ Kiểm tra ngoại suy KM","✓ Hợp lệ")))))</f>
        <v/>
      </c>
    </row>
    <row r="177">
      <c r="A177" s="16" t="n">
        <v>173</v>
      </c>
      <c r="B177" s="17" t="inlineStr">
        <is>
          <t>DEC-S20-DELI</t>
        </is>
      </c>
      <c r="C177" s="16" t="n">
        <v>20</v>
      </c>
      <c r="D177" s="17" t="inlineStr">
        <is>
          <t>DELI</t>
        </is>
      </c>
      <c r="E177" s="17" t="inlineStr">
        <is>
          <t>MEDIUM</t>
        </is>
      </c>
      <c r="F177" s="17" t="inlineStr">
        <is>
          <t>TRUNG BÌNH</t>
        </is>
      </c>
      <c r="G177" s="18" t="inlineStr">
        <is>
          <t>RISK_MEDIUM · LARGE_SERIES</t>
        </is>
      </c>
      <c r="H177" s="19" t="n">
        <v>9808.104687695311</v>
      </c>
      <c r="I177" s="19" t="n">
        <v>12063.33166503906</v>
      </c>
      <c r="J177" s="19" t="n">
        <v>15130.34483154297</v>
      </c>
      <c r="K177" s="19" t="n">
        <v>12063.33166503906</v>
      </c>
      <c r="L177" s="19" t="n">
        <v>13980.214894104</v>
      </c>
      <c r="M177" s="19" t="n">
        <v>15130.34483154297</v>
      </c>
      <c r="N177" s="17" t="inlineStr">
        <is>
          <t>C</t>
        </is>
      </c>
      <c r="O177" s="19" t="n">
        <v>5479.679499511718</v>
      </c>
      <c r="P177" s="18" t="inlineStr">
        <is>
          <t>KHÔNG ĐỀ XUẤT TĂNG</t>
        </is>
      </c>
      <c r="Q177" s="17" t="inlineStr">
        <is>
          <t>Không</t>
        </is>
      </c>
      <c r="R177" s="20" t="n"/>
      <c r="S177" s="20" t="n"/>
      <c r="T177" s="21" t="n"/>
      <c r="U177" s="21" t="n"/>
      <c r="V177" s="22">
        <f>IF(U177="A",K177,IF(U177="B",L177,IF(U177="C",M177,IF(N177="A",K177,IF(N177="B",L177,M177)))))</f>
        <v/>
      </c>
      <c r="W177" s="22">
        <f>IF(R177="",O177,MAX(V177-R177-N(S177),0))</f>
        <v/>
      </c>
      <c r="X177" s="20" t="n"/>
      <c r="Y177" s="23">
        <f>IF(OR(X177="",W177=0),"",X177/W177-1)</f>
        <v/>
      </c>
      <c r="Z177" s="24" t="n"/>
      <c r="AA177" s="21" t="n"/>
      <c r="AB177" s="25" t="n"/>
      <c r="AC177" s="26">
        <f>IF(T177="","Chưa quyết định",IF(OR(Z177="",AA177=""),"⚠ Thiếu lý do/người duyệt",IF(AND(X177&lt;&gt;"",N(X177)+N(R177)+N(S177)&gt;M177*1.001,R177&lt;&gt;""),"⚠ Vượt mục tiêu P90",IF(AND(Y177&lt;&gt;"",ABS(N(Y177))&gt;0.3),"⚠ Lệch &gt; 30% so với nhu cầu",IF(Q177="Có","ℹ Kiểm tra ngoại suy KM","✓ Hợp lệ")))))</f>
        <v/>
      </c>
    </row>
    <row r="178">
      <c r="A178" s="16" t="n">
        <v>174</v>
      </c>
      <c r="B178" s="17" t="inlineStr">
        <is>
          <t>DEC-S45-HOME_CARE</t>
        </is>
      </c>
      <c r="C178" s="16" t="n">
        <v>45</v>
      </c>
      <c r="D178" s="17" t="inlineStr">
        <is>
          <t>HOME CARE</t>
        </is>
      </c>
      <c r="E178" s="17" t="inlineStr">
        <is>
          <t>MEDIUM</t>
        </is>
      </c>
      <c r="F178" s="17" t="inlineStr">
        <is>
          <t>TRUNG BÌNH</t>
        </is>
      </c>
      <c r="G178" s="18" t="inlineStr">
        <is>
          <t>RISK_MEDIUM · LARGE_SERIES</t>
        </is>
      </c>
      <c r="H178" s="19" t="n">
        <v>9718.708142285155</v>
      </c>
      <c r="I178" s="19" t="n">
        <v>11973.93511962891</v>
      </c>
      <c r="J178" s="19" t="n">
        <v>15040.94828613281</v>
      </c>
      <c r="K178" s="19" t="n">
        <v>11973.93511962891</v>
      </c>
      <c r="L178" s="19" t="n">
        <v>13890.81834869385</v>
      </c>
      <c r="M178" s="19" t="n">
        <v>15040.94828613281</v>
      </c>
      <c r="N178" s="17" t="inlineStr">
        <is>
          <t>C</t>
        </is>
      </c>
      <c r="O178" s="19" t="n">
        <v>5461.800190429689</v>
      </c>
      <c r="P178" s="18" t="inlineStr">
        <is>
          <t>KHÔNG ĐỀ XUẤT TĂNG</t>
        </is>
      </c>
      <c r="Q178" s="17" t="inlineStr">
        <is>
          <t>Không</t>
        </is>
      </c>
      <c r="R178" s="20" t="n"/>
      <c r="S178" s="20" t="n"/>
      <c r="T178" s="21" t="n"/>
      <c r="U178" s="21" t="n"/>
      <c r="V178" s="22">
        <f>IF(U178="A",K178,IF(U178="B",L178,IF(U178="C",M178,IF(N178="A",K178,IF(N178="B",L178,M178)))))</f>
        <v/>
      </c>
      <c r="W178" s="22">
        <f>IF(R178="",O178,MAX(V178-R178-N(S178),0))</f>
        <v/>
      </c>
      <c r="X178" s="20" t="n"/>
      <c r="Y178" s="23">
        <f>IF(OR(X178="",W178=0),"",X178/W178-1)</f>
        <v/>
      </c>
      <c r="Z178" s="24" t="n"/>
      <c r="AA178" s="21" t="n"/>
      <c r="AB178" s="25" t="n"/>
      <c r="AC178" s="26">
        <f>IF(T178="","Chưa quyết định",IF(OR(Z178="",AA178=""),"⚠ Thiếu lý do/người duyệt",IF(AND(X178&lt;&gt;"",N(X178)+N(R178)+N(S178)&gt;M178*1.001,R178&lt;&gt;""),"⚠ Vượt mục tiêu P90",IF(AND(Y178&lt;&gt;"",ABS(N(Y178))&gt;0.3),"⚠ Lệch &gt; 30% so với nhu cầu",IF(Q178="Có","ℹ Kiểm tra ngoại suy KM","✓ Hợp lệ")))))</f>
        <v/>
      </c>
    </row>
    <row r="179">
      <c r="A179" s="16" t="n">
        <v>175</v>
      </c>
      <c r="B179" s="17" t="inlineStr">
        <is>
          <t>DEC-S47-DELI</t>
        </is>
      </c>
      <c r="C179" s="16" t="n">
        <v>47</v>
      </c>
      <c r="D179" s="17" t="inlineStr">
        <is>
          <t>DELI</t>
        </is>
      </c>
      <c r="E179" s="17" t="inlineStr">
        <is>
          <t>MEDIUM</t>
        </is>
      </c>
      <c r="F179" s="17" t="inlineStr">
        <is>
          <t>TRUNG BÌNH</t>
        </is>
      </c>
      <c r="G179" s="18" t="inlineStr">
        <is>
          <t>RISK_MEDIUM · LARGE_SERIES</t>
        </is>
      </c>
      <c r="H179" s="19" t="n">
        <v>9826.516906738279</v>
      </c>
      <c r="I179" s="19" t="n">
        <v>11786.77667236328</v>
      </c>
      <c r="J179" s="19" t="n">
        <v>14249.21441455078</v>
      </c>
      <c r="K179" s="19" t="n">
        <v>11786.77667236328</v>
      </c>
      <c r="L179" s="19" t="n">
        <v>13325.80026123047</v>
      </c>
      <c r="M179" s="19" t="n">
        <v>14249.21441455078</v>
      </c>
      <c r="N179" s="17" t="inlineStr">
        <is>
          <t>C</t>
        </is>
      </c>
      <c r="O179" s="19" t="n">
        <v>4819.793076660153</v>
      </c>
      <c r="P179" s="18" t="inlineStr">
        <is>
          <t>KHÔNG ĐỀ XUẤT TĂNG</t>
        </is>
      </c>
      <c r="Q179" s="17" t="inlineStr">
        <is>
          <t>Không</t>
        </is>
      </c>
      <c r="R179" s="20" t="n"/>
      <c r="S179" s="20" t="n"/>
      <c r="T179" s="21" t="n"/>
      <c r="U179" s="21" t="n"/>
      <c r="V179" s="22">
        <f>IF(U179="A",K179,IF(U179="B",L179,IF(U179="C",M179,IF(N179="A",K179,IF(N179="B",L179,M179)))))</f>
        <v/>
      </c>
      <c r="W179" s="22">
        <f>IF(R179="",O179,MAX(V179-R179-N(S179),0))</f>
        <v/>
      </c>
      <c r="X179" s="20" t="n"/>
      <c r="Y179" s="23">
        <f>IF(OR(X179="",W179=0),"",X179/W179-1)</f>
        <v/>
      </c>
      <c r="Z179" s="24" t="n"/>
      <c r="AA179" s="21" t="n"/>
      <c r="AB179" s="25" t="n"/>
      <c r="AC179" s="26">
        <f>IF(T179="","Chưa quyết định",IF(OR(Z179="",AA179=""),"⚠ Thiếu lý do/người duyệt",IF(AND(X179&lt;&gt;"",N(X179)+N(R179)+N(S179)&gt;M179*1.001,R179&lt;&gt;""),"⚠ Vượt mục tiêu P90",IF(AND(Y179&lt;&gt;"",ABS(N(Y179))&gt;0.3),"⚠ Lệch &gt; 30% so với nhu cầu",IF(Q179="Có","ℹ Kiểm tra ngoại suy KM","✓ Hợp lệ")))))</f>
        <v/>
      </c>
    </row>
    <row r="180">
      <c r="A180" s="16" t="n">
        <v>176</v>
      </c>
      <c r="B180" s="17" t="inlineStr">
        <is>
          <t>DEC-S13-CLEANING</t>
        </is>
      </c>
      <c r="C180" s="16" t="n">
        <v>13</v>
      </c>
      <c r="D180" s="17" t="inlineStr">
        <is>
          <t>CLEANING</t>
        </is>
      </c>
      <c r="E180" s="17" t="inlineStr">
        <is>
          <t>MEDIUM</t>
        </is>
      </c>
      <c r="F180" s="17" t="inlineStr">
        <is>
          <t>TRUNG BÌNH</t>
        </is>
      </c>
      <c r="G180" s="18" t="inlineStr">
        <is>
          <t>RISK_MEDIUM · LARGE_SERIES</t>
        </is>
      </c>
      <c r="H180" s="19" t="n">
        <v>9695.662231445312</v>
      </c>
      <c r="I180" s="19" t="n">
        <v>11655.92199707031</v>
      </c>
      <c r="J180" s="19" t="n">
        <v>14118.35973925781</v>
      </c>
      <c r="K180" s="19" t="n">
        <v>11655.92199707031</v>
      </c>
      <c r="L180" s="19" t="n">
        <v>13194.9455859375</v>
      </c>
      <c r="M180" s="19" t="n">
        <v>14118.35973925781</v>
      </c>
      <c r="N180" s="17" t="inlineStr">
        <is>
          <t>C</t>
        </is>
      </c>
      <c r="O180" s="19" t="n">
        <v>4793.622141601561</v>
      </c>
      <c r="P180" s="18" t="inlineStr">
        <is>
          <t>KHÔNG ĐỀ XUẤT TĂNG</t>
        </is>
      </c>
      <c r="Q180" s="17" t="inlineStr">
        <is>
          <t>Không</t>
        </is>
      </c>
      <c r="R180" s="20" t="n"/>
      <c r="S180" s="20" t="n"/>
      <c r="T180" s="21" t="n"/>
      <c r="U180" s="21" t="n"/>
      <c r="V180" s="22">
        <f>IF(U180="A",K180,IF(U180="B",L180,IF(U180="C",M180,IF(N180="A",K180,IF(N180="B",L180,M180)))))</f>
        <v/>
      </c>
      <c r="W180" s="22">
        <f>IF(R180="",O180,MAX(V180-R180-N(S180),0))</f>
        <v/>
      </c>
      <c r="X180" s="20" t="n"/>
      <c r="Y180" s="23">
        <f>IF(OR(X180="",W180=0),"",X180/W180-1)</f>
        <v/>
      </c>
      <c r="Z180" s="24" t="n"/>
      <c r="AA180" s="21" t="n"/>
      <c r="AB180" s="25" t="n"/>
      <c r="AC180" s="26">
        <f>IF(T180="","Chưa quyết định",IF(OR(Z180="",AA180=""),"⚠ Thiếu lý do/người duyệt",IF(AND(X180&lt;&gt;"",N(X180)+N(R180)+N(S180)&gt;M180*1.001,R180&lt;&gt;""),"⚠ Vượt mục tiêu P90",IF(AND(Y180&lt;&gt;"",ABS(N(Y180))&gt;0.3),"⚠ Lệch &gt; 30% so với nhu cầu",IF(Q180="Có","ℹ Kiểm tra ngoại suy KM","✓ Hợp lệ")))))</f>
        <v/>
      </c>
    </row>
    <row r="181">
      <c r="A181" s="16" t="n">
        <v>177</v>
      </c>
      <c r="B181" s="17" t="inlineStr">
        <is>
          <t>DEC-S15-PRODUCE</t>
        </is>
      </c>
      <c r="C181" s="16" t="n">
        <v>15</v>
      </c>
      <c r="D181" s="17" t="inlineStr">
        <is>
          <t>PRODUCE</t>
        </is>
      </c>
      <c r="E181" s="17" t="inlineStr">
        <is>
          <t>MEDIUM</t>
        </is>
      </c>
      <c r="F181" s="17" t="inlineStr">
        <is>
          <t>TRUNG BÌNH</t>
        </is>
      </c>
      <c r="G181" s="18" t="inlineStr">
        <is>
          <t>RISK_MEDIUM · LARGE_SERIES</t>
        </is>
      </c>
      <c r="H181" s="19" t="n">
        <v>9375.042798046876</v>
      </c>
      <c r="I181" s="19" t="n">
        <v>11630.26977539062</v>
      </c>
      <c r="J181" s="19" t="n">
        <v>14697.28294189453</v>
      </c>
      <c r="K181" s="19" t="n">
        <v>11630.26977539062</v>
      </c>
      <c r="L181" s="19" t="n">
        <v>13547.15300445557</v>
      </c>
      <c r="M181" s="19" t="n">
        <v>14697.28294189453</v>
      </c>
      <c r="N181" s="17" t="inlineStr">
        <is>
          <t>C</t>
        </is>
      </c>
      <c r="O181" s="19" t="n">
        <v>5393.067121582031</v>
      </c>
      <c r="P181" s="18" t="inlineStr">
        <is>
          <t>KHÔNG ĐỀ XUẤT TĂNG</t>
        </is>
      </c>
      <c r="Q181" s="17" t="inlineStr">
        <is>
          <t>Không</t>
        </is>
      </c>
      <c r="R181" s="20" t="n"/>
      <c r="S181" s="20" t="n"/>
      <c r="T181" s="21" t="n"/>
      <c r="U181" s="21" t="n"/>
      <c r="V181" s="22">
        <f>IF(U181="A",K181,IF(U181="B",L181,IF(U181="C",M181,IF(N181="A",K181,IF(N181="B",L181,M181)))))</f>
        <v/>
      </c>
      <c r="W181" s="22">
        <f>IF(R181="",O181,MAX(V181-R181-N(S181),0))</f>
        <v/>
      </c>
      <c r="X181" s="20" t="n"/>
      <c r="Y181" s="23">
        <f>IF(OR(X181="",W181=0),"",X181/W181-1)</f>
        <v/>
      </c>
      <c r="Z181" s="24" t="n"/>
      <c r="AA181" s="21" t="n"/>
      <c r="AB181" s="25" t="n"/>
      <c r="AC181" s="26">
        <f>IF(T181="","Chưa quyết định",IF(OR(Z181="",AA181=""),"⚠ Thiếu lý do/người duyệt",IF(AND(X181&lt;&gt;"",N(X181)+N(R181)+N(S181)&gt;M181*1.001,R181&lt;&gt;""),"⚠ Vượt mục tiêu P90",IF(AND(Y181&lt;&gt;"",ABS(N(Y181))&gt;0.3),"⚠ Lệch &gt; 30% so với nhu cầu",IF(Q181="Có","ℹ Kiểm tra ngoại suy KM","✓ Hợp lệ")))))</f>
        <v/>
      </c>
    </row>
    <row r="182">
      <c r="A182" s="16" t="n">
        <v>178</v>
      </c>
      <c r="B182" s="17" t="inlineStr">
        <is>
          <t>DEC-S47-HOME_CARE</t>
        </is>
      </c>
      <c r="C182" s="16" t="n">
        <v>47</v>
      </c>
      <c r="D182" s="17" t="inlineStr">
        <is>
          <t>HOME CARE</t>
        </is>
      </c>
      <c r="E182" s="17" t="inlineStr">
        <is>
          <t>MEDIUM</t>
        </is>
      </c>
      <c r="F182" s="17" t="inlineStr">
        <is>
          <t>TRUNG BÌNH</t>
        </is>
      </c>
      <c r="G182" s="18" t="inlineStr">
        <is>
          <t>RISK_MEDIUM · LARGE_SERIES</t>
        </is>
      </c>
      <c r="H182" s="19" t="n">
        <v>9608.463562011721</v>
      </c>
      <c r="I182" s="19" t="n">
        <v>11568.72332763672</v>
      </c>
      <c r="J182" s="19" t="n">
        <v>14031.16106982422</v>
      </c>
      <c r="K182" s="19" t="n">
        <v>11568.72332763672</v>
      </c>
      <c r="L182" s="19" t="n">
        <v>13107.74691650391</v>
      </c>
      <c r="M182" s="19" t="n">
        <v>14031.16106982422</v>
      </c>
      <c r="N182" s="17" t="inlineStr">
        <is>
          <t>C</t>
        </is>
      </c>
      <c r="O182" s="19" t="n">
        <v>4776.182407714843</v>
      </c>
      <c r="P182" s="18" t="inlineStr">
        <is>
          <t>KHÔNG ĐỀ XUẤT TĂNG</t>
        </is>
      </c>
      <c r="Q182" s="17" t="inlineStr">
        <is>
          <t>Không</t>
        </is>
      </c>
      <c r="R182" s="20" t="n"/>
      <c r="S182" s="20" t="n"/>
      <c r="T182" s="21" t="n"/>
      <c r="U182" s="21" t="n"/>
      <c r="V182" s="22">
        <f>IF(U182="A",K182,IF(U182="B",L182,IF(U182="C",M182,IF(N182="A",K182,IF(N182="B",L182,M182)))))</f>
        <v/>
      </c>
      <c r="W182" s="22">
        <f>IF(R182="",O182,MAX(V182-R182-N(S182),0))</f>
        <v/>
      </c>
      <c r="X182" s="20" t="n"/>
      <c r="Y182" s="23">
        <f>IF(OR(X182="",W182=0),"",X182/W182-1)</f>
        <v/>
      </c>
      <c r="Z182" s="24" t="n"/>
      <c r="AA182" s="21" t="n"/>
      <c r="AB182" s="25" t="n"/>
      <c r="AC182" s="26">
        <f>IF(T182="","Chưa quyết định",IF(OR(Z182="",AA182=""),"⚠ Thiếu lý do/người duyệt",IF(AND(X182&lt;&gt;"",N(X182)+N(R182)+N(S182)&gt;M182*1.001,R182&lt;&gt;""),"⚠ Vượt mục tiêu P90",IF(AND(Y182&lt;&gt;"",ABS(N(Y182))&gt;0.3),"⚠ Lệch &gt; 30% so với nhu cầu",IF(Q182="Có","ℹ Kiểm tra ngoại suy KM","✓ Hợp lệ")))))</f>
        <v/>
      </c>
    </row>
    <row r="183">
      <c r="A183" s="16" t="n">
        <v>179</v>
      </c>
      <c r="B183" s="17" t="inlineStr">
        <is>
          <t>DEC-S07-BREAD_BAKERY</t>
        </is>
      </c>
      <c r="C183" s="16" t="n">
        <v>7</v>
      </c>
      <c r="D183" s="17" t="inlineStr">
        <is>
          <t>BREAD/BAKERY</t>
        </is>
      </c>
      <c r="E183" s="17" t="inlineStr">
        <is>
          <t>MEDIUM</t>
        </is>
      </c>
      <c r="F183" s="17" t="inlineStr">
        <is>
          <t>TRUNG BÌNH</t>
        </is>
      </c>
      <c r="G183" s="18" t="inlineStr">
        <is>
          <t>RISK_MEDIUM · LARGE_SERIES</t>
        </is>
      </c>
      <c r="H183" s="19" t="n">
        <v>9598.781921386721</v>
      </c>
      <c r="I183" s="19" t="n">
        <v>11559.04168701172</v>
      </c>
      <c r="J183" s="19" t="n">
        <v>14021.47942919922</v>
      </c>
      <c r="K183" s="19" t="n">
        <v>11559.04168701172</v>
      </c>
      <c r="L183" s="19" t="n">
        <v>13098.06527587891</v>
      </c>
      <c r="M183" s="19" t="n">
        <v>14021.47942919922</v>
      </c>
      <c r="N183" s="17" t="inlineStr">
        <is>
          <t>C</t>
        </is>
      </c>
      <c r="O183" s="19" t="n">
        <v>4774.246079589842</v>
      </c>
      <c r="P183" s="18" t="inlineStr">
        <is>
          <t>KHÔNG ĐỀ XUẤT TĂNG</t>
        </is>
      </c>
      <c r="Q183" s="17" t="inlineStr">
        <is>
          <t>Không</t>
        </is>
      </c>
      <c r="R183" s="20" t="n"/>
      <c r="S183" s="20" t="n"/>
      <c r="T183" s="21" t="n"/>
      <c r="U183" s="21" t="n"/>
      <c r="V183" s="22">
        <f>IF(U183="A",K183,IF(U183="B",L183,IF(U183="C",M183,IF(N183="A",K183,IF(N183="B",L183,M183)))))</f>
        <v/>
      </c>
      <c r="W183" s="22">
        <f>IF(R183="",O183,MAX(V183-R183-N(S183),0))</f>
        <v/>
      </c>
      <c r="X183" s="20" t="n"/>
      <c r="Y183" s="23">
        <f>IF(OR(X183="",W183=0),"",X183/W183-1)</f>
        <v/>
      </c>
      <c r="Z183" s="24" t="n"/>
      <c r="AA183" s="21" t="n"/>
      <c r="AB183" s="25" t="n"/>
      <c r="AC183" s="26">
        <f>IF(T183="","Chưa quyết định",IF(OR(Z183="",AA183=""),"⚠ Thiếu lý do/người duyệt",IF(AND(X183&lt;&gt;"",N(X183)+N(R183)+N(S183)&gt;M183*1.001,R183&lt;&gt;""),"⚠ Vượt mục tiêu P90",IF(AND(Y183&lt;&gt;"",ABS(N(Y183))&gt;0.3),"⚠ Lệch &gt; 30% so với nhu cầu",IF(Q183="Có","ℹ Kiểm tra ngoại suy KM","✓ Hợp lệ")))))</f>
        <v/>
      </c>
    </row>
    <row r="184">
      <c r="A184" s="16" t="n">
        <v>180</v>
      </c>
      <c r="B184" s="17" t="inlineStr">
        <is>
          <t>DEC-S34-DAIRY</t>
        </is>
      </c>
      <c r="C184" s="16" t="n">
        <v>34</v>
      </c>
      <c r="D184" s="17" t="inlineStr">
        <is>
          <t>DAIRY</t>
        </is>
      </c>
      <c r="E184" s="17" t="inlineStr">
        <is>
          <t>MEDIUM</t>
        </is>
      </c>
      <c r="F184" s="17" t="inlineStr">
        <is>
          <t>TRUNG BÌNH</t>
        </is>
      </c>
      <c r="G184" s="18" t="inlineStr">
        <is>
          <t>RISK_MEDIUM · LARGE_SERIES</t>
        </is>
      </c>
      <c r="H184" s="19" t="n">
        <v>9586.344543457031</v>
      </c>
      <c r="I184" s="19" t="n">
        <v>11546.60430908203</v>
      </c>
      <c r="J184" s="19" t="n">
        <v>14009.04205126953</v>
      </c>
      <c r="K184" s="19" t="n">
        <v>11546.60430908203</v>
      </c>
      <c r="L184" s="19" t="n">
        <v>13085.62789794922</v>
      </c>
      <c r="M184" s="19" t="n">
        <v>14009.04205126953</v>
      </c>
      <c r="N184" s="17" t="inlineStr">
        <is>
          <t>C</t>
        </is>
      </c>
      <c r="O184" s="19" t="n">
        <v>4771.75860400391</v>
      </c>
      <c r="P184" s="18" t="inlineStr">
        <is>
          <t>KHÔNG ĐỀ XUẤT TĂNG</t>
        </is>
      </c>
      <c r="Q184" s="17" t="inlineStr">
        <is>
          <t>Không</t>
        </is>
      </c>
      <c r="R184" s="20" t="n"/>
      <c r="S184" s="20" t="n"/>
      <c r="T184" s="21" t="n"/>
      <c r="U184" s="21" t="n"/>
      <c r="V184" s="22">
        <f>IF(U184="A",K184,IF(U184="B",L184,IF(U184="C",M184,IF(N184="A",K184,IF(N184="B",L184,M184)))))</f>
        <v/>
      </c>
      <c r="W184" s="22">
        <f>IF(R184="",O184,MAX(V184-R184-N(S184),0))</f>
        <v/>
      </c>
      <c r="X184" s="20" t="n"/>
      <c r="Y184" s="23">
        <f>IF(OR(X184="",W184=0),"",X184/W184-1)</f>
        <v/>
      </c>
      <c r="Z184" s="24" t="n"/>
      <c r="AA184" s="21" t="n"/>
      <c r="AB184" s="25" t="n"/>
      <c r="AC184" s="26">
        <f>IF(T184="","Chưa quyết định",IF(OR(Z184="",AA184=""),"⚠ Thiếu lý do/người duyệt",IF(AND(X184&lt;&gt;"",N(X184)+N(R184)+N(S184)&gt;M184*1.001,R184&lt;&gt;""),"⚠ Vượt mục tiêu P90",IF(AND(Y184&lt;&gt;"",ABS(N(Y184))&gt;0.3),"⚠ Lệch &gt; 30% so với nhu cầu",IF(Q184="Có","ℹ Kiểm tra ngoại suy KM","✓ Hợp lệ")))))</f>
        <v/>
      </c>
    </row>
    <row r="185">
      <c r="A185" s="16" t="n">
        <v>181</v>
      </c>
      <c r="B185" s="17" t="inlineStr">
        <is>
          <t>DEC-S11-BREAD_BAKERY</t>
        </is>
      </c>
      <c r="C185" s="16" t="n">
        <v>11</v>
      </c>
      <c r="D185" s="17" t="inlineStr">
        <is>
          <t>BREAD/BAKERY</t>
        </is>
      </c>
      <c r="E185" s="17" t="inlineStr">
        <is>
          <t>MEDIUM</t>
        </is>
      </c>
      <c r="F185" s="17" t="inlineStr">
        <is>
          <t>TRUNG BÌNH</t>
        </is>
      </c>
      <c r="G185" s="18" t="inlineStr">
        <is>
          <t>RISK_MEDIUM · LARGE_SERIES</t>
        </is>
      </c>
      <c r="H185" s="19" t="n">
        <v>9579.507385253906</v>
      </c>
      <c r="I185" s="19" t="n">
        <v>11539.76715087891</v>
      </c>
      <c r="J185" s="19" t="n">
        <v>14002.20489306641</v>
      </c>
      <c r="K185" s="19" t="n">
        <v>11539.76715087891</v>
      </c>
      <c r="L185" s="19" t="n">
        <v>13078.79073974609</v>
      </c>
      <c r="M185" s="19" t="n">
        <v>14002.20489306641</v>
      </c>
      <c r="N185" s="17" t="inlineStr">
        <is>
          <t>C</t>
        </is>
      </c>
      <c r="O185" s="19" t="n">
        <v>4770.391172363283</v>
      </c>
      <c r="P185" s="18" t="inlineStr">
        <is>
          <t>KHÔNG ĐỀ XUẤT TĂNG</t>
        </is>
      </c>
      <c r="Q185" s="17" t="inlineStr">
        <is>
          <t>Không</t>
        </is>
      </c>
      <c r="R185" s="20" t="n"/>
      <c r="S185" s="20" t="n"/>
      <c r="T185" s="21" t="n"/>
      <c r="U185" s="21" t="n"/>
      <c r="V185" s="22">
        <f>IF(U185="A",K185,IF(U185="B",L185,IF(U185="C",M185,IF(N185="A",K185,IF(N185="B",L185,M185)))))</f>
        <v/>
      </c>
      <c r="W185" s="22">
        <f>IF(R185="",O185,MAX(V185-R185-N(S185),0))</f>
        <v/>
      </c>
      <c r="X185" s="20" t="n"/>
      <c r="Y185" s="23">
        <f>IF(OR(X185="",W185=0),"",X185/W185-1)</f>
        <v/>
      </c>
      <c r="Z185" s="24" t="n"/>
      <c r="AA185" s="21" t="n"/>
      <c r="AB185" s="25" t="n"/>
      <c r="AC185" s="26">
        <f>IF(T185="","Chưa quyết định",IF(OR(Z185="",AA185=""),"⚠ Thiếu lý do/người duyệt",IF(AND(X185&lt;&gt;"",N(X185)+N(R185)+N(S185)&gt;M185*1.001,R185&lt;&gt;""),"⚠ Vượt mục tiêu P90",IF(AND(Y185&lt;&gt;"",ABS(N(Y185))&gt;0.3),"⚠ Lệch &gt; 30% so với nhu cầu",IF(Q185="Có","ℹ Kiểm tra ngoại suy KM","✓ Hợp lệ")))))</f>
        <v/>
      </c>
    </row>
    <row r="186">
      <c r="A186" s="16" t="n">
        <v>182</v>
      </c>
      <c r="B186" s="17" t="inlineStr">
        <is>
          <t>DEC-S18-DAIRY</t>
        </is>
      </c>
      <c r="C186" s="16" t="n">
        <v>18</v>
      </c>
      <c r="D186" s="17" t="inlineStr">
        <is>
          <t>DAIRY</t>
        </is>
      </c>
      <c r="E186" s="17" t="inlineStr">
        <is>
          <t>MEDIUM</t>
        </is>
      </c>
      <c r="F186" s="17" t="inlineStr">
        <is>
          <t>TRUNG BÌNH</t>
        </is>
      </c>
      <c r="G186" s="18" t="inlineStr">
        <is>
          <t>RISK_MEDIUM · LARGE_SERIES</t>
        </is>
      </c>
      <c r="H186" s="19" t="n">
        <v>9444.780395507812</v>
      </c>
      <c r="I186" s="19" t="n">
        <v>11405.04016113281</v>
      </c>
      <c r="J186" s="19" t="n">
        <v>13867.47790332031</v>
      </c>
      <c r="K186" s="19" t="n">
        <v>11405.04016113281</v>
      </c>
      <c r="L186" s="19" t="n">
        <v>12944.06375</v>
      </c>
      <c r="M186" s="19" t="n">
        <v>13867.47790332031</v>
      </c>
      <c r="N186" s="17" t="inlineStr">
        <is>
          <t>C</t>
        </is>
      </c>
      <c r="O186" s="19" t="n">
        <v>4743.445774414062</v>
      </c>
      <c r="P186" s="18" t="inlineStr">
        <is>
          <t>KHÔNG ĐỀ XUẤT TĂNG</t>
        </is>
      </c>
      <c r="Q186" s="17" t="inlineStr">
        <is>
          <t>Không</t>
        </is>
      </c>
      <c r="R186" s="20" t="n"/>
      <c r="S186" s="20" t="n"/>
      <c r="T186" s="21" t="n"/>
      <c r="U186" s="21" t="n"/>
      <c r="V186" s="22">
        <f>IF(U186="A",K186,IF(U186="B",L186,IF(U186="C",M186,IF(N186="A",K186,IF(N186="B",L186,M186)))))</f>
        <v/>
      </c>
      <c r="W186" s="22">
        <f>IF(R186="",O186,MAX(V186-R186-N(S186),0))</f>
        <v/>
      </c>
      <c r="X186" s="20" t="n"/>
      <c r="Y186" s="23">
        <f>IF(OR(X186="",W186=0),"",X186/W186-1)</f>
        <v/>
      </c>
      <c r="Z186" s="24" t="n"/>
      <c r="AA186" s="21" t="n"/>
      <c r="AB186" s="25" t="n"/>
      <c r="AC186" s="26">
        <f>IF(T186="","Chưa quyết định",IF(OR(Z186="",AA186=""),"⚠ Thiếu lý do/người duyệt",IF(AND(X186&lt;&gt;"",N(X186)+N(R186)+N(S186)&gt;M186*1.001,R186&lt;&gt;""),"⚠ Vượt mục tiêu P90",IF(AND(Y186&lt;&gt;"",ABS(N(Y186))&gt;0.3),"⚠ Lệch &gt; 30% so với nhu cầu",IF(Q186="Có","ℹ Kiểm tra ngoại suy KM","✓ Hợp lệ")))))</f>
        <v/>
      </c>
    </row>
    <row r="187">
      <c r="A187" s="16" t="n">
        <v>183</v>
      </c>
      <c r="B187" s="17" t="inlineStr">
        <is>
          <t>DEC-S01-DAIRY</t>
        </is>
      </c>
      <c r="C187" s="16" t="n">
        <v>1</v>
      </c>
      <c r="D187" s="17" t="inlineStr">
        <is>
          <t>DAIRY</t>
        </is>
      </c>
      <c r="E187" s="17" t="inlineStr">
        <is>
          <t>MEDIUM</t>
        </is>
      </c>
      <c r="F187" s="17" t="inlineStr">
        <is>
          <t>TRUNG BÌNH</t>
        </is>
      </c>
      <c r="G187" s="18" t="inlineStr">
        <is>
          <t>RISK_MEDIUM · LARGE_SERIES</t>
        </is>
      </c>
      <c r="H187" s="19" t="n">
        <v>9548.772782958984</v>
      </c>
      <c r="I187" s="19" t="n">
        <v>11376.06099414063</v>
      </c>
      <c r="J187" s="19" t="n">
        <v>13674.4788190918</v>
      </c>
      <c r="K187" s="19" t="n">
        <v>11376.06099414063</v>
      </c>
      <c r="L187" s="19" t="n">
        <v>12812.57213473511</v>
      </c>
      <c r="M187" s="19" t="n">
        <v>13674.4788190918</v>
      </c>
      <c r="N187" s="17" t="inlineStr">
        <is>
          <t>C</t>
        </is>
      </c>
      <c r="O187" s="19" t="n">
        <v>4573.630023779295</v>
      </c>
      <c r="P187" s="18" t="inlineStr">
        <is>
          <t>KHÔNG ĐỀ XUẤT TĂNG</t>
        </is>
      </c>
      <c r="Q187" s="17" t="inlineStr">
        <is>
          <t>Không</t>
        </is>
      </c>
      <c r="R187" s="20" t="n"/>
      <c r="S187" s="20" t="n"/>
      <c r="T187" s="21" t="n"/>
      <c r="U187" s="21" t="n"/>
      <c r="V187" s="22">
        <f>IF(U187="A",K187,IF(U187="B",L187,IF(U187="C",M187,IF(N187="A",K187,IF(N187="B",L187,M187)))))</f>
        <v/>
      </c>
      <c r="W187" s="22">
        <f>IF(R187="",O187,MAX(V187-R187-N(S187),0))</f>
        <v/>
      </c>
      <c r="X187" s="20" t="n"/>
      <c r="Y187" s="23">
        <f>IF(OR(X187="",W187=0),"",X187/W187-1)</f>
        <v/>
      </c>
      <c r="Z187" s="24" t="n"/>
      <c r="AA187" s="21" t="n"/>
      <c r="AB187" s="25" t="n"/>
      <c r="AC187" s="26">
        <f>IF(T187="","Chưa quyết định",IF(OR(Z187="",AA187=""),"⚠ Thiếu lý do/người duyệt",IF(AND(X187&lt;&gt;"",N(X187)+N(R187)+N(S187)&gt;M187*1.001,R187&lt;&gt;""),"⚠ Vượt mục tiêu P90",IF(AND(Y187&lt;&gt;"",ABS(N(Y187))&gt;0.3),"⚠ Lệch &gt; 30% so với nhu cầu",IF(Q187="Có","ℹ Kiểm tra ngoại suy KM","✓ Hợp lệ")))))</f>
        <v/>
      </c>
    </row>
    <row r="188">
      <c r="A188" s="16" t="n">
        <v>184</v>
      </c>
      <c r="B188" s="17" t="inlineStr">
        <is>
          <t>DEC-S43-DAIRY</t>
        </is>
      </c>
      <c r="C188" s="16" t="n">
        <v>43</v>
      </c>
      <c r="D188" s="17" t="inlineStr">
        <is>
          <t>DAIRY</t>
        </is>
      </c>
      <c r="E188" s="17" t="inlineStr">
        <is>
          <t>MEDIUM</t>
        </is>
      </c>
      <c r="F188" s="17" t="inlineStr">
        <is>
          <t>TRUNG BÌNH</t>
        </is>
      </c>
      <c r="G188" s="18" t="inlineStr">
        <is>
          <t>RISK_MEDIUM · LARGE_SERIES</t>
        </is>
      </c>
      <c r="H188" s="19" t="n">
        <v>9414.77880859375</v>
      </c>
      <c r="I188" s="19" t="n">
        <v>11375.03857421875</v>
      </c>
      <c r="J188" s="19" t="n">
        <v>13837.47631640625</v>
      </c>
      <c r="K188" s="19" t="n">
        <v>11375.03857421875</v>
      </c>
      <c r="L188" s="19" t="n">
        <v>12914.06216308594</v>
      </c>
      <c r="M188" s="19" t="n">
        <v>13837.47631640625</v>
      </c>
      <c r="N188" s="17" t="inlineStr">
        <is>
          <t>C</t>
        </is>
      </c>
      <c r="O188" s="19" t="n">
        <v>4737.44545703125</v>
      </c>
      <c r="P188" s="18" t="inlineStr">
        <is>
          <t>KHÔNG ĐỀ XUẤT TĂNG</t>
        </is>
      </c>
      <c r="Q188" s="17" t="inlineStr">
        <is>
          <t>Không</t>
        </is>
      </c>
      <c r="R188" s="20" t="n"/>
      <c r="S188" s="20" t="n"/>
      <c r="T188" s="21" t="n"/>
      <c r="U188" s="21" t="n"/>
      <c r="V188" s="22">
        <f>IF(U188="A",K188,IF(U188="B",L188,IF(U188="C",M188,IF(N188="A",K188,IF(N188="B",L188,M188)))))</f>
        <v/>
      </c>
      <c r="W188" s="22">
        <f>IF(R188="",O188,MAX(V188-R188-N(S188),0))</f>
        <v/>
      </c>
      <c r="X188" s="20" t="n"/>
      <c r="Y188" s="23">
        <f>IF(OR(X188="",W188=0),"",X188/W188-1)</f>
        <v/>
      </c>
      <c r="Z188" s="24" t="n"/>
      <c r="AA188" s="21" t="n"/>
      <c r="AB188" s="25" t="n"/>
      <c r="AC188" s="26">
        <f>IF(T188="","Chưa quyết định",IF(OR(Z188="",AA188=""),"⚠ Thiếu lý do/người duyệt",IF(AND(X188&lt;&gt;"",N(X188)+N(R188)+N(S188)&gt;M188*1.001,R188&lt;&gt;""),"⚠ Vượt mục tiêu P90",IF(AND(Y188&lt;&gt;"",ABS(N(Y188))&gt;0.3),"⚠ Lệch &gt; 30% so với nhu cầu",IF(Q188="Có","ℹ Kiểm tra ngoại suy KM","✓ Hợp lệ")))))</f>
        <v/>
      </c>
    </row>
    <row r="189">
      <c r="A189" s="16" t="n">
        <v>185</v>
      </c>
      <c r="B189" s="17" t="inlineStr">
        <is>
          <t>DEC-S54-PRODUCE</t>
        </is>
      </c>
      <c r="C189" s="16" t="n">
        <v>54</v>
      </c>
      <c r="D189" s="17" t="inlineStr">
        <is>
          <t>PRODUCE</t>
        </is>
      </c>
      <c r="E189" s="17" t="inlineStr">
        <is>
          <t>MEDIUM</t>
        </is>
      </c>
      <c r="F189" s="17" t="inlineStr">
        <is>
          <t>TRUNG BÌNH</t>
        </is>
      </c>
      <c r="G189" s="18" t="inlineStr">
        <is>
          <t>RISK_MEDIUM · LARGE_SERIES</t>
        </is>
      </c>
      <c r="H189" s="19" t="n">
        <v>9411.994506835938</v>
      </c>
      <c r="I189" s="19" t="n">
        <v>11372.25427246094</v>
      </c>
      <c r="J189" s="19" t="n">
        <v>13834.69201464844</v>
      </c>
      <c r="K189" s="19" t="n">
        <v>11372.25427246094</v>
      </c>
      <c r="L189" s="19" t="n">
        <v>12911.27786132812</v>
      </c>
      <c r="M189" s="19" t="n">
        <v>13834.69201464844</v>
      </c>
      <c r="N189" s="17" t="inlineStr">
        <is>
          <t>C</t>
        </is>
      </c>
      <c r="O189" s="19" t="n">
        <v>4736.888596679684</v>
      </c>
      <c r="P189" s="18" t="inlineStr">
        <is>
          <t>KHÔNG ĐỀ XUẤT TĂNG</t>
        </is>
      </c>
      <c r="Q189" s="17" t="inlineStr">
        <is>
          <t>Không</t>
        </is>
      </c>
      <c r="R189" s="20" t="n"/>
      <c r="S189" s="20" t="n"/>
      <c r="T189" s="21" t="n"/>
      <c r="U189" s="21" t="n"/>
      <c r="V189" s="22">
        <f>IF(U189="A",K189,IF(U189="B",L189,IF(U189="C",M189,IF(N189="A",K189,IF(N189="B",L189,M189)))))</f>
        <v/>
      </c>
      <c r="W189" s="22">
        <f>IF(R189="",O189,MAX(V189-R189-N(S189),0))</f>
        <v/>
      </c>
      <c r="X189" s="20" t="n"/>
      <c r="Y189" s="23">
        <f>IF(OR(X189="",W189=0),"",X189/W189-1)</f>
        <v/>
      </c>
      <c r="Z189" s="24" t="n"/>
      <c r="AA189" s="21" t="n"/>
      <c r="AB189" s="25" t="n"/>
      <c r="AC189" s="26">
        <f>IF(T189="","Chưa quyết định",IF(OR(Z189="",AA189=""),"⚠ Thiếu lý do/người duyệt",IF(AND(X189&lt;&gt;"",N(X189)+N(R189)+N(S189)&gt;M189*1.001,R189&lt;&gt;""),"⚠ Vượt mục tiêu P90",IF(AND(Y189&lt;&gt;"",ABS(N(Y189))&gt;0.3),"⚠ Lệch &gt; 30% so với nhu cầu",IF(Q189="Có","ℹ Kiểm tra ngoại suy KM","✓ Hợp lệ")))))</f>
        <v/>
      </c>
    </row>
    <row r="190">
      <c r="A190" s="16" t="n">
        <v>186</v>
      </c>
      <c r="B190" s="17" t="inlineStr">
        <is>
          <t>DEC-S11-DAIRY</t>
        </is>
      </c>
      <c r="C190" s="16" t="n">
        <v>11</v>
      </c>
      <c r="D190" s="17" t="inlineStr">
        <is>
          <t>DAIRY</t>
        </is>
      </c>
      <c r="E190" s="17" t="inlineStr">
        <is>
          <t>MEDIUM</t>
        </is>
      </c>
      <c r="F190" s="17" t="inlineStr">
        <is>
          <t>TRUNG BÌNH</t>
        </is>
      </c>
      <c r="G190" s="18" t="inlineStr">
        <is>
          <t>RISK_MEDIUM · LARGE_SERIES</t>
        </is>
      </c>
      <c r="H190" s="19" t="n">
        <v>9378.429992675779</v>
      </c>
      <c r="I190" s="19" t="n">
        <v>11338.68975830078</v>
      </c>
      <c r="J190" s="19" t="n">
        <v>13801.12750048828</v>
      </c>
      <c r="K190" s="19" t="n">
        <v>11338.68975830078</v>
      </c>
      <c r="L190" s="19" t="n">
        <v>12877.71334716797</v>
      </c>
      <c r="M190" s="19" t="n">
        <v>13801.12750048828</v>
      </c>
      <c r="N190" s="17" t="inlineStr">
        <is>
          <t>C</t>
        </is>
      </c>
      <c r="O190" s="19" t="n">
        <v>4730.175693847656</v>
      </c>
      <c r="P190" s="18" t="inlineStr">
        <is>
          <t>KHÔNG ĐỀ XUẤT TĂNG</t>
        </is>
      </c>
      <c r="Q190" s="17" t="inlineStr">
        <is>
          <t>Không</t>
        </is>
      </c>
      <c r="R190" s="20" t="n"/>
      <c r="S190" s="20" t="n"/>
      <c r="T190" s="21" t="n"/>
      <c r="U190" s="21" t="n"/>
      <c r="V190" s="22">
        <f>IF(U190="A",K190,IF(U190="B",L190,IF(U190="C",M190,IF(N190="A",K190,IF(N190="B",L190,M190)))))</f>
        <v/>
      </c>
      <c r="W190" s="22">
        <f>IF(R190="",O190,MAX(V190-R190-N(S190),0))</f>
        <v/>
      </c>
      <c r="X190" s="20" t="n"/>
      <c r="Y190" s="23">
        <f>IF(OR(X190="",W190=0),"",X190/W190-1)</f>
        <v/>
      </c>
      <c r="Z190" s="24" t="n"/>
      <c r="AA190" s="21" t="n"/>
      <c r="AB190" s="25" t="n"/>
      <c r="AC190" s="26">
        <f>IF(T190="","Chưa quyết định",IF(OR(Z190="",AA190=""),"⚠ Thiếu lý do/người duyệt",IF(AND(X190&lt;&gt;"",N(X190)+N(R190)+N(S190)&gt;M190*1.001,R190&lt;&gt;""),"⚠ Vượt mục tiêu P90",IF(AND(Y190&lt;&gt;"",ABS(N(Y190))&gt;0.3),"⚠ Lệch &gt; 30% so với nhu cầu",IF(Q190="Có","ℹ Kiểm tra ngoại suy KM","✓ Hợp lệ")))))</f>
        <v/>
      </c>
    </row>
    <row r="191">
      <c r="A191" s="16" t="n">
        <v>187</v>
      </c>
      <c r="B191" s="17" t="inlineStr">
        <is>
          <t>DEC-S28-BREAD_BAKERY</t>
        </is>
      </c>
      <c r="C191" s="16" t="n">
        <v>28</v>
      </c>
      <c r="D191" s="17" t="inlineStr">
        <is>
          <t>BREAD/BAKERY</t>
        </is>
      </c>
      <c r="E191" s="17" t="inlineStr">
        <is>
          <t>MEDIUM</t>
        </is>
      </c>
      <c r="F191" s="17" t="inlineStr">
        <is>
          <t>TRUNG BÌNH</t>
        </is>
      </c>
      <c r="G191" s="18" t="inlineStr">
        <is>
          <t>RISK_MEDIUM · LARGE_SERIES</t>
        </is>
      </c>
      <c r="H191" s="19" t="n">
        <v>9045.718884472655</v>
      </c>
      <c r="I191" s="19" t="n">
        <v>11300.94586181641</v>
      </c>
      <c r="J191" s="19" t="n">
        <v>14367.95902832031</v>
      </c>
      <c r="K191" s="19" t="n">
        <v>11300.94586181641</v>
      </c>
      <c r="L191" s="19" t="n">
        <v>13217.82909088135</v>
      </c>
      <c r="M191" s="19" t="n">
        <v>14367.95902832031</v>
      </c>
      <c r="N191" s="17" t="inlineStr">
        <is>
          <t>C</t>
        </is>
      </c>
      <c r="O191" s="19" t="n">
        <v>5327.202338867188</v>
      </c>
      <c r="P191" s="18" t="inlineStr">
        <is>
          <t>KHÔNG ĐỀ XUẤT TĂNG</t>
        </is>
      </c>
      <c r="Q191" s="17" t="inlineStr">
        <is>
          <t>Không</t>
        </is>
      </c>
      <c r="R191" s="20" t="n"/>
      <c r="S191" s="20" t="n"/>
      <c r="T191" s="21" t="n"/>
      <c r="U191" s="21" t="n"/>
      <c r="V191" s="22">
        <f>IF(U191="A",K191,IF(U191="B",L191,IF(U191="C",M191,IF(N191="A",K191,IF(N191="B",L191,M191)))))</f>
        <v/>
      </c>
      <c r="W191" s="22">
        <f>IF(R191="",O191,MAX(V191-R191-N(S191),0))</f>
        <v/>
      </c>
      <c r="X191" s="20" t="n"/>
      <c r="Y191" s="23">
        <f>IF(OR(X191="",W191=0),"",X191/W191-1)</f>
        <v/>
      </c>
      <c r="Z191" s="24" t="n"/>
      <c r="AA191" s="21" t="n"/>
      <c r="AB191" s="25" t="n"/>
      <c r="AC191" s="26">
        <f>IF(T191="","Chưa quyết định",IF(OR(Z191="",AA191=""),"⚠ Thiếu lý do/người duyệt",IF(AND(X191&lt;&gt;"",N(X191)+N(R191)+N(S191)&gt;M191*1.001,R191&lt;&gt;""),"⚠ Vượt mục tiêu P90",IF(AND(Y191&lt;&gt;"",ABS(N(Y191))&gt;0.3),"⚠ Lệch &gt; 30% so với nhu cầu",IF(Q191="Có","ℹ Kiểm tra ngoại suy KM","✓ Hợp lệ")))))</f>
        <v/>
      </c>
    </row>
    <row r="192">
      <c r="A192" s="16" t="n">
        <v>188</v>
      </c>
      <c r="B192" s="17" t="inlineStr">
        <is>
          <t>DEC-S10-CLEANING</t>
        </is>
      </c>
      <c r="C192" s="16" t="n">
        <v>10</v>
      </c>
      <c r="D192" s="17" t="inlineStr">
        <is>
          <t>CLEANING</t>
        </is>
      </c>
      <c r="E192" s="17" t="inlineStr">
        <is>
          <t>MEDIUM</t>
        </is>
      </c>
      <c r="F192" s="17" t="inlineStr">
        <is>
          <t>TRUNG BÌNH</t>
        </is>
      </c>
      <c r="G192" s="18" t="inlineStr">
        <is>
          <t>RISK_MEDIUM · LARGE_SERIES</t>
        </is>
      </c>
      <c r="H192" s="19" t="n">
        <v>9220.958984375</v>
      </c>
      <c r="I192" s="19" t="n">
        <v>11181.21875</v>
      </c>
      <c r="J192" s="19" t="n">
        <v>13643.6564921875</v>
      </c>
      <c r="K192" s="19" t="n">
        <v>11181.21875</v>
      </c>
      <c r="L192" s="19" t="n">
        <v>12720.24233886719</v>
      </c>
      <c r="M192" s="19" t="n">
        <v>13643.6564921875</v>
      </c>
      <c r="N192" s="17" t="inlineStr">
        <is>
          <t>C</t>
        </is>
      </c>
      <c r="O192" s="19" t="n">
        <v>4698.681492187499</v>
      </c>
      <c r="P192" s="18" t="inlineStr">
        <is>
          <t>KHÔNG ĐỀ XUẤT TĂNG</t>
        </is>
      </c>
      <c r="Q192" s="17" t="inlineStr">
        <is>
          <t>Không</t>
        </is>
      </c>
      <c r="R192" s="20" t="n"/>
      <c r="S192" s="20" t="n"/>
      <c r="T192" s="21" t="n"/>
      <c r="U192" s="21" t="n"/>
      <c r="V192" s="22">
        <f>IF(U192="A",K192,IF(U192="B",L192,IF(U192="C",M192,IF(N192="A",K192,IF(N192="B",L192,M192)))))</f>
        <v/>
      </c>
      <c r="W192" s="22">
        <f>IF(R192="",O192,MAX(V192-R192-N(S192),0))</f>
        <v/>
      </c>
      <c r="X192" s="20" t="n"/>
      <c r="Y192" s="23">
        <f>IF(OR(X192="",W192=0),"",X192/W192-1)</f>
        <v/>
      </c>
      <c r="Z192" s="24" t="n"/>
      <c r="AA192" s="21" t="n"/>
      <c r="AB192" s="25" t="n"/>
      <c r="AC192" s="26">
        <f>IF(T192="","Chưa quyết định",IF(OR(Z192="",AA192=""),"⚠ Thiếu lý do/người duyệt",IF(AND(X192&lt;&gt;"",N(X192)+N(R192)+N(S192)&gt;M192*1.001,R192&lt;&gt;""),"⚠ Vượt mục tiêu P90",IF(AND(Y192&lt;&gt;"",ABS(N(Y192))&gt;0.3),"⚠ Lệch &gt; 30% so với nhu cầu",IF(Q192="Có","ℹ Kiểm tra ngoại suy KM","✓ Hợp lệ")))))</f>
        <v/>
      </c>
    </row>
    <row r="193">
      <c r="A193" s="16" t="n">
        <v>189</v>
      </c>
      <c r="B193" s="17" t="inlineStr">
        <is>
          <t>DEC-S46-HOME_CARE</t>
        </is>
      </c>
      <c r="C193" s="16" t="n">
        <v>46</v>
      </c>
      <c r="D193" s="17" t="inlineStr">
        <is>
          <t>HOME CARE</t>
        </is>
      </c>
      <c r="E193" s="17" t="inlineStr">
        <is>
          <t>MEDIUM</t>
        </is>
      </c>
      <c r="F193" s="17" t="inlineStr">
        <is>
          <t>TRUNG BÌNH</t>
        </is>
      </c>
      <c r="G193" s="18" t="inlineStr">
        <is>
          <t>RISK_MEDIUM · LARGE_SERIES</t>
        </is>
      </c>
      <c r="H193" s="19" t="n">
        <v>9088.728637695312</v>
      </c>
      <c r="I193" s="19" t="n">
        <v>11048.98840332031</v>
      </c>
      <c r="J193" s="19" t="n">
        <v>13511.42614550781</v>
      </c>
      <c r="K193" s="19" t="n">
        <v>11048.98840332031</v>
      </c>
      <c r="L193" s="19" t="n">
        <v>12588.0119921875</v>
      </c>
      <c r="M193" s="19" t="n">
        <v>13511.42614550781</v>
      </c>
      <c r="N193" s="17" t="inlineStr">
        <is>
          <t>C</t>
        </is>
      </c>
      <c r="O193" s="19" t="n">
        <v>4672.235422851561</v>
      </c>
      <c r="P193" s="18" t="inlineStr">
        <is>
          <t>KHÔNG ĐỀ XUẤT TĂNG</t>
        </is>
      </c>
      <c r="Q193" s="17" t="inlineStr">
        <is>
          <t>Không</t>
        </is>
      </c>
      <c r="R193" s="20" t="n"/>
      <c r="S193" s="20" t="n"/>
      <c r="T193" s="21" t="n"/>
      <c r="U193" s="21" t="n"/>
      <c r="V193" s="22">
        <f>IF(U193="A",K193,IF(U193="B",L193,IF(U193="C",M193,IF(N193="A",K193,IF(N193="B",L193,M193)))))</f>
        <v/>
      </c>
      <c r="W193" s="22">
        <f>IF(R193="",O193,MAX(V193-R193-N(S193),0))</f>
        <v/>
      </c>
      <c r="X193" s="20" t="n"/>
      <c r="Y193" s="23">
        <f>IF(OR(X193="",W193=0),"",X193/W193-1)</f>
        <v/>
      </c>
      <c r="Z193" s="24" t="n"/>
      <c r="AA193" s="21" t="n"/>
      <c r="AB193" s="25" t="n"/>
      <c r="AC193" s="26">
        <f>IF(T193="","Chưa quyết định",IF(OR(Z193="",AA193=""),"⚠ Thiếu lý do/người duyệt",IF(AND(X193&lt;&gt;"",N(X193)+N(R193)+N(S193)&gt;M193*1.001,R193&lt;&gt;""),"⚠ Vượt mục tiêu P90",IF(AND(Y193&lt;&gt;"",ABS(N(Y193))&gt;0.3),"⚠ Lệch &gt; 30% so với nhu cầu",IF(Q193="Có","ℹ Kiểm tra ngoại suy KM","✓ Hợp lệ")))))</f>
        <v/>
      </c>
    </row>
    <row r="194">
      <c r="A194" s="16" t="n">
        <v>190</v>
      </c>
      <c r="B194" s="17" t="inlineStr">
        <is>
          <t>DEC-S07-POULTRY</t>
        </is>
      </c>
      <c r="C194" s="16" t="n">
        <v>7</v>
      </c>
      <c r="D194" s="17" t="inlineStr">
        <is>
          <t>POULTRY</t>
        </is>
      </c>
      <c r="E194" s="17" t="inlineStr">
        <is>
          <t>MEDIUM</t>
        </is>
      </c>
      <c r="F194" s="17" t="inlineStr">
        <is>
          <t>TRUNG BÌNH</t>
        </is>
      </c>
      <c r="G194" s="18" t="inlineStr">
        <is>
          <t>RISK_MEDIUM · LARGE_SERIES</t>
        </is>
      </c>
      <c r="H194" s="19" t="n">
        <v>9012.526733398438</v>
      </c>
      <c r="I194" s="19" t="n">
        <v>10972.78649902344</v>
      </c>
      <c r="J194" s="19" t="n">
        <v>13435.22424121094</v>
      </c>
      <c r="K194" s="19" t="n">
        <v>10972.78649902344</v>
      </c>
      <c r="L194" s="19" t="n">
        <v>12511.81008789062</v>
      </c>
      <c r="M194" s="19" t="n">
        <v>13435.22424121094</v>
      </c>
      <c r="N194" s="17" t="inlineStr">
        <is>
          <t>C</t>
        </is>
      </c>
      <c r="O194" s="19" t="n">
        <v>4656.995041992184</v>
      </c>
      <c r="P194" s="18" t="inlineStr">
        <is>
          <t>KHÔNG ĐỀ XUẤT TĂNG</t>
        </is>
      </c>
      <c r="Q194" s="17" t="inlineStr">
        <is>
          <t>Không</t>
        </is>
      </c>
      <c r="R194" s="20" t="n"/>
      <c r="S194" s="20" t="n"/>
      <c r="T194" s="21" t="n"/>
      <c r="U194" s="21" t="n"/>
      <c r="V194" s="22">
        <f>IF(U194="A",K194,IF(U194="B",L194,IF(U194="C",M194,IF(N194="A",K194,IF(N194="B",L194,M194)))))</f>
        <v/>
      </c>
      <c r="W194" s="22">
        <f>IF(R194="",O194,MAX(V194-R194-N(S194),0))</f>
        <v/>
      </c>
      <c r="X194" s="20" t="n"/>
      <c r="Y194" s="23">
        <f>IF(OR(X194="",W194=0),"",X194/W194-1)</f>
        <v/>
      </c>
      <c r="Z194" s="24" t="n"/>
      <c r="AA194" s="21" t="n"/>
      <c r="AB194" s="25" t="n"/>
      <c r="AC194" s="26">
        <f>IF(T194="","Chưa quyết định",IF(OR(Z194="",AA194=""),"⚠ Thiếu lý do/người duyệt",IF(AND(X194&lt;&gt;"",N(X194)+N(R194)+N(S194)&gt;M194*1.001,R194&lt;&gt;""),"⚠ Vượt mục tiêu P90",IF(AND(Y194&lt;&gt;"",ABS(N(Y194))&gt;0.3),"⚠ Lệch &gt; 30% so với nhu cầu",IF(Q194="Có","ℹ Kiểm tra ngoại suy KM","✓ Hợp lệ")))))</f>
        <v/>
      </c>
    </row>
    <row r="195">
      <c r="A195" s="16" t="n">
        <v>191</v>
      </c>
      <c r="B195" s="17" t="inlineStr">
        <is>
          <t>DEC-S02-BREAD_BAKERY</t>
        </is>
      </c>
      <c r="C195" s="16" t="n">
        <v>2</v>
      </c>
      <c r="D195" s="17" t="inlineStr">
        <is>
          <t>BREAD/BAKERY</t>
        </is>
      </c>
      <c r="E195" s="17" t="inlineStr">
        <is>
          <t>MEDIUM</t>
        </is>
      </c>
      <c r="F195" s="17" t="inlineStr">
        <is>
          <t>TRUNG BÌNH</t>
        </is>
      </c>
      <c r="G195" s="18" t="inlineStr">
        <is>
          <t>RISK_MEDIUM · LARGE_SERIES</t>
        </is>
      </c>
      <c r="H195" s="19" t="n">
        <v>8913.357971191406</v>
      </c>
      <c r="I195" s="19" t="n">
        <v>10873.61773681641</v>
      </c>
      <c r="J195" s="19" t="n">
        <v>13336.05547900391</v>
      </c>
      <c r="K195" s="19" t="n">
        <v>10873.61773681641</v>
      </c>
      <c r="L195" s="19" t="n">
        <v>12412.64132568359</v>
      </c>
      <c r="M195" s="19" t="n">
        <v>13336.05547900391</v>
      </c>
      <c r="N195" s="17" t="inlineStr">
        <is>
          <t>C</t>
        </is>
      </c>
      <c r="O195" s="19" t="n">
        <v>4637.161289550781</v>
      </c>
      <c r="P195" s="18" t="inlineStr">
        <is>
          <t>KHÔNG ĐỀ XUẤT TĂNG</t>
        </is>
      </c>
      <c r="Q195" s="17" t="inlineStr">
        <is>
          <t>Không</t>
        </is>
      </c>
      <c r="R195" s="20" t="n"/>
      <c r="S195" s="20" t="n"/>
      <c r="T195" s="21" t="n"/>
      <c r="U195" s="21" t="n"/>
      <c r="V195" s="22">
        <f>IF(U195="A",K195,IF(U195="B",L195,IF(U195="C",M195,IF(N195="A",K195,IF(N195="B",L195,M195)))))</f>
        <v/>
      </c>
      <c r="W195" s="22">
        <f>IF(R195="",O195,MAX(V195-R195-N(S195),0))</f>
        <v/>
      </c>
      <c r="X195" s="20" t="n"/>
      <c r="Y195" s="23">
        <f>IF(OR(X195="",W195=0),"",X195/W195-1)</f>
        <v/>
      </c>
      <c r="Z195" s="24" t="n"/>
      <c r="AA195" s="21" t="n"/>
      <c r="AB195" s="25" t="n"/>
      <c r="AC195" s="26">
        <f>IF(T195="","Chưa quyết định",IF(OR(Z195="",AA195=""),"⚠ Thiếu lý do/người duyệt",IF(AND(X195&lt;&gt;"",N(X195)+N(R195)+N(S195)&gt;M195*1.001,R195&lt;&gt;""),"⚠ Vượt mục tiêu P90",IF(AND(Y195&lt;&gt;"",ABS(N(Y195))&gt;0.3),"⚠ Lệch &gt; 30% so với nhu cầu",IF(Q195="Có","ℹ Kiểm tra ngoại suy KM","✓ Hợp lệ")))))</f>
        <v/>
      </c>
    </row>
    <row r="196">
      <c r="A196" s="16" t="n">
        <v>192</v>
      </c>
      <c r="B196" s="17" t="inlineStr">
        <is>
          <t>DEC-S48-DELI</t>
        </is>
      </c>
      <c r="C196" s="16" t="n">
        <v>48</v>
      </c>
      <c r="D196" s="17" t="inlineStr">
        <is>
          <t>DELI</t>
        </is>
      </c>
      <c r="E196" s="17" t="inlineStr">
        <is>
          <t>MEDIUM</t>
        </is>
      </c>
      <c r="F196" s="17" t="inlineStr">
        <is>
          <t>TRUNG BÌNH</t>
        </is>
      </c>
      <c r="G196" s="18" t="inlineStr">
        <is>
          <t>RISK_MEDIUM · LARGE_SERIES</t>
        </is>
      </c>
      <c r="H196" s="19" t="n">
        <v>8903.409271240234</v>
      </c>
      <c r="I196" s="19" t="n">
        <v>10863.66903686523</v>
      </c>
      <c r="J196" s="19" t="n">
        <v>13326.10677905273</v>
      </c>
      <c r="K196" s="19" t="n">
        <v>10863.66903686523</v>
      </c>
      <c r="L196" s="19" t="n">
        <v>12402.69262573242</v>
      </c>
      <c r="M196" s="19" t="n">
        <v>13326.10677905273</v>
      </c>
      <c r="N196" s="17" t="inlineStr">
        <is>
          <t>C</t>
        </is>
      </c>
      <c r="O196" s="19" t="n">
        <v>4635.171549560546</v>
      </c>
      <c r="P196" s="18" t="inlineStr">
        <is>
          <t>KHÔNG ĐỀ XUẤT TĂNG</t>
        </is>
      </c>
      <c r="Q196" s="17" t="inlineStr">
        <is>
          <t>Không</t>
        </is>
      </c>
      <c r="R196" s="20" t="n"/>
      <c r="S196" s="20" t="n"/>
      <c r="T196" s="21" t="n"/>
      <c r="U196" s="21" t="n"/>
      <c r="V196" s="22">
        <f>IF(U196="A",K196,IF(U196="B",L196,IF(U196="C",M196,IF(N196="A",K196,IF(N196="B",L196,M196)))))</f>
        <v/>
      </c>
      <c r="W196" s="22">
        <f>IF(R196="",O196,MAX(V196-R196-N(S196),0))</f>
        <v/>
      </c>
      <c r="X196" s="20" t="n"/>
      <c r="Y196" s="23">
        <f>IF(OR(X196="",W196=0),"",X196/W196-1)</f>
        <v/>
      </c>
      <c r="Z196" s="24" t="n"/>
      <c r="AA196" s="21" t="n"/>
      <c r="AB196" s="25" t="n"/>
      <c r="AC196" s="26">
        <f>IF(T196="","Chưa quyết định",IF(OR(Z196="",AA196=""),"⚠ Thiếu lý do/người duyệt",IF(AND(X196&lt;&gt;"",N(X196)+N(R196)+N(S196)&gt;M196*1.001,R196&lt;&gt;""),"⚠ Vượt mục tiêu P90",IF(AND(Y196&lt;&gt;"",ABS(N(Y196))&gt;0.3),"⚠ Lệch &gt; 30% so với nhu cầu",IF(Q196="Có","ℹ Kiểm tra ngoại suy KM","✓ Hợp lệ")))))</f>
        <v/>
      </c>
    </row>
    <row r="197">
      <c r="A197" s="16" t="n">
        <v>193</v>
      </c>
      <c r="B197" s="17" t="inlineStr">
        <is>
          <t>DEC-S21-DAIRY</t>
        </is>
      </c>
      <c r="C197" s="16" t="n">
        <v>21</v>
      </c>
      <c r="D197" s="17" t="inlineStr">
        <is>
          <t>DAIRY</t>
        </is>
      </c>
      <c r="E197" s="17" t="inlineStr">
        <is>
          <t>MEDIUM</t>
        </is>
      </c>
      <c r="F197" s="17" t="inlineStr">
        <is>
          <t>TRUNG BÌNH</t>
        </is>
      </c>
      <c r="G197" s="18" t="inlineStr">
        <is>
          <t>RISK_MEDIUM · LARGE_SERIES</t>
        </is>
      </c>
      <c r="H197" s="19" t="n">
        <v>8901.861480712891</v>
      </c>
      <c r="I197" s="19" t="n">
        <v>10862.12124633789</v>
      </c>
      <c r="J197" s="19" t="n">
        <v>13324.55898852539</v>
      </c>
      <c r="K197" s="19" t="n">
        <v>10862.12124633789</v>
      </c>
      <c r="L197" s="19" t="n">
        <v>12401.14483520508</v>
      </c>
      <c r="M197" s="19" t="n">
        <v>13324.55898852539</v>
      </c>
      <c r="N197" s="17" t="inlineStr">
        <is>
          <t>C</t>
        </is>
      </c>
      <c r="O197" s="19" t="n">
        <v>4634.861991455078</v>
      </c>
      <c r="P197" s="18" t="inlineStr">
        <is>
          <t>KHÔNG ĐỀ XUẤT TĂNG</t>
        </is>
      </c>
      <c r="Q197" s="17" t="inlineStr">
        <is>
          <t>Không</t>
        </is>
      </c>
      <c r="R197" s="20" t="n"/>
      <c r="S197" s="20" t="n"/>
      <c r="T197" s="21" t="n"/>
      <c r="U197" s="21" t="n"/>
      <c r="V197" s="22">
        <f>IF(U197="A",K197,IF(U197="B",L197,IF(U197="C",M197,IF(N197="A",K197,IF(N197="B",L197,M197)))))</f>
        <v/>
      </c>
      <c r="W197" s="22">
        <f>IF(R197="",O197,MAX(V197-R197-N(S197),0))</f>
        <v/>
      </c>
      <c r="X197" s="20" t="n"/>
      <c r="Y197" s="23">
        <f>IF(OR(X197="",W197=0),"",X197/W197-1)</f>
        <v/>
      </c>
      <c r="Z197" s="24" t="n"/>
      <c r="AA197" s="21" t="n"/>
      <c r="AB197" s="25" t="n"/>
      <c r="AC197" s="26">
        <f>IF(T197="","Chưa quyết định",IF(OR(Z197="",AA197=""),"⚠ Thiếu lý do/người duyệt",IF(AND(X197&lt;&gt;"",N(X197)+N(R197)+N(S197)&gt;M197*1.001,R197&lt;&gt;""),"⚠ Vượt mục tiêu P90",IF(AND(Y197&lt;&gt;"",ABS(N(Y197))&gt;0.3),"⚠ Lệch &gt; 30% so với nhu cầu",IF(Q197="Có","ℹ Kiểm tra ngoại suy KM","✓ Hợp lệ")))))</f>
        <v/>
      </c>
    </row>
    <row r="198">
      <c r="A198" s="16" t="n">
        <v>194</v>
      </c>
      <c r="B198" s="17" t="inlineStr">
        <is>
          <t>DEC-S40-DAIRY</t>
        </is>
      </c>
      <c r="C198" s="16" t="n">
        <v>40</v>
      </c>
      <c r="D198" s="17" t="inlineStr">
        <is>
          <t>DAIRY</t>
        </is>
      </c>
      <c r="E198" s="17" t="inlineStr">
        <is>
          <t>MEDIUM</t>
        </is>
      </c>
      <c r="F198" s="17" t="inlineStr">
        <is>
          <t>TRUNG BÌNH</t>
        </is>
      </c>
      <c r="G198" s="18" t="inlineStr">
        <is>
          <t>RISK_MEDIUM · LARGE_SERIES</t>
        </is>
      </c>
      <c r="H198" s="19" t="n">
        <v>8871.794372558594</v>
      </c>
      <c r="I198" s="19" t="n">
        <v>10832.05413818359</v>
      </c>
      <c r="J198" s="19" t="n">
        <v>13294.49188037109</v>
      </c>
      <c r="K198" s="19" t="n">
        <v>10832.05413818359</v>
      </c>
      <c r="L198" s="19" t="n">
        <v>12371.07772705078</v>
      </c>
      <c r="M198" s="19" t="n">
        <v>13294.49188037109</v>
      </c>
      <c r="N198" s="17" t="inlineStr">
        <is>
          <t>C</t>
        </is>
      </c>
      <c r="O198" s="19" t="n">
        <v>4628.848569824217</v>
      </c>
      <c r="P198" s="18" t="inlineStr">
        <is>
          <t>KHÔNG ĐỀ XUẤT TĂNG</t>
        </is>
      </c>
      <c r="Q198" s="17" t="inlineStr">
        <is>
          <t>Không</t>
        </is>
      </c>
      <c r="R198" s="20" t="n"/>
      <c r="S198" s="20" t="n"/>
      <c r="T198" s="21" t="n"/>
      <c r="U198" s="21" t="n"/>
      <c r="V198" s="22">
        <f>IF(U198="A",K198,IF(U198="B",L198,IF(U198="C",M198,IF(N198="A",K198,IF(N198="B",L198,M198)))))</f>
        <v/>
      </c>
      <c r="W198" s="22">
        <f>IF(R198="",O198,MAX(V198-R198-N(S198),0))</f>
        <v/>
      </c>
      <c r="X198" s="20" t="n"/>
      <c r="Y198" s="23">
        <f>IF(OR(X198="",W198=0),"",X198/W198-1)</f>
        <v/>
      </c>
      <c r="Z198" s="24" t="n"/>
      <c r="AA198" s="21" t="n"/>
      <c r="AB198" s="25" t="n"/>
      <c r="AC198" s="26">
        <f>IF(T198="","Chưa quyết định",IF(OR(Z198="",AA198=""),"⚠ Thiếu lý do/người duyệt",IF(AND(X198&lt;&gt;"",N(X198)+N(R198)+N(S198)&gt;M198*1.001,R198&lt;&gt;""),"⚠ Vượt mục tiêu P90",IF(AND(Y198&lt;&gt;"",ABS(N(Y198))&gt;0.3),"⚠ Lệch &gt; 30% so với nhu cầu",IF(Q198="Có","ℹ Kiểm tra ngoại suy KM","✓ Hợp lệ")))))</f>
        <v/>
      </c>
    </row>
    <row r="199">
      <c r="A199" s="16" t="n">
        <v>195</v>
      </c>
      <c r="B199" s="17" t="inlineStr">
        <is>
          <t>DEC-S01-CLEANING</t>
        </is>
      </c>
      <c r="C199" s="16" t="n">
        <v>1</v>
      </c>
      <c r="D199" s="17" t="inlineStr">
        <is>
          <t>CLEANING</t>
        </is>
      </c>
      <c r="E199" s="17" t="inlineStr">
        <is>
          <t>MEDIUM</t>
        </is>
      </c>
      <c r="F199" s="17" t="inlineStr">
        <is>
          <t>TRUNG BÌNH</t>
        </is>
      </c>
      <c r="G199" s="18" t="inlineStr">
        <is>
          <t>RISK_MEDIUM · LARGE_SERIES</t>
        </is>
      </c>
      <c r="H199" s="19" t="n">
        <v>8904.161912597656</v>
      </c>
      <c r="I199" s="19" t="n">
        <v>10731.4501237793</v>
      </c>
      <c r="J199" s="19" t="n">
        <v>13029.86794873047</v>
      </c>
      <c r="K199" s="19" t="n">
        <v>10731.4501237793</v>
      </c>
      <c r="L199" s="19" t="n">
        <v>12167.96126437378</v>
      </c>
      <c r="M199" s="19" t="n">
        <v>13029.86794873047</v>
      </c>
      <c r="N199" s="17" t="inlineStr">
        <is>
          <t>C</t>
        </is>
      </c>
      <c r="O199" s="19" t="n">
        <v>4444.707849707029</v>
      </c>
      <c r="P199" s="18" t="inlineStr">
        <is>
          <t>KHÔNG ĐỀ XUẤT TĂNG</t>
        </is>
      </c>
      <c r="Q199" s="17" t="inlineStr">
        <is>
          <t>Không</t>
        </is>
      </c>
      <c r="R199" s="20" t="n"/>
      <c r="S199" s="20" t="n"/>
      <c r="T199" s="21" t="n"/>
      <c r="U199" s="21" t="n"/>
      <c r="V199" s="22">
        <f>IF(U199="A",K199,IF(U199="B",L199,IF(U199="C",M199,IF(N199="A",K199,IF(N199="B",L199,M199)))))</f>
        <v/>
      </c>
      <c r="W199" s="22">
        <f>IF(R199="",O199,MAX(V199-R199-N(S199),0))</f>
        <v/>
      </c>
      <c r="X199" s="20" t="n"/>
      <c r="Y199" s="23">
        <f>IF(OR(X199="",W199=0),"",X199/W199-1)</f>
        <v/>
      </c>
      <c r="Z199" s="24" t="n"/>
      <c r="AA199" s="21" t="n"/>
      <c r="AB199" s="25" t="n"/>
      <c r="AC199" s="26">
        <f>IF(T199="","Chưa quyết định",IF(OR(Z199="",AA199=""),"⚠ Thiếu lý do/người duyệt",IF(AND(X199&lt;&gt;"",N(X199)+N(R199)+N(S199)&gt;M199*1.001,R199&lt;&gt;""),"⚠ Vượt mục tiêu P90",IF(AND(Y199&lt;&gt;"",ABS(N(Y199))&gt;0.3),"⚠ Lệch &gt; 30% so với nhu cầu",IF(Q199="Có","ℹ Kiểm tra ngoại suy KM","✓ Hợp lệ")))))</f>
        <v/>
      </c>
    </row>
    <row r="200">
      <c r="A200" s="16" t="n">
        <v>196</v>
      </c>
      <c r="B200" s="17" t="inlineStr">
        <is>
          <t>DEC-S44-EGGS</t>
        </is>
      </c>
      <c r="C200" s="16" t="n">
        <v>44</v>
      </c>
      <c r="D200" s="17" t="inlineStr">
        <is>
          <t>EGGS</t>
        </is>
      </c>
      <c r="E200" s="17" t="inlineStr">
        <is>
          <t>MEDIUM</t>
        </is>
      </c>
      <c r="F200" s="17" t="inlineStr">
        <is>
          <t>TRUNG BÌNH</t>
        </is>
      </c>
      <c r="G200" s="18" t="inlineStr">
        <is>
          <t>RISK_MEDIUM · LARGE_SERIES</t>
        </is>
      </c>
      <c r="H200" s="19" t="n">
        <v>8712.926781494141</v>
      </c>
      <c r="I200" s="19" t="n">
        <v>10606.70076989746</v>
      </c>
      <c r="J200" s="19" t="n">
        <v>12987.1285534668</v>
      </c>
      <c r="K200" s="19" t="n">
        <v>10606.70076989746</v>
      </c>
      <c r="L200" s="19" t="n">
        <v>12094.4681346283</v>
      </c>
      <c r="M200" s="19" t="n">
        <v>12987.1285534668</v>
      </c>
      <c r="N200" s="17" t="inlineStr">
        <is>
          <t>C</t>
        </is>
      </c>
      <c r="O200" s="19" t="n">
        <v>4501.767937548828</v>
      </c>
      <c r="P200" s="18" t="inlineStr">
        <is>
          <t>CÂN NHẮC THỬ NGHIỆM</t>
        </is>
      </c>
      <c r="Q200" s="17" t="inlineStr">
        <is>
          <t>Không</t>
        </is>
      </c>
      <c r="R200" s="20" t="n"/>
      <c r="S200" s="20" t="n"/>
      <c r="T200" s="21" t="n"/>
      <c r="U200" s="21" t="n"/>
      <c r="V200" s="22">
        <f>IF(U200="A",K200,IF(U200="B",L200,IF(U200="C",M200,IF(N200="A",K200,IF(N200="B",L200,M200)))))</f>
        <v/>
      </c>
      <c r="W200" s="22">
        <f>IF(R200="",O200,MAX(V200-R200-N(S200),0))</f>
        <v/>
      </c>
      <c r="X200" s="20" t="n"/>
      <c r="Y200" s="23">
        <f>IF(OR(X200="",W200=0),"",X200/W200-1)</f>
        <v/>
      </c>
      <c r="Z200" s="24" t="n"/>
      <c r="AA200" s="21" t="n"/>
      <c r="AB200" s="25" t="n"/>
      <c r="AC200" s="26">
        <f>IF(T200="","Chưa quyết định",IF(OR(Z200="",AA200=""),"⚠ Thiếu lý do/người duyệt",IF(AND(X200&lt;&gt;"",N(X200)+N(R200)+N(S200)&gt;M200*1.001,R200&lt;&gt;""),"⚠ Vượt mục tiêu P90",IF(AND(Y200&lt;&gt;"",ABS(N(Y200))&gt;0.3),"⚠ Lệch &gt; 30% so với nhu cầu",IF(Q200="Có","ℹ Kiểm tra ngoại suy KM","✓ Hợp lệ")))))</f>
        <v/>
      </c>
    </row>
    <row r="201">
      <c r="A201" s="16" t="n">
        <v>197</v>
      </c>
      <c r="B201" s="17" t="inlineStr">
        <is>
          <t>DEC-S36-DAIRY</t>
        </is>
      </c>
      <c r="C201" s="16" t="n">
        <v>36</v>
      </c>
      <c r="D201" s="17" t="inlineStr">
        <is>
          <t>DAIRY</t>
        </is>
      </c>
      <c r="E201" s="17" t="inlineStr">
        <is>
          <t>MEDIUM</t>
        </is>
      </c>
      <c r="F201" s="17" t="inlineStr">
        <is>
          <t>TRUNG BÌNH</t>
        </is>
      </c>
      <c r="G201" s="18" t="inlineStr">
        <is>
          <t>RISK_MEDIUM · LARGE_SERIES</t>
        </is>
      </c>
      <c r="H201" s="19" t="n">
        <v>8622.985443115234</v>
      </c>
      <c r="I201" s="19" t="n">
        <v>10583.24520874023</v>
      </c>
      <c r="J201" s="19" t="n">
        <v>13045.68295092773</v>
      </c>
      <c r="K201" s="19" t="n">
        <v>10583.24520874023</v>
      </c>
      <c r="L201" s="19" t="n">
        <v>12122.26879760742</v>
      </c>
      <c r="M201" s="19" t="n">
        <v>13045.68295092773</v>
      </c>
      <c r="N201" s="17" t="inlineStr">
        <is>
          <t>C</t>
        </is>
      </c>
      <c r="O201" s="19" t="n">
        <v>4579.086783935547</v>
      </c>
      <c r="P201" s="18" t="inlineStr">
        <is>
          <t>KHÔNG ĐỀ XUẤT TĂNG</t>
        </is>
      </c>
      <c r="Q201" s="17" t="inlineStr">
        <is>
          <t>Không</t>
        </is>
      </c>
      <c r="R201" s="20" t="n"/>
      <c r="S201" s="20" t="n"/>
      <c r="T201" s="21" t="n"/>
      <c r="U201" s="21" t="n"/>
      <c r="V201" s="22">
        <f>IF(U201="A",K201,IF(U201="B",L201,IF(U201="C",M201,IF(N201="A",K201,IF(N201="B",L201,M201)))))</f>
        <v/>
      </c>
      <c r="W201" s="22">
        <f>IF(R201="",O201,MAX(V201-R201-N(S201),0))</f>
        <v/>
      </c>
      <c r="X201" s="20" t="n"/>
      <c r="Y201" s="23">
        <f>IF(OR(X201="",W201=0),"",X201/W201-1)</f>
        <v/>
      </c>
      <c r="Z201" s="24" t="n"/>
      <c r="AA201" s="21" t="n"/>
      <c r="AB201" s="25" t="n"/>
      <c r="AC201" s="26">
        <f>IF(T201="","Chưa quyết định",IF(OR(Z201="",AA201=""),"⚠ Thiếu lý do/người duyệt",IF(AND(X201&lt;&gt;"",N(X201)+N(R201)+N(S201)&gt;M201*1.001,R201&lt;&gt;""),"⚠ Vượt mục tiêu P90",IF(AND(Y201&lt;&gt;"",ABS(N(Y201))&gt;0.3),"⚠ Lệch &gt; 30% so với nhu cầu",IF(Q201="Có","ℹ Kiểm tra ngoại suy KM","✓ Hợp lệ")))))</f>
        <v/>
      </c>
    </row>
    <row r="202">
      <c r="A202" s="16" t="n">
        <v>198</v>
      </c>
      <c r="B202" s="17" t="inlineStr">
        <is>
          <t>DEC-S08-POULTRY</t>
        </is>
      </c>
      <c r="C202" s="16" t="n">
        <v>8</v>
      </c>
      <c r="D202" s="17" t="inlineStr">
        <is>
          <t>POULTRY</t>
        </is>
      </c>
      <c r="E202" s="17" t="inlineStr">
        <is>
          <t>MEDIUM</t>
        </is>
      </c>
      <c r="F202" s="17" t="inlineStr">
        <is>
          <t>TRUNG BÌNH</t>
        </is>
      </c>
      <c r="G202" s="18" t="inlineStr">
        <is>
          <t>RISK_MEDIUM · LARGE_SERIES</t>
        </is>
      </c>
      <c r="H202" s="19" t="n">
        <v>8613.494476318359</v>
      </c>
      <c r="I202" s="19" t="n">
        <v>10573.75424194336</v>
      </c>
      <c r="J202" s="19" t="n">
        <v>13036.19198413086</v>
      </c>
      <c r="K202" s="19" t="n">
        <v>10573.75424194336</v>
      </c>
      <c r="L202" s="19" t="n">
        <v>12112.77783081055</v>
      </c>
      <c r="M202" s="19" t="n">
        <v>13036.19198413086</v>
      </c>
      <c r="N202" s="17" t="inlineStr">
        <is>
          <t>C</t>
        </is>
      </c>
      <c r="O202" s="19" t="n">
        <v>4577.188590576174</v>
      </c>
      <c r="P202" s="18" t="inlineStr">
        <is>
          <t>KHÔNG ĐỀ XUẤT TĂNG</t>
        </is>
      </c>
      <c r="Q202" s="17" t="inlineStr">
        <is>
          <t>Không</t>
        </is>
      </c>
      <c r="R202" s="20" t="n"/>
      <c r="S202" s="20" t="n"/>
      <c r="T202" s="21" t="n"/>
      <c r="U202" s="21" t="n"/>
      <c r="V202" s="22">
        <f>IF(U202="A",K202,IF(U202="B",L202,IF(U202="C",M202,IF(N202="A",K202,IF(N202="B",L202,M202)))))</f>
        <v/>
      </c>
      <c r="W202" s="22">
        <f>IF(R202="",O202,MAX(V202-R202-N(S202),0))</f>
        <v/>
      </c>
      <c r="X202" s="20" t="n"/>
      <c r="Y202" s="23">
        <f>IF(OR(X202="",W202=0),"",X202/W202-1)</f>
        <v/>
      </c>
      <c r="Z202" s="24" t="n"/>
      <c r="AA202" s="21" t="n"/>
      <c r="AB202" s="25" t="n"/>
      <c r="AC202" s="26">
        <f>IF(T202="","Chưa quyết định",IF(OR(Z202="",AA202=""),"⚠ Thiếu lý do/người duyệt",IF(AND(X202&lt;&gt;"",N(X202)+N(R202)+N(S202)&gt;M202*1.001,R202&lt;&gt;""),"⚠ Vượt mục tiêu P90",IF(AND(Y202&lt;&gt;"",ABS(N(Y202))&gt;0.3),"⚠ Lệch &gt; 30% so với nhu cầu",IF(Q202="Có","ℹ Kiểm tra ngoại suy KM","✓ Hợp lệ")))))</f>
        <v/>
      </c>
    </row>
    <row r="203">
      <c r="A203" s="16" t="n">
        <v>199</v>
      </c>
      <c r="B203" s="17" t="inlineStr">
        <is>
          <t>DEC-S51-MEATS</t>
        </is>
      </c>
      <c r="C203" s="16" t="n">
        <v>51</v>
      </c>
      <c r="D203" s="17" t="inlineStr">
        <is>
          <t>MEATS</t>
        </is>
      </c>
      <c r="E203" s="17" t="inlineStr">
        <is>
          <t>MEDIUM</t>
        </is>
      </c>
      <c r="F203" s="17" t="inlineStr">
        <is>
          <t>TRUNG BÌNH</t>
        </is>
      </c>
      <c r="G203" s="18" t="inlineStr">
        <is>
          <t>RISK_MEDIUM · LARGE_SERIES</t>
        </is>
      </c>
      <c r="H203" s="19" t="n">
        <v>8310.990918164063</v>
      </c>
      <c r="I203" s="19" t="n">
        <v>10566.21789550781</v>
      </c>
      <c r="J203" s="19" t="n">
        <v>13633.23106201172</v>
      </c>
      <c r="K203" s="19" t="n">
        <v>10566.21789550781</v>
      </c>
      <c r="L203" s="19" t="n">
        <v>12483.10112457275</v>
      </c>
      <c r="M203" s="19" t="n">
        <v>13633.23106201172</v>
      </c>
      <c r="N203" s="17" t="inlineStr">
        <is>
          <t>C</t>
        </is>
      </c>
      <c r="O203" s="19" t="n">
        <v>5180.256745605469</v>
      </c>
      <c r="P203" s="18" t="inlineStr">
        <is>
          <t>KHÔNG ĐỀ XUẤT TĂNG</t>
        </is>
      </c>
      <c r="Q203" s="17" t="inlineStr">
        <is>
          <t>Không</t>
        </is>
      </c>
      <c r="R203" s="20" t="n"/>
      <c r="S203" s="20" t="n"/>
      <c r="T203" s="21" t="n"/>
      <c r="U203" s="21" t="n"/>
      <c r="V203" s="22">
        <f>IF(U203="A",K203,IF(U203="B",L203,IF(U203="C",M203,IF(N203="A",K203,IF(N203="B",L203,M203)))))</f>
        <v/>
      </c>
      <c r="W203" s="22">
        <f>IF(R203="",O203,MAX(V203-R203-N(S203),0))</f>
        <v/>
      </c>
      <c r="X203" s="20" t="n"/>
      <c r="Y203" s="23">
        <f>IF(OR(X203="",W203=0),"",X203/W203-1)</f>
        <v/>
      </c>
      <c r="Z203" s="24" t="n"/>
      <c r="AA203" s="21" t="n"/>
      <c r="AB203" s="25" t="n"/>
      <c r="AC203" s="26">
        <f>IF(T203="","Chưa quyết định",IF(OR(Z203="",AA203=""),"⚠ Thiếu lý do/người duyệt",IF(AND(X203&lt;&gt;"",N(X203)+N(R203)+N(S203)&gt;M203*1.001,R203&lt;&gt;""),"⚠ Vượt mục tiêu P90",IF(AND(Y203&lt;&gt;"",ABS(N(Y203))&gt;0.3),"⚠ Lệch &gt; 30% so với nhu cầu",IF(Q203="Có","ℹ Kiểm tra ngoại suy KM","✓ Hợp lệ")))))</f>
        <v/>
      </c>
    </row>
    <row r="204">
      <c r="A204" s="16" t="n">
        <v>200</v>
      </c>
      <c r="B204" s="17" t="inlineStr">
        <is>
          <t>DEC-S30-PRODUCE</t>
        </is>
      </c>
      <c r="C204" s="16" t="n">
        <v>30</v>
      </c>
      <c r="D204" s="17" t="inlineStr">
        <is>
          <t>PRODUCE</t>
        </is>
      </c>
      <c r="E204" s="17" t="inlineStr">
        <is>
          <t>MEDIUM</t>
        </is>
      </c>
      <c r="F204" s="17" t="inlineStr">
        <is>
          <t>TRUNG BÌNH</t>
        </is>
      </c>
      <c r="G204" s="18" t="inlineStr">
        <is>
          <t>RISK_MEDIUM · LARGE_SERIES</t>
        </is>
      </c>
      <c r="H204" s="19" t="n">
        <v>8377.368291699218</v>
      </c>
      <c r="I204" s="19" t="n">
        <v>10566.10949182129</v>
      </c>
      <c r="J204" s="19" t="n">
        <v>13551.11269970703</v>
      </c>
      <c r="K204" s="19" t="n">
        <v>10566.10949182129</v>
      </c>
      <c r="L204" s="19" t="n">
        <v>12431.73649674988</v>
      </c>
      <c r="M204" s="19" t="n">
        <v>13551.11269970703</v>
      </c>
      <c r="N204" s="17" t="inlineStr">
        <is>
          <t>C</t>
        </is>
      </c>
      <c r="O204" s="19" t="n">
        <v>5098.22510625</v>
      </c>
      <c r="P204" s="18" t="inlineStr">
        <is>
          <t>KHÔNG ĐỀ XUẤT TĂNG</t>
        </is>
      </c>
      <c r="Q204" s="17" t="inlineStr">
        <is>
          <t>Không</t>
        </is>
      </c>
      <c r="R204" s="20" t="n"/>
      <c r="S204" s="20" t="n"/>
      <c r="T204" s="21" t="n"/>
      <c r="U204" s="21" t="n"/>
      <c r="V204" s="22">
        <f>IF(U204="A",K204,IF(U204="B",L204,IF(U204="C",M204,IF(N204="A",K204,IF(N204="B",L204,M204)))))</f>
        <v/>
      </c>
      <c r="W204" s="22">
        <f>IF(R204="",O204,MAX(V204-R204-N(S204),0))</f>
        <v/>
      </c>
      <c r="X204" s="20" t="n"/>
      <c r="Y204" s="23">
        <f>IF(OR(X204="",W204=0),"",X204/W204-1)</f>
        <v/>
      </c>
      <c r="Z204" s="24" t="n"/>
      <c r="AA204" s="21" t="n"/>
      <c r="AB204" s="25" t="n"/>
      <c r="AC204" s="26">
        <f>IF(T204="","Chưa quyết định",IF(OR(Z204="",AA204=""),"⚠ Thiếu lý do/người duyệt",IF(AND(X204&lt;&gt;"",N(X204)+N(R204)+N(S204)&gt;M204*1.001,R204&lt;&gt;""),"⚠ Vượt mục tiêu P90",IF(AND(Y204&lt;&gt;"",ABS(N(Y204))&gt;0.3),"⚠ Lệch &gt; 30% so với nhu cầu",IF(Q204="Có","ℹ Kiểm tra ngoại suy KM","✓ Hợp lệ")))))</f>
        <v/>
      </c>
    </row>
    <row r="205">
      <c r="A205" s="16" t="n">
        <v>201</v>
      </c>
      <c r="B205" s="17" t="inlineStr">
        <is>
          <t>DEC-S27-BREAD_BAKERY</t>
        </is>
      </c>
      <c r="C205" s="16" t="n">
        <v>27</v>
      </c>
      <c r="D205" s="17" t="inlineStr">
        <is>
          <t>BREAD/BAKERY</t>
        </is>
      </c>
      <c r="E205" s="17" t="inlineStr">
        <is>
          <t>MEDIUM</t>
        </is>
      </c>
      <c r="F205" s="17" t="inlineStr">
        <is>
          <t>TRUNG BÌNH</t>
        </is>
      </c>
      <c r="G205" s="18" t="inlineStr">
        <is>
          <t>RISK_MEDIUM · LARGE_SERIES</t>
        </is>
      </c>
      <c r="H205" s="19" t="n">
        <v>8519.978668212891</v>
      </c>
      <c r="I205" s="19" t="n">
        <v>10480.23843383789</v>
      </c>
      <c r="J205" s="19" t="n">
        <v>12942.67617602539</v>
      </c>
      <c r="K205" s="19" t="n">
        <v>10480.23843383789</v>
      </c>
      <c r="L205" s="19" t="n">
        <v>12019.26202270508</v>
      </c>
      <c r="M205" s="19" t="n">
        <v>12942.67617602539</v>
      </c>
      <c r="N205" s="17" t="inlineStr">
        <is>
          <t>C</t>
        </is>
      </c>
      <c r="O205" s="19" t="n">
        <v>4558.485428955077</v>
      </c>
      <c r="P205" s="18" t="inlineStr">
        <is>
          <t>KHÔNG ĐỀ XUẤT TĂNG</t>
        </is>
      </c>
      <c r="Q205" s="17" t="inlineStr">
        <is>
          <t>Không</t>
        </is>
      </c>
      <c r="R205" s="20" t="n"/>
      <c r="S205" s="20" t="n"/>
      <c r="T205" s="21" t="n"/>
      <c r="U205" s="21" t="n"/>
      <c r="V205" s="22">
        <f>IF(U205="A",K205,IF(U205="B",L205,IF(U205="C",M205,IF(N205="A",K205,IF(N205="B",L205,M205)))))</f>
        <v/>
      </c>
      <c r="W205" s="22">
        <f>IF(R205="",O205,MAX(V205-R205-N(S205),0))</f>
        <v/>
      </c>
      <c r="X205" s="20" t="n"/>
      <c r="Y205" s="23">
        <f>IF(OR(X205="",W205=0),"",X205/W205-1)</f>
        <v/>
      </c>
      <c r="Z205" s="24" t="n"/>
      <c r="AA205" s="21" t="n"/>
      <c r="AB205" s="25" t="n"/>
      <c r="AC205" s="26">
        <f>IF(T205="","Chưa quyết định",IF(OR(Z205="",AA205=""),"⚠ Thiếu lý do/người duyệt",IF(AND(X205&lt;&gt;"",N(X205)+N(R205)+N(S205)&gt;M205*1.001,R205&lt;&gt;""),"⚠ Vượt mục tiêu P90",IF(AND(Y205&lt;&gt;"",ABS(N(Y205))&gt;0.3),"⚠ Lệch &gt; 30% so với nhu cầu",IF(Q205="Có","ℹ Kiểm tra ngoại suy KM","✓ Hợp lệ")))))</f>
        <v/>
      </c>
    </row>
    <row r="206">
      <c r="A206" s="16" t="n">
        <v>202</v>
      </c>
      <c r="B206" s="17" t="inlineStr">
        <is>
          <t>DEC-S11-MEATS</t>
        </is>
      </c>
      <c r="C206" s="16" t="n">
        <v>11</v>
      </c>
      <c r="D206" s="17" t="inlineStr">
        <is>
          <t>MEATS</t>
        </is>
      </c>
      <c r="E206" s="17" t="inlineStr">
        <is>
          <t>MEDIUM</t>
        </is>
      </c>
      <c r="F206" s="17" t="inlineStr">
        <is>
          <t>TRUNG BÌNH</t>
        </is>
      </c>
      <c r="G206" s="18" t="inlineStr">
        <is>
          <t>RISK_MEDIUM · LARGE_SERIES</t>
        </is>
      </c>
      <c r="H206" s="19" t="n">
        <v>8517.120056152344</v>
      </c>
      <c r="I206" s="19" t="n">
        <v>10477.37982177734</v>
      </c>
      <c r="J206" s="19" t="n">
        <v>12939.81756396484</v>
      </c>
      <c r="K206" s="19" t="n">
        <v>10477.37982177734</v>
      </c>
      <c r="L206" s="19" t="n">
        <v>12016.40341064453</v>
      </c>
      <c r="M206" s="19" t="n">
        <v>12939.81756396484</v>
      </c>
      <c r="N206" s="17" t="inlineStr">
        <is>
          <t>C</t>
        </is>
      </c>
      <c r="O206" s="19" t="n">
        <v>4557.913706542968</v>
      </c>
      <c r="P206" s="18" t="inlineStr">
        <is>
          <t>KHÔNG ĐỀ XUẤT TĂNG</t>
        </is>
      </c>
      <c r="Q206" s="17" t="inlineStr">
        <is>
          <t>Không</t>
        </is>
      </c>
      <c r="R206" s="20" t="n"/>
      <c r="S206" s="20" t="n"/>
      <c r="T206" s="21" t="n"/>
      <c r="U206" s="21" t="n"/>
      <c r="V206" s="22">
        <f>IF(U206="A",K206,IF(U206="B",L206,IF(U206="C",M206,IF(N206="A",K206,IF(N206="B",L206,M206)))))</f>
        <v/>
      </c>
      <c r="W206" s="22">
        <f>IF(R206="",O206,MAX(V206-R206-N(S206),0))</f>
        <v/>
      </c>
      <c r="X206" s="20" t="n"/>
      <c r="Y206" s="23">
        <f>IF(OR(X206="",W206=0),"",X206/W206-1)</f>
        <v/>
      </c>
      <c r="Z206" s="24" t="n"/>
      <c r="AA206" s="21" t="n"/>
      <c r="AB206" s="25" t="n"/>
      <c r="AC206" s="26">
        <f>IF(T206="","Chưa quyết định",IF(OR(Z206="",AA206=""),"⚠ Thiếu lý do/người duyệt",IF(AND(X206&lt;&gt;"",N(X206)+N(R206)+N(S206)&gt;M206*1.001,R206&lt;&gt;""),"⚠ Vượt mục tiêu P90",IF(AND(Y206&lt;&gt;"",ABS(N(Y206))&gt;0.3),"⚠ Lệch &gt; 30% so với nhu cầu",IF(Q206="Có","ℹ Kiểm tra ngoại suy KM","✓ Hợp lệ")))))</f>
        <v/>
      </c>
    </row>
    <row r="207">
      <c r="A207" s="16" t="n">
        <v>203</v>
      </c>
      <c r="B207" s="17" t="inlineStr">
        <is>
          <t>DEC-S34-BREAD_BAKERY</t>
        </is>
      </c>
      <c r="C207" s="16" t="n">
        <v>34</v>
      </c>
      <c r="D207" s="17" t="inlineStr">
        <is>
          <t>BREAD/BAKERY</t>
        </is>
      </c>
      <c r="E207" s="17" t="inlineStr">
        <is>
          <t>MEDIUM</t>
        </is>
      </c>
      <c r="F207" s="17" t="inlineStr">
        <is>
          <t>TRUNG BÌNH</t>
        </is>
      </c>
      <c r="G207" s="18" t="inlineStr">
        <is>
          <t>RISK_MEDIUM · LARGE_SERIES</t>
        </is>
      </c>
      <c r="H207" s="19" t="n">
        <v>8360.386657714844</v>
      </c>
      <c r="I207" s="19" t="n">
        <v>10320.64642333984</v>
      </c>
      <c r="J207" s="19" t="n">
        <v>12783.08416552734</v>
      </c>
      <c r="K207" s="19" t="n">
        <v>10320.64642333984</v>
      </c>
      <c r="L207" s="19" t="n">
        <v>11859.67001220703</v>
      </c>
      <c r="M207" s="19" t="n">
        <v>12783.08416552734</v>
      </c>
      <c r="N207" s="17" t="inlineStr">
        <is>
          <t>C</t>
        </is>
      </c>
      <c r="O207" s="19" t="n">
        <v>4526.567026855468</v>
      </c>
      <c r="P207" s="18" t="inlineStr">
        <is>
          <t>KHÔNG ĐỀ XUẤT TĂNG</t>
        </is>
      </c>
      <c r="Q207" s="17" t="inlineStr">
        <is>
          <t>Không</t>
        </is>
      </c>
      <c r="R207" s="20" t="n"/>
      <c r="S207" s="20" t="n"/>
      <c r="T207" s="21" t="n"/>
      <c r="U207" s="21" t="n"/>
      <c r="V207" s="22">
        <f>IF(U207="A",K207,IF(U207="B",L207,IF(U207="C",M207,IF(N207="A",K207,IF(N207="B",L207,M207)))))</f>
        <v/>
      </c>
      <c r="W207" s="22">
        <f>IF(R207="",O207,MAX(V207-R207-N(S207),0))</f>
        <v/>
      </c>
      <c r="X207" s="20" t="n"/>
      <c r="Y207" s="23">
        <f>IF(OR(X207="",W207=0),"",X207/W207-1)</f>
        <v/>
      </c>
      <c r="Z207" s="24" t="n"/>
      <c r="AA207" s="21" t="n"/>
      <c r="AB207" s="25" t="n"/>
      <c r="AC207" s="26">
        <f>IF(T207="","Chưa quyết định",IF(OR(Z207="",AA207=""),"⚠ Thiếu lý do/người duyệt",IF(AND(X207&lt;&gt;"",N(X207)+N(R207)+N(S207)&gt;M207*1.001,R207&lt;&gt;""),"⚠ Vượt mục tiêu P90",IF(AND(Y207&lt;&gt;"",ABS(N(Y207))&gt;0.3),"⚠ Lệch &gt; 30% so với nhu cầu",IF(Q207="Có","ℹ Kiểm tra ngoại suy KM","✓ Hợp lệ")))))</f>
        <v/>
      </c>
    </row>
    <row r="208">
      <c r="A208" s="16" t="n">
        <v>204</v>
      </c>
      <c r="B208" s="17" t="inlineStr">
        <is>
          <t>DEC-S18-BREAD_BAKERY</t>
        </is>
      </c>
      <c r="C208" s="16" t="n">
        <v>18</v>
      </c>
      <c r="D208" s="17" t="inlineStr">
        <is>
          <t>BREAD/BAKERY</t>
        </is>
      </c>
      <c r="E208" s="17" t="inlineStr">
        <is>
          <t>MEDIUM</t>
        </is>
      </c>
      <c r="F208" s="17" t="inlineStr">
        <is>
          <t>TRUNG BÌNH</t>
        </is>
      </c>
      <c r="G208" s="18" t="inlineStr">
        <is>
          <t>RISK_MEDIUM · LARGE_SERIES</t>
        </is>
      </c>
      <c r="H208" s="19" t="n">
        <v>8333.424621582031</v>
      </c>
      <c r="I208" s="19" t="n">
        <v>10293.68438720703</v>
      </c>
      <c r="J208" s="19" t="n">
        <v>12756.12212939453</v>
      </c>
      <c r="K208" s="19" t="n">
        <v>10293.68438720703</v>
      </c>
      <c r="L208" s="19" t="n">
        <v>11832.70797607422</v>
      </c>
      <c r="M208" s="19" t="n">
        <v>12756.12212939453</v>
      </c>
      <c r="N208" s="17" t="inlineStr">
        <is>
          <t>C</t>
        </is>
      </c>
      <c r="O208" s="19" t="n">
        <v>4521.174619628908</v>
      </c>
      <c r="P208" s="18" t="inlineStr">
        <is>
          <t>KHÔNG ĐỀ XUẤT TĂNG</t>
        </is>
      </c>
      <c r="Q208" s="17" t="inlineStr">
        <is>
          <t>Không</t>
        </is>
      </c>
      <c r="R208" s="20" t="n"/>
      <c r="S208" s="20" t="n"/>
      <c r="T208" s="21" t="n"/>
      <c r="U208" s="21" t="n"/>
      <c r="V208" s="22">
        <f>IF(U208="A",K208,IF(U208="B",L208,IF(U208="C",M208,IF(N208="A",K208,IF(N208="B",L208,M208)))))</f>
        <v/>
      </c>
      <c r="W208" s="22">
        <f>IF(R208="",O208,MAX(V208-R208-N(S208),0))</f>
        <v/>
      </c>
      <c r="X208" s="20" t="n"/>
      <c r="Y208" s="23">
        <f>IF(OR(X208="",W208=0),"",X208/W208-1)</f>
        <v/>
      </c>
      <c r="Z208" s="24" t="n"/>
      <c r="AA208" s="21" t="n"/>
      <c r="AB208" s="25" t="n"/>
      <c r="AC208" s="26">
        <f>IF(T208="","Chưa quyết định",IF(OR(Z208="",AA208=""),"⚠ Thiếu lý do/người duyệt",IF(AND(X208&lt;&gt;"",N(X208)+N(R208)+N(S208)&gt;M208*1.001,R208&lt;&gt;""),"⚠ Vượt mục tiêu P90",IF(AND(Y208&lt;&gt;"",ABS(N(Y208))&gt;0.3),"⚠ Lệch &gt; 30% so với nhu cầu",IF(Q208="Có","ℹ Kiểm tra ngoại suy KM","✓ Hợp lệ")))))</f>
        <v/>
      </c>
    </row>
    <row r="209">
      <c r="A209" s="16" t="n">
        <v>205</v>
      </c>
      <c r="B209" s="17" t="inlineStr">
        <is>
          <t>DEC-S50-BREAD_BAKERY</t>
        </is>
      </c>
      <c r="C209" s="16" t="n">
        <v>50</v>
      </c>
      <c r="D209" s="17" t="inlineStr">
        <is>
          <t>BREAD/BAKERY</t>
        </is>
      </c>
      <c r="E209" s="17" t="inlineStr">
        <is>
          <t>MEDIUM</t>
        </is>
      </c>
      <c r="F209" s="17" t="inlineStr">
        <is>
          <t>TRUNG BÌNH</t>
        </is>
      </c>
      <c r="G209" s="18" t="inlineStr">
        <is>
          <t>RISK_MEDIUM · LARGE_SERIES</t>
        </is>
      </c>
      <c r="H209" s="19" t="n">
        <v>8283.259582519531</v>
      </c>
      <c r="I209" s="19" t="n">
        <v>10243.51934814453</v>
      </c>
      <c r="J209" s="19" t="n">
        <v>12705.95709033203</v>
      </c>
      <c r="K209" s="19" t="n">
        <v>10243.51934814453</v>
      </c>
      <c r="L209" s="19" t="n">
        <v>11782.54293701172</v>
      </c>
      <c r="M209" s="19" t="n">
        <v>12705.95709033203</v>
      </c>
      <c r="N209" s="17" t="inlineStr">
        <is>
          <t>C</t>
        </is>
      </c>
      <c r="O209" s="19" t="n">
        <v>4511.141611816407</v>
      </c>
      <c r="P209" s="18" t="inlineStr">
        <is>
          <t>KHÔNG ĐỀ XUẤT TĂNG</t>
        </is>
      </c>
      <c r="Q209" s="17" t="inlineStr">
        <is>
          <t>Không</t>
        </is>
      </c>
      <c r="R209" s="20" t="n"/>
      <c r="S209" s="20" t="n"/>
      <c r="T209" s="21" t="n"/>
      <c r="U209" s="21" t="n"/>
      <c r="V209" s="22">
        <f>IF(U209="A",K209,IF(U209="B",L209,IF(U209="C",M209,IF(N209="A",K209,IF(N209="B",L209,M209)))))</f>
        <v/>
      </c>
      <c r="W209" s="22">
        <f>IF(R209="",O209,MAX(V209-R209-N(S209),0))</f>
        <v/>
      </c>
      <c r="X209" s="20" t="n"/>
      <c r="Y209" s="23">
        <f>IF(OR(X209="",W209=0),"",X209/W209-1)</f>
        <v/>
      </c>
      <c r="Z209" s="24" t="n"/>
      <c r="AA209" s="21" t="n"/>
      <c r="AB209" s="25" t="n"/>
      <c r="AC209" s="26">
        <f>IF(T209="","Chưa quyết định",IF(OR(Z209="",AA209=""),"⚠ Thiếu lý do/người duyệt",IF(AND(X209&lt;&gt;"",N(X209)+N(R209)+N(S209)&gt;M209*1.001,R209&lt;&gt;""),"⚠ Vượt mục tiêu P90",IF(AND(Y209&lt;&gt;"",ABS(N(Y209))&gt;0.3),"⚠ Lệch &gt; 30% so với nhu cầu",IF(Q209="Có","ℹ Kiểm tra ngoại suy KM","✓ Hợp lệ")))))</f>
        <v/>
      </c>
    </row>
    <row r="210">
      <c r="A210" s="16" t="n">
        <v>206</v>
      </c>
      <c r="B210" s="17" t="inlineStr">
        <is>
          <t>DEC-S18-CLEANING</t>
        </is>
      </c>
      <c r="C210" s="16" t="n">
        <v>18</v>
      </c>
      <c r="D210" s="17" t="inlineStr">
        <is>
          <t>CLEANING</t>
        </is>
      </c>
      <c r="E210" s="17" t="inlineStr">
        <is>
          <t>MEDIUM</t>
        </is>
      </c>
      <c r="F210" s="17" t="inlineStr">
        <is>
          <t>TRUNG BÌNH</t>
        </is>
      </c>
      <c r="G210" s="18" t="inlineStr">
        <is>
          <t>RISK_MEDIUM · LARGE_SERIES</t>
        </is>
      </c>
      <c r="H210" s="19" t="n">
        <v>8267.846221923828</v>
      </c>
      <c r="I210" s="19" t="n">
        <v>10228.10598754883</v>
      </c>
      <c r="J210" s="19" t="n">
        <v>12690.54372973633</v>
      </c>
      <c r="K210" s="19" t="n">
        <v>10228.10598754883</v>
      </c>
      <c r="L210" s="19" t="n">
        <v>11767.12957641601</v>
      </c>
      <c r="M210" s="19" t="n">
        <v>12690.54372973633</v>
      </c>
      <c r="N210" s="17" t="inlineStr">
        <is>
          <t>C</t>
        </is>
      </c>
      <c r="O210" s="19" t="n">
        <v>4508.058939697265</v>
      </c>
      <c r="P210" s="18" t="inlineStr">
        <is>
          <t>KHÔNG ĐỀ XUẤT TĂNG</t>
        </is>
      </c>
      <c r="Q210" s="17" t="inlineStr">
        <is>
          <t>Không</t>
        </is>
      </c>
      <c r="R210" s="20" t="n"/>
      <c r="S210" s="20" t="n"/>
      <c r="T210" s="21" t="n"/>
      <c r="U210" s="21" t="n"/>
      <c r="V210" s="22">
        <f>IF(U210="A",K210,IF(U210="B",L210,IF(U210="C",M210,IF(N210="A",K210,IF(N210="B",L210,M210)))))</f>
        <v/>
      </c>
      <c r="W210" s="22">
        <f>IF(R210="",O210,MAX(V210-R210-N(S210),0))</f>
        <v/>
      </c>
      <c r="X210" s="20" t="n"/>
      <c r="Y210" s="23">
        <f>IF(OR(X210="",W210=0),"",X210/W210-1)</f>
        <v/>
      </c>
      <c r="Z210" s="24" t="n"/>
      <c r="AA210" s="21" t="n"/>
      <c r="AB210" s="25" t="n"/>
      <c r="AC210" s="26">
        <f>IF(T210="","Chưa quyết định",IF(OR(Z210="",AA210=""),"⚠ Thiếu lý do/người duyệt",IF(AND(X210&lt;&gt;"",N(X210)+N(R210)+N(S210)&gt;M210*1.001,R210&lt;&gt;""),"⚠ Vượt mục tiêu P90",IF(AND(Y210&lt;&gt;"",ABS(N(Y210))&gt;0.3),"⚠ Lệch &gt; 30% so với nhu cầu",IF(Q210="Có","ℹ Kiểm tra ngoại suy KM","✓ Hợp lệ")))))</f>
        <v/>
      </c>
    </row>
    <row r="211">
      <c r="A211" s="16" t="n">
        <v>207</v>
      </c>
      <c r="B211" s="17" t="inlineStr">
        <is>
          <t>DEC-S44-PERSONAL_CARE</t>
        </is>
      </c>
      <c r="C211" s="16" t="n">
        <v>44</v>
      </c>
      <c r="D211" s="17" t="inlineStr">
        <is>
          <t>PERSONAL CARE</t>
        </is>
      </c>
      <c r="E211" s="17" t="inlineStr">
        <is>
          <t>MEDIUM</t>
        </is>
      </c>
      <c r="F211" s="17" t="inlineStr">
        <is>
          <t>TRUNG BÌNH</t>
        </is>
      </c>
      <c r="G211" s="18" t="inlineStr">
        <is>
          <t>RISK_MEDIUM · LARGE_SERIES</t>
        </is>
      </c>
      <c r="H211" s="19" t="n">
        <v>8091.543724853515</v>
      </c>
      <c r="I211" s="19" t="n">
        <v>9985.317713256836</v>
      </c>
      <c r="J211" s="19" t="n">
        <v>12365.74549682617</v>
      </c>
      <c r="K211" s="19" t="n">
        <v>9985.317713256836</v>
      </c>
      <c r="L211" s="19" t="n">
        <v>11473.08507798767</v>
      </c>
      <c r="M211" s="19" t="n">
        <v>12365.74549682617</v>
      </c>
      <c r="N211" s="17" t="inlineStr">
        <is>
          <t>C</t>
        </is>
      </c>
      <c r="O211" s="19" t="n">
        <v>4377.491326220703</v>
      </c>
      <c r="P211" s="18" t="inlineStr">
        <is>
          <t>KHÔNG ĐỀ XUẤT TĂNG</t>
        </is>
      </c>
      <c r="Q211" s="17" t="inlineStr">
        <is>
          <t>Không</t>
        </is>
      </c>
      <c r="R211" s="20" t="n"/>
      <c r="S211" s="20" t="n"/>
      <c r="T211" s="21" t="n"/>
      <c r="U211" s="21" t="n"/>
      <c r="V211" s="22">
        <f>IF(U211="A",K211,IF(U211="B",L211,IF(U211="C",M211,IF(N211="A",K211,IF(N211="B",L211,M211)))))</f>
        <v/>
      </c>
      <c r="W211" s="22">
        <f>IF(R211="",O211,MAX(V211-R211-N(S211),0))</f>
        <v/>
      </c>
      <c r="X211" s="20" t="n"/>
      <c r="Y211" s="23">
        <f>IF(OR(X211="",W211=0),"",X211/W211-1)</f>
        <v/>
      </c>
      <c r="Z211" s="24" t="n"/>
      <c r="AA211" s="21" t="n"/>
      <c r="AB211" s="25" t="n"/>
      <c r="AC211" s="26">
        <f>IF(T211="","Chưa quyết định",IF(OR(Z211="",AA211=""),"⚠ Thiếu lý do/người duyệt",IF(AND(X211&lt;&gt;"",N(X211)+N(R211)+N(S211)&gt;M211*1.001,R211&lt;&gt;""),"⚠ Vượt mục tiêu P90",IF(AND(Y211&lt;&gt;"",ABS(N(Y211))&gt;0.3),"⚠ Lệch &gt; 30% so với nhu cầu",IF(Q211="Có","ℹ Kiểm tra ngoại suy KM","✓ Hợp lệ")))))</f>
        <v/>
      </c>
    </row>
    <row r="212">
      <c r="A212" s="16" t="n">
        <v>208</v>
      </c>
      <c r="B212" s="17" t="inlineStr">
        <is>
          <t>DEC-S48-HOME_CARE</t>
        </is>
      </c>
      <c r="C212" s="16" t="n">
        <v>48</v>
      </c>
      <c r="D212" s="17" t="inlineStr">
        <is>
          <t>HOME CARE</t>
        </is>
      </c>
      <c r="E212" s="17" t="inlineStr">
        <is>
          <t>MEDIUM</t>
        </is>
      </c>
      <c r="F212" s="17" t="inlineStr">
        <is>
          <t>TRUNG BÌNH</t>
        </is>
      </c>
      <c r="G212" s="18" t="inlineStr">
        <is>
          <t>RISK_MEDIUM · LARGE_SERIES</t>
        </is>
      </c>
      <c r="H212" s="19" t="n">
        <v>7991.858551025391</v>
      </c>
      <c r="I212" s="19" t="n">
        <v>9952.118316650391</v>
      </c>
      <c r="J212" s="19" t="n">
        <v>12414.55605883789</v>
      </c>
      <c r="K212" s="19" t="n">
        <v>9952.118316650391</v>
      </c>
      <c r="L212" s="19" t="n">
        <v>11491.14190551758</v>
      </c>
      <c r="M212" s="19" t="n">
        <v>12414.55605883789</v>
      </c>
      <c r="N212" s="17" t="inlineStr">
        <is>
          <t>C</t>
        </is>
      </c>
      <c r="O212" s="19" t="n">
        <v>4452.861405517578</v>
      </c>
      <c r="P212" s="18" t="inlineStr">
        <is>
          <t>KHÔNG ĐỀ XUẤT TĂNG</t>
        </is>
      </c>
      <c r="Q212" s="17" t="inlineStr">
        <is>
          <t>Không</t>
        </is>
      </c>
      <c r="R212" s="20" t="n"/>
      <c r="S212" s="20" t="n"/>
      <c r="T212" s="21" t="n"/>
      <c r="U212" s="21" t="n"/>
      <c r="V212" s="22">
        <f>IF(U212="A",K212,IF(U212="B",L212,IF(U212="C",M212,IF(N212="A",K212,IF(N212="B",L212,M212)))))</f>
        <v/>
      </c>
      <c r="W212" s="22">
        <f>IF(R212="",O212,MAX(V212-R212-N(S212),0))</f>
        <v/>
      </c>
      <c r="X212" s="20" t="n"/>
      <c r="Y212" s="23">
        <f>IF(OR(X212="",W212=0),"",X212/W212-1)</f>
        <v/>
      </c>
      <c r="Z212" s="24" t="n"/>
      <c r="AA212" s="21" t="n"/>
      <c r="AB212" s="25" t="n"/>
      <c r="AC212" s="26">
        <f>IF(T212="","Chưa quyết định",IF(OR(Z212="",AA212=""),"⚠ Thiếu lý do/người duyệt",IF(AND(X212&lt;&gt;"",N(X212)+N(R212)+N(S212)&gt;M212*1.001,R212&lt;&gt;""),"⚠ Vượt mục tiêu P90",IF(AND(Y212&lt;&gt;"",ABS(N(Y212))&gt;0.3),"⚠ Lệch &gt; 30% so với nhu cầu",IF(Q212="Có","ℹ Kiểm tra ngoại suy KM","✓ Hợp lệ")))))</f>
        <v/>
      </c>
    </row>
    <row r="213">
      <c r="A213" s="16" t="n">
        <v>209</v>
      </c>
      <c r="B213" s="17" t="inlineStr">
        <is>
          <t>DEC-S44-DELI</t>
        </is>
      </c>
      <c r="C213" s="16" t="n">
        <v>44</v>
      </c>
      <c r="D213" s="17" t="inlineStr">
        <is>
          <t>DELI</t>
        </is>
      </c>
      <c r="E213" s="17" t="inlineStr">
        <is>
          <t>MEDIUM</t>
        </is>
      </c>
      <c r="F213" s="17" t="inlineStr">
        <is>
          <t>TRUNG BÌNH</t>
        </is>
      </c>
      <c r="G213" s="18" t="inlineStr">
        <is>
          <t>RISK_MEDIUM · LARGE_SERIES</t>
        </is>
      </c>
      <c r="H213" s="19" t="n">
        <v>7971.281426269531</v>
      </c>
      <c r="I213" s="19" t="n">
        <v>9865.055414672852</v>
      </c>
      <c r="J213" s="19" t="n">
        <v>12245.48319824219</v>
      </c>
      <c r="K213" s="19" t="n">
        <v>9865.055414672852</v>
      </c>
      <c r="L213" s="19" t="n">
        <v>11352.82277940369</v>
      </c>
      <c r="M213" s="19" t="n">
        <v>12245.48319824219</v>
      </c>
      <c r="N213" s="17" t="inlineStr">
        <is>
          <t>C</t>
        </is>
      </c>
      <c r="O213" s="19" t="n">
        <v>4353.438866503906</v>
      </c>
      <c r="P213" s="18" t="inlineStr">
        <is>
          <t>KHÔNG ĐỀ XUẤT TĂNG</t>
        </is>
      </c>
      <c r="Q213" s="17" t="inlineStr">
        <is>
          <t>Không</t>
        </is>
      </c>
      <c r="R213" s="20" t="n"/>
      <c r="S213" s="20" t="n"/>
      <c r="T213" s="21" t="n"/>
      <c r="U213" s="21" t="n"/>
      <c r="V213" s="22">
        <f>IF(U213="A",K213,IF(U213="B",L213,IF(U213="C",M213,IF(N213="A",K213,IF(N213="B",L213,M213)))))</f>
        <v/>
      </c>
      <c r="W213" s="22">
        <f>IF(R213="",O213,MAX(V213-R213-N(S213),0))</f>
        <v/>
      </c>
      <c r="X213" s="20" t="n"/>
      <c r="Y213" s="23">
        <f>IF(OR(X213="",W213=0),"",X213/W213-1)</f>
        <v/>
      </c>
      <c r="Z213" s="24" t="n"/>
      <c r="AA213" s="21" t="n"/>
      <c r="AB213" s="25" t="n"/>
      <c r="AC213" s="26">
        <f>IF(T213="","Chưa quyết định",IF(OR(Z213="",AA213=""),"⚠ Thiếu lý do/người duyệt",IF(AND(X213&lt;&gt;"",N(X213)+N(R213)+N(S213)&gt;M213*1.001,R213&lt;&gt;""),"⚠ Vượt mục tiêu P90",IF(AND(Y213&lt;&gt;"",ABS(N(Y213))&gt;0.3),"⚠ Lệch &gt; 30% so với nhu cầu",IF(Q213="Có","ℹ Kiểm tra ngoại suy KM","✓ Hợp lệ")))))</f>
        <v/>
      </c>
    </row>
    <row r="214">
      <c r="A214" s="16" t="n">
        <v>210</v>
      </c>
      <c r="B214" s="17" t="inlineStr">
        <is>
          <t>DEC-S22-CLEANING</t>
        </is>
      </c>
      <c r="C214" s="16" t="n">
        <v>22</v>
      </c>
      <c r="D214" s="17" t="inlineStr">
        <is>
          <t>CLEANING</t>
        </is>
      </c>
      <c r="E214" s="17" t="inlineStr">
        <is>
          <t>MEDIUM</t>
        </is>
      </c>
      <c r="F214" s="17" t="inlineStr">
        <is>
          <t>TRUNG BÌNH</t>
        </is>
      </c>
      <c r="G214" s="18" t="inlineStr">
        <is>
          <t>RISK_MEDIUM · LARGE_SERIES</t>
        </is>
      </c>
      <c r="H214" s="19" t="n">
        <v>7878.189575195312</v>
      </c>
      <c r="I214" s="19" t="n">
        <v>9838.449340820312</v>
      </c>
      <c r="J214" s="19" t="n">
        <v>12300.88708300781</v>
      </c>
      <c r="K214" s="19" t="n">
        <v>9838.449340820312</v>
      </c>
      <c r="L214" s="19" t="n">
        <v>11377.4729296875</v>
      </c>
      <c r="M214" s="19" t="n">
        <v>12300.88708300781</v>
      </c>
      <c r="N214" s="17" t="inlineStr">
        <is>
          <t>C</t>
        </is>
      </c>
      <c r="O214" s="19" t="n">
        <v>4430.127610351562</v>
      </c>
      <c r="P214" s="18" t="inlineStr">
        <is>
          <t>KHÔNG ĐỀ XUẤT TĂNG</t>
        </is>
      </c>
      <c r="Q214" s="17" t="inlineStr">
        <is>
          <t>Không</t>
        </is>
      </c>
      <c r="R214" s="20" t="n"/>
      <c r="S214" s="20" t="n"/>
      <c r="T214" s="21" t="n"/>
      <c r="U214" s="21" t="n"/>
      <c r="V214" s="22">
        <f>IF(U214="A",K214,IF(U214="B",L214,IF(U214="C",M214,IF(N214="A",K214,IF(N214="B",L214,M214)))))</f>
        <v/>
      </c>
      <c r="W214" s="22">
        <f>IF(R214="",O214,MAX(V214-R214-N(S214),0))</f>
        <v/>
      </c>
      <c r="X214" s="20" t="n"/>
      <c r="Y214" s="23">
        <f>IF(OR(X214="",W214=0),"",X214/W214-1)</f>
        <v/>
      </c>
      <c r="Z214" s="24" t="n"/>
      <c r="AA214" s="21" t="n"/>
      <c r="AB214" s="25" t="n"/>
      <c r="AC214" s="26">
        <f>IF(T214="","Chưa quyết định",IF(OR(Z214="",AA214=""),"⚠ Thiếu lý do/người duyệt",IF(AND(X214&lt;&gt;"",N(X214)+N(R214)+N(S214)&gt;M214*1.001,R214&lt;&gt;""),"⚠ Vượt mục tiêu P90",IF(AND(Y214&lt;&gt;"",ABS(N(Y214))&gt;0.3),"⚠ Lệch &gt; 30% so với nhu cầu",IF(Q214="Có","ℹ Kiểm tra ngoại suy KM","✓ Hợp lệ")))))</f>
        <v/>
      </c>
    </row>
    <row r="215">
      <c r="A215" s="16" t="n">
        <v>211</v>
      </c>
      <c r="B215" s="17" t="inlineStr">
        <is>
          <t>DEC-S29-BREAD_BAKERY</t>
        </is>
      </c>
      <c r="C215" s="16" t="n">
        <v>29</v>
      </c>
      <c r="D215" s="17" t="inlineStr">
        <is>
          <t>BREAD/BAKERY</t>
        </is>
      </c>
      <c r="E215" s="17" t="inlineStr">
        <is>
          <t>MEDIUM</t>
        </is>
      </c>
      <c r="F215" s="17" t="inlineStr">
        <is>
          <t>TRUNG BÌNH</t>
        </is>
      </c>
      <c r="G215" s="18" t="inlineStr">
        <is>
          <t>RISK_MEDIUM · LARGE_SERIES</t>
        </is>
      </c>
      <c r="H215" s="19" t="n">
        <v>7822.812042236328</v>
      </c>
      <c r="I215" s="19" t="n">
        <v>9783.071807861328</v>
      </c>
      <c r="J215" s="19" t="n">
        <v>12245.50955004883</v>
      </c>
      <c r="K215" s="19" t="n">
        <v>9783.071807861328</v>
      </c>
      <c r="L215" s="19" t="n">
        <v>11322.09539672851</v>
      </c>
      <c r="M215" s="19" t="n">
        <v>12245.50955004883</v>
      </c>
      <c r="N215" s="17" t="inlineStr">
        <is>
          <t>C</t>
        </is>
      </c>
      <c r="O215" s="19" t="n">
        <v>4419.052103759765</v>
      </c>
      <c r="P215" s="18" t="inlineStr">
        <is>
          <t>KHÔNG ĐỀ XUẤT TĂNG</t>
        </is>
      </c>
      <c r="Q215" s="17" t="inlineStr">
        <is>
          <t>Không</t>
        </is>
      </c>
      <c r="R215" s="20" t="n"/>
      <c r="S215" s="20" t="n"/>
      <c r="T215" s="21" t="n"/>
      <c r="U215" s="21" t="n"/>
      <c r="V215" s="22">
        <f>IF(U215="A",K215,IF(U215="B",L215,IF(U215="C",M215,IF(N215="A",K215,IF(N215="B",L215,M215)))))</f>
        <v/>
      </c>
      <c r="W215" s="22">
        <f>IF(R215="",O215,MAX(V215-R215-N(S215),0))</f>
        <v/>
      </c>
      <c r="X215" s="20" t="n"/>
      <c r="Y215" s="23">
        <f>IF(OR(X215="",W215=0),"",X215/W215-1)</f>
        <v/>
      </c>
      <c r="Z215" s="24" t="n"/>
      <c r="AA215" s="21" t="n"/>
      <c r="AB215" s="25" t="n"/>
      <c r="AC215" s="26">
        <f>IF(T215="","Chưa quyết định",IF(OR(Z215="",AA215=""),"⚠ Thiếu lý do/người duyệt",IF(AND(X215&lt;&gt;"",N(X215)+N(R215)+N(S215)&gt;M215*1.001,R215&lt;&gt;""),"⚠ Vượt mục tiêu P90",IF(AND(Y215&lt;&gt;"",ABS(N(Y215))&gt;0.3),"⚠ Lệch &gt; 30% so với nhu cầu",IF(Q215="Có","ℹ Kiểm tra ngoại suy KM","✓ Hợp lệ")))))</f>
        <v/>
      </c>
    </row>
    <row r="216">
      <c r="A216" s="16" t="n">
        <v>212</v>
      </c>
      <c r="B216" s="17" t="inlineStr">
        <is>
          <t>DEC-S23-MEATS</t>
        </is>
      </c>
      <c r="C216" s="16" t="n">
        <v>23</v>
      </c>
      <c r="D216" s="17" t="inlineStr">
        <is>
          <t>MEATS</t>
        </is>
      </c>
      <c r="E216" s="17" t="inlineStr">
        <is>
          <t>MEDIUM</t>
        </is>
      </c>
      <c r="F216" s="17" t="inlineStr">
        <is>
          <t>TRUNG BÌNH</t>
        </is>
      </c>
      <c r="G216" s="18" t="inlineStr">
        <is>
          <t>RISK_MEDIUM · LARGE_SERIES</t>
        </is>
      </c>
      <c r="H216" s="19" t="n">
        <v>8129.149532470703</v>
      </c>
      <c r="I216" s="19" t="n">
        <v>9756.980411987304</v>
      </c>
      <c r="J216" s="19" t="n">
        <v>11809.36836108398</v>
      </c>
      <c r="K216" s="19" t="n">
        <v>9756.980411987304</v>
      </c>
      <c r="L216" s="19" t="n">
        <v>11039.72288017273</v>
      </c>
      <c r="M216" s="19" t="n">
        <v>11809.36836108398</v>
      </c>
      <c r="N216" s="17" t="inlineStr">
        <is>
          <t>C</t>
        </is>
      </c>
      <c r="O216" s="19" t="n">
        <v>4003.78403149414</v>
      </c>
      <c r="P216" s="18" t="inlineStr">
        <is>
          <t>CÂN NHẮC THỬ NGHIỆM</t>
        </is>
      </c>
      <c r="Q216" s="17" t="inlineStr">
        <is>
          <t>Không</t>
        </is>
      </c>
      <c r="R216" s="20" t="n"/>
      <c r="S216" s="20" t="n"/>
      <c r="T216" s="21" t="n"/>
      <c r="U216" s="21" t="n"/>
      <c r="V216" s="22">
        <f>IF(U216="A",K216,IF(U216="B",L216,IF(U216="C",M216,IF(N216="A",K216,IF(N216="B",L216,M216)))))</f>
        <v/>
      </c>
      <c r="W216" s="22">
        <f>IF(R216="",O216,MAX(V216-R216-N(S216),0))</f>
        <v/>
      </c>
      <c r="X216" s="20" t="n"/>
      <c r="Y216" s="23">
        <f>IF(OR(X216="",W216=0),"",X216/W216-1)</f>
        <v/>
      </c>
      <c r="Z216" s="24" t="n"/>
      <c r="AA216" s="21" t="n"/>
      <c r="AB216" s="25" t="n"/>
      <c r="AC216" s="26">
        <f>IF(T216="","Chưa quyết định",IF(OR(Z216="",AA216=""),"⚠ Thiếu lý do/người duyệt",IF(AND(X216&lt;&gt;"",N(X216)+N(R216)+N(S216)&gt;M216*1.001,R216&lt;&gt;""),"⚠ Vượt mục tiêu P90",IF(AND(Y216&lt;&gt;"",ABS(N(Y216))&gt;0.3),"⚠ Lệch &gt; 30% so với nhu cầu",IF(Q216="Có","ℹ Kiểm tra ngoại suy KM","✓ Hợp lệ")))))</f>
        <v/>
      </c>
    </row>
    <row r="217">
      <c r="A217" s="16" t="n">
        <v>213</v>
      </c>
      <c r="B217" s="17" t="inlineStr">
        <is>
          <t>DEC-S50-MEATS</t>
        </is>
      </c>
      <c r="C217" s="16" t="n">
        <v>50</v>
      </c>
      <c r="D217" s="17" t="inlineStr">
        <is>
          <t>MEATS</t>
        </is>
      </c>
      <c r="E217" s="17" t="inlineStr">
        <is>
          <t>MEDIUM</t>
        </is>
      </c>
      <c r="F217" s="17" t="inlineStr">
        <is>
          <t>TRUNG BÌNH</t>
        </is>
      </c>
      <c r="G217" s="18" t="inlineStr">
        <is>
          <t>RISK_MEDIUM · LARGE_SERIES</t>
        </is>
      </c>
      <c r="H217" s="19" t="n">
        <v>7807.98424609375</v>
      </c>
      <c r="I217" s="19" t="n">
        <v>9701.758234497071</v>
      </c>
      <c r="J217" s="19" t="n">
        <v>12082.18601806641</v>
      </c>
      <c r="K217" s="19" t="n">
        <v>9701.758234497071</v>
      </c>
      <c r="L217" s="19" t="n">
        <v>11189.52559922791</v>
      </c>
      <c r="M217" s="19" t="n">
        <v>12082.18601806641</v>
      </c>
      <c r="N217" s="17" t="inlineStr">
        <is>
          <t>C</t>
        </is>
      </c>
      <c r="O217" s="19" t="n">
        <v>4320.77943046875</v>
      </c>
      <c r="P217" s="18" t="inlineStr">
        <is>
          <t>KHÔNG ĐỀ XUẤT TĂNG</t>
        </is>
      </c>
      <c r="Q217" s="17" t="inlineStr">
        <is>
          <t>Không</t>
        </is>
      </c>
      <c r="R217" s="20" t="n"/>
      <c r="S217" s="20" t="n"/>
      <c r="T217" s="21" t="n"/>
      <c r="U217" s="21" t="n"/>
      <c r="V217" s="22">
        <f>IF(U217="A",K217,IF(U217="B",L217,IF(U217="C",M217,IF(N217="A",K217,IF(N217="B",L217,M217)))))</f>
        <v/>
      </c>
      <c r="W217" s="22">
        <f>IF(R217="",O217,MAX(V217-R217-N(S217),0))</f>
        <v/>
      </c>
      <c r="X217" s="20" t="n"/>
      <c r="Y217" s="23">
        <f>IF(OR(X217="",W217=0),"",X217/W217-1)</f>
        <v/>
      </c>
      <c r="Z217" s="24" t="n"/>
      <c r="AA217" s="21" t="n"/>
      <c r="AB217" s="25" t="n"/>
      <c r="AC217" s="26">
        <f>IF(T217="","Chưa quyết định",IF(OR(Z217="",AA217=""),"⚠ Thiếu lý do/người duyệt",IF(AND(X217&lt;&gt;"",N(X217)+N(R217)+N(S217)&gt;M217*1.001,R217&lt;&gt;""),"⚠ Vượt mục tiêu P90",IF(AND(Y217&lt;&gt;"",ABS(N(Y217))&gt;0.3),"⚠ Lệch &gt; 30% so với nhu cầu",IF(Q217="Có","ℹ Kiểm tra ngoại suy KM","✓ Hợp lệ")))))</f>
        <v/>
      </c>
    </row>
    <row r="218">
      <c r="A218" s="16" t="n">
        <v>214</v>
      </c>
      <c r="B218" s="17" t="inlineStr">
        <is>
          <t>DEC-S06-POULTRY</t>
        </is>
      </c>
      <c r="C218" s="16" t="n">
        <v>6</v>
      </c>
      <c r="D218" s="17" t="inlineStr">
        <is>
          <t>POULTRY</t>
        </is>
      </c>
      <c r="E218" s="17" t="inlineStr">
        <is>
          <t>MEDIUM</t>
        </is>
      </c>
      <c r="F218" s="17" t="inlineStr">
        <is>
          <t>TRUNG BÌNH</t>
        </is>
      </c>
      <c r="G218" s="18" t="inlineStr">
        <is>
          <t>RISK_MEDIUM · LARGE_SERIES</t>
        </is>
      </c>
      <c r="H218" s="19" t="n">
        <v>7656.691368896484</v>
      </c>
      <c r="I218" s="19" t="n">
        <v>9550.465357299803</v>
      </c>
      <c r="J218" s="19" t="n">
        <v>11930.89314086914</v>
      </c>
      <c r="K218" s="19" t="n">
        <v>9550.465357299803</v>
      </c>
      <c r="L218" s="19" t="n">
        <v>11038.23272203064</v>
      </c>
      <c r="M218" s="19" t="n">
        <v>11930.89314086914</v>
      </c>
      <c r="N218" s="17" t="inlineStr">
        <is>
          <t>C</t>
        </is>
      </c>
      <c r="O218" s="19" t="n">
        <v>4290.520855029296</v>
      </c>
      <c r="P218" s="18" t="inlineStr">
        <is>
          <t>KHÔNG ĐỀ XUẤT TĂNG</t>
        </is>
      </c>
      <c r="Q218" s="17" t="inlineStr">
        <is>
          <t>Không</t>
        </is>
      </c>
      <c r="R218" s="20" t="n"/>
      <c r="S218" s="20" t="n"/>
      <c r="T218" s="21" t="n"/>
      <c r="U218" s="21" t="n"/>
      <c r="V218" s="22">
        <f>IF(U218="A",K218,IF(U218="B",L218,IF(U218="C",M218,IF(N218="A",K218,IF(N218="B",L218,M218)))))</f>
        <v/>
      </c>
      <c r="W218" s="22">
        <f>IF(R218="",O218,MAX(V218-R218-N(S218),0))</f>
        <v/>
      </c>
      <c r="X218" s="20" t="n"/>
      <c r="Y218" s="23">
        <f>IF(OR(X218="",W218=0),"",X218/W218-1)</f>
        <v/>
      </c>
      <c r="Z218" s="24" t="n"/>
      <c r="AA218" s="21" t="n"/>
      <c r="AB218" s="25" t="n"/>
      <c r="AC218" s="26">
        <f>IF(T218="","Chưa quyết định",IF(OR(Z218="",AA218=""),"⚠ Thiếu lý do/người duyệt",IF(AND(X218&lt;&gt;"",N(X218)+N(R218)+N(S218)&gt;M218*1.001,R218&lt;&gt;""),"⚠ Vượt mục tiêu P90",IF(AND(Y218&lt;&gt;"",ABS(N(Y218))&gt;0.3),"⚠ Lệch &gt; 30% so với nhu cầu",IF(Q218="Có","ℹ Kiểm tra ngoại suy KM","✓ Hợp lệ")))))</f>
        <v/>
      </c>
    </row>
    <row r="219">
      <c r="A219" s="16" t="n">
        <v>215</v>
      </c>
      <c r="B219" s="17" t="inlineStr">
        <is>
          <t>DEC-S16-PRODUCE</t>
        </is>
      </c>
      <c r="C219" s="16" t="n">
        <v>16</v>
      </c>
      <c r="D219" s="17" t="inlineStr">
        <is>
          <t>PRODUCE</t>
        </is>
      </c>
      <c r="E219" s="17" t="inlineStr">
        <is>
          <t>MEDIUM</t>
        </is>
      </c>
      <c r="F219" s="17" t="inlineStr">
        <is>
          <t>TRUNG BÌNH</t>
        </is>
      </c>
      <c r="G219" s="18" t="inlineStr">
        <is>
          <t>RISK_MEDIUM · LARGE_SERIES</t>
        </is>
      </c>
      <c r="H219" s="19" t="n">
        <v>7578.193359375</v>
      </c>
      <c r="I219" s="19" t="n">
        <v>9538.453125</v>
      </c>
      <c r="J219" s="19" t="n">
        <v>12000.8908671875</v>
      </c>
      <c r="K219" s="19" t="n">
        <v>9538.453125</v>
      </c>
      <c r="L219" s="19" t="n">
        <v>11077.47671386719</v>
      </c>
      <c r="M219" s="19" t="n">
        <v>12000.8908671875</v>
      </c>
      <c r="N219" s="17" t="inlineStr">
        <is>
          <t>C</t>
        </is>
      </c>
      <c r="O219" s="19" t="n">
        <v>4370.128367187499</v>
      </c>
      <c r="P219" s="18" t="inlineStr">
        <is>
          <t>KHÔNG ĐỀ XUẤT TĂNG</t>
        </is>
      </c>
      <c r="Q219" s="17" t="inlineStr">
        <is>
          <t>Không</t>
        </is>
      </c>
      <c r="R219" s="20" t="n"/>
      <c r="S219" s="20" t="n"/>
      <c r="T219" s="21" t="n"/>
      <c r="U219" s="21" t="n"/>
      <c r="V219" s="22">
        <f>IF(U219="A",K219,IF(U219="B",L219,IF(U219="C",M219,IF(N219="A",K219,IF(N219="B",L219,M219)))))</f>
        <v/>
      </c>
      <c r="W219" s="22">
        <f>IF(R219="",O219,MAX(V219-R219-N(S219),0))</f>
        <v/>
      </c>
      <c r="X219" s="20" t="n"/>
      <c r="Y219" s="23">
        <f>IF(OR(X219="",W219=0),"",X219/W219-1)</f>
        <v/>
      </c>
      <c r="Z219" s="24" t="n"/>
      <c r="AA219" s="21" t="n"/>
      <c r="AB219" s="25" t="n"/>
      <c r="AC219" s="26">
        <f>IF(T219="","Chưa quyết định",IF(OR(Z219="",AA219=""),"⚠ Thiếu lý do/người duyệt",IF(AND(X219&lt;&gt;"",N(X219)+N(R219)+N(S219)&gt;M219*1.001,R219&lt;&gt;""),"⚠ Vượt mục tiêu P90",IF(AND(Y219&lt;&gt;"",ABS(N(Y219))&gt;0.3),"⚠ Lệch &gt; 30% so với nhu cầu",IF(Q219="Có","ℹ Kiểm tra ngoại suy KM","✓ Hợp lệ")))))</f>
        <v/>
      </c>
    </row>
    <row r="220">
      <c r="A220" s="16" t="n">
        <v>216</v>
      </c>
      <c r="B220" s="17" t="inlineStr">
        <is>
          <t>DEC-S09-DELI</t>
        </is>
      </c>
      <c r="C220" s="16" t="n">
        <v>9</v>
      </c>
      <c r="D220" s="17" t="inlineStr">
        <is>
          <t>DELI</t>
        </is>
      </c>
      <c r="E220" s="17" t="inlineStr">
        <is>
          <t>MEDIUM</t>
        </is>
      </c>
      <c r="F220" s="17" t="inlineStr">
        <is>
          <t>TRUNG BÌNH</t>
        </is>
      </c>
      <c r="G220" s="18" t="inlineStr">
        <is>
          <t>RISK_MEDIUM · LARGE_SERIES</t>
        </is>
      </c>
      <c r="H220" s="19" t="n">
        <v>7575.262603759766</v>
      </c>
      <c r="I220" s="19" t="n">
        <v>9535.522369384766</v>
      </c>
      <c r="J220" s="19" t="n">
        <v>11997.96011157226</v>
      </c>
      <c r="K220" s="19" t="n">
        <v>9535.522369384766</v>
      </c>
      <c r="L220" s="19" t="n">
        <v>11074.54595825195</v>
      </c>
      <c r="M220" s="19" t="n">
        <v>11997.96011157226</v>
      </c>
      <c r="N220" s="17" t="inlineStr">
        <is>
          <t>C</t>
        </is>
      </c>
      <c r="O220" s="19" t="n">
        <v>4369.54221606445</v>
      </c>
      <c r="P220" s="18" t="inlineStr">
        <is>
          <t>KHÔNG ĐỀ XUẤT TĂNG</t>
        </is>
      </c>
      <c r="Q220" s="17" t="inlineStr">
        <is>
          <t>Không</t>
        </is>
      </c>
      <c r="R220" s="20" t="n"/>
      <c r="S220" s="20" t="n"/>
      <c r="T220" s="21" t="n"/>
      <c r="U220" s="21" t="n"/>
      <c r="V220" s="22">
        <f>IF(U220="A",K220,IF(U220="B",L220,IF(U220="C",M220,IF(N220="A",K220,IF(N220="B",L220,M220)))))</f>
        <v/>
      </c>
      <c r="W220" s="22">
        <f>IF(R220="",O220,MAX(V220-R220-N(S220),0))</f>
        <v/>
      </c>
      <c r="X220" s="20" t="n"/>
      <c r="Y220" s="23">
        <f>IF(OR(X220="",W220=0),"",X220/W220-1)</f>
        <v/>
      </c>
      <c r="Z220" s="24" t="n"/>
      <c r="AA220" s="21" t="n"/>
      <c r="AB220" s="25" t="n"/>
      <c r="AC220" s="26">
        <f>IF(T220="","Chưa quyết định",IF(OR(Z220="",AA220=""),"⚠ Thiếu lý do/người duyệt",IF(AND(X220&lt;&gt;"",N(X220)+N(R220)+N(S220)&gt;M220*1.001,R220&lt;&gt;""),"⚠ Vượt mục tiêu P90",IF(AND(Y220&lt;&gt;"",ABS(N(Y220))&gt;0.3),"⚠ Lệch &gt; 30% so với nhu cầu",IF(Q220="Có","ℹ Kiểm tra ngoại suy KM","✓ Hợp lệ")))))</f>
        <v/>
      </c>
    </row>
    <row r="221">
      <c r="A221" s="16" t="n">
        <v>217</v>
      </c>
      <c r="B221" s="17" t="inlineStr">
        <is>
          <t>DEC-S43-BREAD_BAKERY</t>
        </is>
      </c>
      <c r="C221" s="16" t="n">
        <v>43</v>
      </c>
      <c r="D221" s="17" t="inlineStr">
        <is>
          <t>BREAD/BAKERY</t>
        </is>
      </c>
      <c r="E221" s="17" t="inlineStr">
        <is>
          <t>MEDIUM</t>
        </is>
      </c>
      <c r="F221" s="17" t="inlineStr">
        <is>
          <t>TRUNG BÌNH</t>
        </is>
      </c>
      <c r="G221" s="18" t="inlineStr">
        <is>
          <t>RISK_MEDIUM · LARGE_SERIES</t>
        </is>
      </c>
      <c r="H221" s="19" t="n">
        <v>7504.39794921875</v>
      </c>
      <c r="I221" s="19" t="n">
        <v>9464.65771484375</v>
      </c>
      <c r="J221" s="19" t="n">
        <v>11927.09545703125</v>
      </c>
      <c r="K221" s="19" t="n">
        <v>9464.65771484375</v>
      </c>
      <c r="L221" s="19" t="n">
        <v>11003.68130371094</v>
      </c>
      <c r="M221" s="19" t="n">
        <v>11927.09545703125</v>
      </c>
      <c r="N221" s="17" t="inlineStr">
        <is>
          <t>C</t>
        </is>
      </c>
      <c r="O221" s="19" t="n">
        <v>4355.369285156249</v>
      </c>
      <c r="P221" s="18" t="inlineStr">
        <is>
          <t>KHÔNG ĐỀ XUẤT TĂNG</t>
        </is>
      </c>
      <c r="Q221" s="17" t="inlineStr">
        <is>
          <t>Không</t>
        </is>
      </c>
      <c r="R221" s="20" t="n"/>
      <c r="S221" s="20" t="n"/>
      <c r="T221" s="21" t="n"/>
      <c r="U221" s="21" t="n"/>
      <c r="V221" s="22">
        <f>IF(U221="A",K221,IF(U221="B",L221,IF(U221="C",M221,IF(N221="A",K221,IF(N221="B",L221,M221)))))</f>
        <v/>
      </c>
      <c r="W221" s="22">
        <f>IF(R221="",O221,MAX(V221-R221-N(S221),0))</f>
        <v/>
      </c>
      <c r="X221" s="20" t="n"/>
      <c r="Y221" s="23">
        <f>IF(OR(X221="",W221=0),"",X221/W221-1)</f>
        <v/>
      </c>
      <c r="Z221" s="24" t="n"/>
      <c r="AA221" s="21" t="n"/>
      <c r="AB221" s="25" t="n"/>
      <c r="AC221" s="26">
        <f>IF(T221="","Chưa quyết định",IF(OR(Z221="",AA221=""),"⚠ Thiếu lý do/người duyệt",IF(AND(X221&lt;&gt;"",N(X221)+N(R221)+N(S221)&gt;M221*1.001,R221&lt;&gt;""),"⚠ Vượt mục tiêu P90",IF(AND(Y221&lt;&gt;"",ABS(N(Y221))&gt;0.3),"⚠ Lệch &gt; 30% so với nhu cầu",IF(Q221="Có","ℹ Kiểm tra ngoại suy KM","✓ Hợp lệ")))))</f>
        <v/>
      </c>
    </row>
    <row r="222">
      <c r="A222" s="16" t="n">
        <v>218</v>
      </c>
      <c r="B222" s="17" t="inlineStr">
        <is>
          <t>DEC-S53-DAIRY</t>
        </is>
      </c>
      <c r="C222" s="16" t="n">
        <v>53</v>
      </c>
      <c r="D222" s="17" t="inlineStr">
        <is>
          <t>DAIRY</t>
        </is>
      </c>
      <c r="E222" s="17" t="inlineStr">
        <is>
          <t>MEDIUM</t>
        </is>
      </c>
      <c r="F222" s="17" t="inlineStr">
        <is>
          <t>TRUNG BÌNH</t>
        </is>
      </c>
      <c r="G222" s="18" t="inlineStr">
        <is>
          <t>RISK_MEDIUM · LARGE_SERIES</t>
        </is>
      </c>
      <c r="H222" s="19" t="n">
        <v>7445.281585693359</v>
      </c>
      <c r="I222" s="19" t="n">
        <v>9405.541351318359</v>
      </c>
      <c r="J222" s="19" t="n">
        <v>11867.97909350586</v>
      </c>
      <c r="K222" s="19" t="n">
        <v>9405.541351318359</v>
      </c>
      <c r="L222" s="19" t="n">
        <v>10944.56494018555</v>
      </c>
      <c r="M222" s="19" t="n">
        <v>11867.97909350586</v>
      </c>
      <c r="N222" s="17" t="inlineStr">
        <is>
          <t>C</t>
        </is>
      </c>
      <c r="O222" s="19" t="n">
        <v>4343.546012451173</v>
      </c>
      <c r="P222" s="18" t="inlineStr">
        <is>
          <t>KHÔNG ĐỀ XUẤT TĂNG</t>
        </is>
      </c>
      <c r="Q222" s="17" t="inlineStr">
        <is>
          <t>Không</t>
        </is>
      </c>
      <c r="R222" s="20" t="n"/>
      <c r="S222" s="20" t="n"/>
      <c r="T222" s="21" t="n"/>
      <c r="U222" s="21" t="n"/>
      <c r="V222" s="22">
        <f>IF(U222="A",K222,IF(U222="B",L222,IF(U222="C",M222,IF(N222="A",K222,IF(N222="B",L222,M222)))))</f>
        <v/>
      </c>
      <c r="W222" s="22">
        <f>IF(R222="",O222,MAX(V222-R222-N(S222),0))</f>
        <v/>
      </c>
      <c r="X222" s="20" t="n"/>
      <c r="Y222" s="23">
        <f>IF(OR(X222="",W222=0),"",X222/W222-1)</f>
        <v/>
      </c>
      <c r="Z222" s="24" t="n"/>
      <c r="AA222" s="21" t="n"/>
      <c r="AB222" s="25" t="n"/>
      <c r="AC222" s="26">
        <f>IF(T222="","Chưa quyết định",IF(OR(Z222="",AA222=""),"⚠ Thiếu lý do/người duyệt",IF(AND(X222&lt;&gt;"",N(X222)+N(R222)+N(S222)&gt;M222*1.001,R222&lt;&gt;""),"⚠ Vượt mục tiêu P90",IF(AND(Y222&lt;&gt;"",ABS(N(Y222))&gt;0.3),"⚠ Lệch &gt; 30% so với nhu cầu",IF(Q222="Có","ℹ Kiểm tra ngoại suy KM","✓ Hợp lệ")))))</f>
        <v/>
      </c>
    </row>
    <row r="223">
      <c r="A223" s="16" t="n">
        <v>219</v>
      </c>
      <c r="B223" s="17" t="inlineStr">
        <is>
          <t>DEC-S09-BREAD_BAKERY</t>
        </is>
      </c>
      <c r="C223" s="16" t="n">
        <v>9</v>
      </c>
      <c r="D223" s="17" t="inlineStr">
        <is>
          <t>BREAD/BAKERY</t>
        </is>
      </c>
      <c r="E223" s="17" t="inlineStr">
        <is>
          <t>MEDIUM</t>
        </is>
      </c>
      <c r="F223" s="17" t="inlineStr">
        <is>
          <t>TRUNG BÌNH</t>
        </is>
      </c>
      <c r="G223" s="18" t="inlineStr">
        <is>
          <t>RISK_MEDIUM · LARGE_SERIES</t>
        </is>
      </c>
      <c r="H223" s="19" t="n">
        <v>7434.433654785156</v>
      </c>
      <c r="I223" s="19" t="n">
        <v>9394.693420410156</v>
      </c>
      <c r="J223" s="19" t="n">
        <v>11857.13116259766</v>
      </c>
      <c r="K223" s="19" t="n">
        <v>9394.693420410156</v>
      </c>
      <c r="L223" s="19" t="n">
        <v>10933.71700927734</v>
      </c>
      <c r="M223" s="19" t="n">
        <v>11857.13116259766</v>
      </c>
      <c r="N223" s="17" t="inlineStr">
        <is>
          <t>C</t>
        </is>
      </c>
      <c r="O223" s="19" t="n">
        <v>4341.37642626953</v>
      </c>
      <c r="P223" s="18" t="inlineStr">
        <is>
          <t>KHÔNG ĐỀ XUẤT TĂNG</t>
        </is>
      </c>
      <c r="Q223" s="17" t="inlineStr">
        <is>
          <t>Không</t>
        </is>
      </c>
      <c r="R223" s="20" t="n"/>
      <c r="S223" s="20" t="n"/>
      <c r="T223" s="21" t="n"/>
      <c r="U223" s="21" t="n"/>
      <c r="V223" s="22">
        <f>IF(U223="A",K223,IF(U223="B",L223,IF(U223="C",M223,IF(N223="A",K223,IF(N223="B",L223,M223)))))</f>
        <v/>
      </c>
      <c r="W223" s="22">
        <f>IF(R223="",O223,MAX(V223-R223-N(S223),0))</f>
        <v/>
      </c>
      <c r="X223" s="20" t="n"/>
      <c r="Y223" s="23">
        <f>IF(OR(X223="",W223=0),"",X223/W223-1)</f>
        <v/>
      </c>
      <c r="Z223" s="24" t="n"/>
      <c r="AA223" s="21" t="n"/>
      <c r="AB223" s="25" t="n"/>
      <c r="AC223" s="26">
        <f>IF(T223="","Chưa quyết định",IF(OR(Z223="",AA223=""),"⚠ Thiếu lý do/người duyệt",IF(AND(X223&lt;&gt;"",N(X223)+N(R223)+N(S223)&gt;M223*1.001,R223&lt;&gt;""),"⚠ Vượt mục tiêu P90",IF(AND(Y223&lt;&gt;"",ABS(N(Y223))&gt;0.3),"⚠ Lệch &gt; 30% so với nhu cầu",IF(Q223="Có","ℹ Kiểm tra ngoại suy KM","✓ Hợp lệ")))))</f>
        <v/>
      </c>
    </row>
    <row r="224">
      <c r="A224" s="16" t="n">
        <v>220</v>
      </c>
      <c r="B224" s="17" t="inlineStr">
        <is>
          <t>DEC-S23-CLEANING</t>
        </is>
      </c>
      <c r="C224" s="16" t="n">
        <v>23</v>
      </c>
      <c r="D224" s="17" t="inlineStr">
        <is>
          <t>CLEANING</t>
        </is>
      </c>
      <c r="E224" s="17" t="inlineStr">
        <is>
          <t>MEDIUM</t>
        </is>
      </c>
      <c r="F224" s="17" t="inlineStr">
        <is>
          <t>TRUNG BÌNH</t>
        </is>
      </c>
      <c r="G224" s="18" t="inlineStr">
        <is>
          <t>RISK_MEDIUM · LARGE_SERIES</t>
        </is>
      </c>
      <c r="H224" s="19" t="n">
        <v>7389.029113769531</v>
      </c>
      <c r="I224" s="19" t="n">
        <v>9349.288879394531</v>
      </c>
      <c r="J224" s="19" t="n">
        <v>11811.72662158203</v>
      </c>
      <c r="K224" s="19" t="n">
        <v>9349.288879394531</v>
      </c>
      <c r="L224" s="19" t="n">
        <v>10888.31246826172</v>
      </c>
      <c r="M224" s="19" t="n">
        <v>11811.72662158203</v>
      </c>
      <c r="N224" s="17" t="inlineStr">
        <is>
          <t>C</t>
        </is>
      </c>
      <c r="O224" s="19" t="n">
        <v>4332.295518066408</v>
      </c>
      <c r="P224" s="18" t="inlineStr">
        <is>
          <t>KHÔNG ĐỀ XUẤT TĂNG</t>
        </is>
      </c>
      <c r="Q224" s="17" t="inlineStr">
        <is>
          <t>Không</t>
        </is>
      </c>
      <c r="R224" s="20" t="n"/>
      <c r="S224" s="20" t="n"/>
      <c r="T224" s="21" t="n"/>
      <c r="U224" s="21" t="n"/>
      <c r="V224" s="22">
        <f>IF(U224="A",K224,IF(U224="B",L224,IF(U224="C",M224,IF(N224="A",K224,IF(N224="B",L224,M224)))))</f>
        <v/>
      </c>
      <c r="W224" s="22">
        <f>IF(R224="",O224,MAX(V224-R224-N(S224),0))</f>
        <v/>
      </c>
      <c r="X224" s="20" t="n"/>
      <c r="Y224" s="23">
        <f>IF(OR(X224="",W224=0),"",X224/W224-1)</f>
        <v/>
      </c>
      <c r="Z224" s="24" t="n"/>
      <c r="AA224" s="21" t="n"/>
      <c r="AB224" s="25" t="n"/>
      <c r="AC224" s="26">
        <f>IF(T224="","Chưa quyết định",IF(OR(Z224="",AA224=""),"⚠ Thiếu lý do/người duyệt",IF(AND(X224&lt;&gt;"",N(X224)+N(R224)+N(S224)&gt;M224*1.001,R224&lt;&gt;""),"⚠ Vượt mục tiêu P90",IF(AND(Y224&lt;&gt;"",ABS(N(Y224))&gt;0.3),"⚠ Lệch &gt; 30% so với nhu cầu",IF(Q224="Có","ℹ Kiểm tra ngoại suy KM","✓ Hợp lệ")))))</f>
        <v/>
      </c>
    </row>
    <row r="225">
      <c r="A225" s="16" t="n">
        <v>221</v>
      </c>
      <c r="B225" s="17" t="inlineStr">
        <is>
          <t>DEC-S06-BREAD_BAKERY</t>
        </is>
      </c>
      <c r="C225" s="16" t="n">
        <v>6</v>
      </c>
      <c r="D225" s="17" t="inlineStr">
        <is>
          <t>BREAD/BAKERY</t>
        </is>
      </c>
      <c r="E225" s="17" t="inlineStr">
        <is>
          <t>MEDIUM</t>
        </is>
      </c>
      <c r="F225" s="17" t="inlineStr">
        <is>
          <t>TRUNG BÌNH</t>
        </is>
      </c>
      <c r="G225" s="18" t="inlineStr">
        <is>
          <t>RISK_MEDIUM · LARGE_SERIES</t>
        </is>
      </c>
      <c r="H225" s="19" t="n">
        <v>7344.390625</v>
      </c>
      <c r="I225" s="19" t="n">
        <v>9304.650390625</v>
      </c>
      <c r="J225" s="19" t="n">
        <v>11767.0881328125</v>
      </c>
      <c r="K225" s="19" t="n">
        <v>9304.650390625</v>
      </c>
      <c r="L225" s="19" t="n">
        <v>10843.67397949219</v>
      </c>
      <c r="M225" s="19" t="n">
        <v>11767.0881328125</v>
      </c>
      <c r="N225" s="17" t="inlineStr">
        <is>
          <t>C</t>
        </is>
      </c>
      <c r="O225" s="19" t="n">
        <v>4323.367820312499</v>
      </c>
      <c r="P225" s="18" t="inlineStr">
        <is>
          <t>KHÔNG ĐỀ XUẤT TĂNG</t>
        </is>
      </c>
      <c r="Q225" s="17" t="inlineStr">
        <is>
          <t>Không</t>
        </is>
      </c>
      <c r="R225" s="20" t="n"/>
      <c r="S225" s="20" t="n"/>
      <c r="T225" s="21" t="n"/>
      <c r="U225" s="21" t="n"/>
      <c r="V225" s="22">
        <f>IF(U225="A",K225,IF(U225="B",L225,IF(U225="C",M225,IF(N225="A",K225,IF(N225="B",L225,M225)))))</f>
        <v/>
      </c>
      <c r="W225" s="22">
        <f>IF(R225="",O225,MAX(V225-R225-N(S225),0))</f>
        <v/>
      </c>
      <c r="X225" s="20" t="n"/>
      <c r="Y225" s="23">
        <f>IF(OR(X225="",W225=0),"",X225/W225-1)</f>
        <v/>
      </c>
      <c r="Z225" s="24" t="n"/>
      <c r="AA225" s="21" t="n"/>
      <c r="AB225" s="25" t="n"/>
      <c r="AC225" s="26">
        <f>IF(T225="","Chưa quyết định",IF(OR(Z225="",AA225=""),"⚠ Thiếu lý do/người duyệt",IF(AND(X225&lt;&gt;"",N(X225)+N(R225)+N(S225)&gt;M225*1.001,R225&lt;&gt;""),"⚠ Vượt mục tiêu P90",IF(AND(Y225&lt;&gt;"",ABS(N(Y225))&gt;0.3),"⚠ Lệch &gt; 30% so với nhu cầu",IF(Q225="Có","ℹ Kiểm tra ngoại suy KM","✓ Hợp lệ")))))</f>
        <v/>
      </c>
    </row>
    <row r="226">
      <c r="A226" s="16" t="n">
        <v>222</v>
      </c>
      <c r="B226" s="17" t="inlineStr">
        <is>
          <t>DEC-S05-DAIRY</t>
        </is>
      </c>
      <c r="C226" s="16" t="n">
        <v>5</v>
      </c>
      <c r="D226" s="17" t="inlineStr">
        <is>
          <t>DAIRY</t>
        </is>
      </c>
      <c r="E226" s="17" t="inlineStr">
        <is>
          <t>MEDIUM</t>
        </is>
      </c>
      <c r="F226" s="17" t="inlineStr">
        <is>
          <t>TRUNG BÌNH</t>
        </is>
      </c>
      <c r="G226" s="18" t="inlineStr">
        <is>
          <t>RISK_MEDIUM · LARGE_SERIES</t>
        </is>
      </c>
      <c r="H226" s="19" t="n">
        <v>7283.396606445312</v>
      </c>
      <c r="I226" s="19" t="n">
        <v>9243.656372070312</v>
      </c>
      <c r="J226" s="19" t="n">
        <v>11706.09411425781</v>
      </c>
      <c r="K226" s="19" t="n">
        <v>9243.656372070312</v>
      </c>
      <c r="L226" s="19" t="n">
        <v>10782.6799609375</v>
      </c>
      <c r="M226" s="19" t="n">
        <v>11706.09411425781</v>
      </c>
      <c r="N226" s="17" t="inlineStr">
        <is>
          <t>C</t>
        </is>
      </c>
      <c r="O226" s="19" t="n">
        <v>4311.169016601561</v>
      </c>
      <c r="P226" s="18" t="inlineStr">
        <is>
          <t>KHÔNG ĐỀ XUẤT TĂNG</t>
        </is>
      </c>
      <c r="Q226" s="17" t="inlineStr">
        <is>
          <t>Không</t>
        </is>
      </c>
      <c r="R226" s="20" t="n"/>
      <c r="S226" s="20" t="n"/>
      <c r="T226" s="21" t="n"/>
      <c r="U226" s="21" t="n"/>
      <c r="V226" s="22">
        <f>IF(U226="A",K226,IF(U226="B",L226,IF(U226="C",M226,IF(N226="A",K226,IF(N226="B",L226,M226)))))</f>
        <v/>
      </c>
      <c r="W226" s="22">
        <f>IF(R226="",O226,MAX(V226-R226-N(S226),0))</f>
        <v/>
      </c>
      <c r="X226" s="20" t="n"/>
      <c r="Y226" s="23">
        <f>IF(OR(X226="",W226=0),"",X226/W226-1)</f>
        <v/>
      </c>
      <c r="Z226" s="24" t="n"/>
      <c r="AA226" s="21" t="n"/>
      <c r="AB226" s="25" t="n"/>
      <c r="AC226" s="26">
        <f>IF(T226="","Chưa quyết định",IF(OR(Z226="",AA226=""),"⚠ Thiếu lý do/người duyệt",IF(AND(X226&lt;&gt;"",N(X226)+N(R226)+N(S226)&gt;M226*1.001,R226&lt;&gt;""),"⚠ Vượt mục tiêu P90",IF(AND(Y226&lt;&gt;"",ABS(N(Y226))&gt;0.3),"⚠ Lệch &gt; 30% so với nhu cầu",IF(Q226="Có","ℹ Kiểm tra ngoại suy KM","✓ Hợp lệ")))))</f>
        <v/>
      </c>
    </row>
    <row r="227">
      <c r="A227" s="16" t="n">
        <v>223</v>
      </c>
      <c r="B227" s="17" t="inlineStr">
        <is>
          <t>DEC-S37-BREAD_BAKERY</t>
        </is>
      </c>
      <c r="C227" s="16" t="n">
        <v>37</v>
      </c>
      <c r="D227" s="17" t="inlineStr">
        <is>
          <t>BREAD/BAKERY</t>
        </is>
      </c>
      <c r="E227" s="17" t="inlineStr">
        <is>
          <t>MEDIUM</t>
        </is>
      </c>
      <c r="F227" s="17" t="inlineStr">
        <is>
          <t>TRUNG BÌNH</t>
        </is>
      </c>
      <c r="G227" s="18" t="inlineStr">
        <is>
          <t>RISK_MEDIUM · LARGE_SERIES</t>
        </is>
      </c>
      <c r="H227" s="19" t="n">
        <v>7105.859558105469</v>
      </c>
      <c r="I227" s="19" t="n">
        <v>9066.119323730469</v>
      </c>
      <c r="J227" s="19" t="n">
        <v>11528.55706591797</v>
      </c>
      <c r="K227" s="19" t="n">
        <v>9066.119323730469</v>
      </c>
      <c r="L227" s="19" t="n">
        <v>10605.14291259766</v>
      </c>
      <c r="M227" s="19" t="n">
        <v>11528.55706591797</v>
      </c>
      <c r="N227" s="17" t="inlineStr">
        <is>
          <t>C</t>
        </is>
      </c>
      <c r="O227" s="19" t="n">
        <v>4275.661606933593</v>
      </c>
      <c r="P227" s="18" t="inlineStr">
        <is>
          <t>KHÔNG ĐỀ XUẤT TĂNG</t>
        </is>
      </c>
      <c r="Q227" s="17" t="inlineStr">
        <is>
          <t>Không</t>
        </is>
      </c>
      <c r="R227" s="20" t="n"/>
      <c r="S227" s="20" t="n"/>
      <c r="T227" s="21" t="n"/>
      <c r="U227" s="21" t="n"/>
      <c r="V227" s="22">
        <f>IF(U227="A",K227,IF(U227="B",L227,IF(U227="C",M227,IF(N227="A",K227,IF(N227="B",L227,M227)))))</f>
        <v/>
      </c>
      <c r="W227" s="22">
        <f>IF(R227="",O227,MAX(V227-R227-N(S227),0))</f>
        <v/>
      </c>
      <c r="X227" s="20" t="n"/>
      <c r="Y227" s="23">
        <f>IF(OR(X227="",W227=0),"",X227/W227-1)</f>
        <v/>
      </c>
      <c r="Z227" s="24" t="n"/>
      <c r="AA227" s="21" t="n"/>
      <c r="AB227" s="25" t="n"/>
      <c r="AC227" s="26">
        <f>IF(T227="","Chưa quyết định",IF(OR(Z227="",AA227=""),"⚠ Thiếu lý do/người duyệt",IF(AND(X227&lt;&gt;"",N(X227)+N(R227)+N(S227)&gt;M227*1.001,R227&lt;&gt;""),"⚠ Vượt mục tiêu P90",IF(AND(Y227&lt;&gt;"",ABS(N(Y227))&gt;0.3),"⚠ Lệch &gt; 30% so với nhu cầu",IF(Q227="Có","ℹ Kiểm tra ngoại suy KM","✓ Hợp lệ")))))</f>
        <v/>
      </c>
    </row>
    <row r="228">
      <c r="A228" s="16" t="n">
        <v>224</v>
      </c>
      <c r="B228" s="17" t="inlineStr">
        <is>
          <t>DEC-S26-PRODUCE</t>
        </is>
      </c>
      <c r="C228" s="16" t="n">
        <v>26</v>
      </c>
      <c r="D228" s="17" t="inlineStr">
        <is>
          <t>PRODUCE</t>
        </is>
      </c>
      <c r="E228" s="17" t="inlineStr">
        <is>
          <t>MEDIUM</t>
        </is>
      </c>
      <c r="F228" s="17" t="inlineStr">
        <is>
          <t>TRUNG BÌNH</t>
        </is>
      </c>
      <c r="G228" s="18" t="inlineStr">
        <is>
          <t>RISK_MEDIUM · LARGE_SERIES</t>
        </is>
      </c>
      <c r="H228" s="19" t="n">
        <v>7250.792887207031</v>
      </c>
      <c r="I228" s="19" t="n">
        <v>9011.595321166991</v>
      </c>
      <c r="J228" s="19" t="n">
        <v>11228.0031875</v>
      </c>
      <c r="K228" s="19" t="n">
        <v>9011.595321166991</v>
      </c>
      <c r="L228" s="19" t="n">
        <v>10396.85023762512</v>
      </c>
      <c r="M228" s="19" t="n">
        <v>11228.0031875</v>
      </c>
      <c r="N228" s="17" t="inlineStr">
        <is>
          <t>C</t>
        </is>
      </c>
      <c r="O228" s="19" t="n">
        <v>4018.726930566406</v>
      </c>
      <c r="P228" s="18" t="inlineStr">
        <is>
          <t>KHÔNG ĐỀ XUẤT TĂNG</t>
        </is>
      </c>
      <c r="Q228" s="17" t="inlineStr">
        <is>
          <t>Không</t>
        </is>
      </c>
      <c r="R228" s="20" t="n"/>
      <c r="S228" s="20" t="n"/>
      <c r="T228" s="21" t="n"/>
      <c r="U228" s="21" t="n"/>
      <c r="V228" s="22">
        <f>IF(U228="A",K228,IF(U228="B",L228,IF(U228="C",M228,IF(N228="A",K228,IF(N228="B",L228,M228)))))</f>
        <v/>
      </c>
      <c r="W228" s="22">
        <f>IF(R228="",O228,MAX(V228-R228-N(S228),0))</f>
        <v/>
      </c>
      <c r="X228" s="20" t="n"/>
      <c r="Y228" s="23">
        <f>IF(OR(X228="",W228=0),"",X228/W228-1)</f>
        <v/>
      </c>
      <c r="Z228" s="24" t="n"/>
      <c r="AA228" s="21" t="n"/>
      <c r="AB228" s="25" t="n"/>
      <c r="AC228" s="26">
        <f>IF(T228="","Chưa quyết định",IF(OR(Z228="",AA228=""),"⚠ Thiếu lý do/người duyệt",IF(AND(X228&lt;&gt;"",N(X228)+N(R228)+N(S228)&gt;M228*1.001,R228&lt;&gt;""),"⚠ Vượt mục tiêu P90",IF(AND(Y228&lt;&gt;"",ABS(N(Y228))&gt;0.3),"⚠ Lệch &gt; 30% so với nhu cầu",IF(Q228="Có","ℹ Kiểm tra ngoại suy KM","✓ Hợp lệ")))))</f>
        <v/>
      </c>
    </row>
    <row r="229">
      <c r="A229" s="16" t="n">
        <v>225</v>
      </c>
      <c r="B229" s="17" t="inlineStr">
        <is>
          <t>DEC-S17-DELI</t>
        </is>
      </c>
      <c r="C229" s="16" t="n">
        <v>17</v>
      </c>
      <c r="D229" s="17" t="inlineStr">
        <is>
          <t>DELI</t>
        </is>
      </c>
      <c r="E229" s="17" t="inlineStr">
        <is>
          <t>MEDIUM</t>
        </is>
      </c>
      <c r="F229" s="17" t="inlineStr">
        <is>
          <t>TRUNG BÌNH</t>
        </is>
      </c>
      <c r="G229" s="18" t="inlineStr">
        <is>
          <t>RISK_MEDIUM · LARGE_SERIES</t>
        </is>
      </c>
      <c r="H229" s="19" t="n">
        <v>7086.282708007812</v>
      </c>
      <c r="I229" s="19" t="n">
        <v>8980.056696411133</v>
      </c>
      <c r="J229" s="19" t="n">
        <v>11360.48447998047</v>
      </c>
      <c r="K229" s="19" t="n">
        <v>8980.056696411133</v>
      </c>
      <c r="L229" s="19" t="n">
        <v>10467.82406114197</v>
      </c>
      <c r="M229" s="19" t="n">
        <v>11360.48447998047</v>
      </c>
      <c r="N229" s="17" t="inlineStr">
        <is>
          <t>C</t>
        </is>
      </c>
      <c r="O229" s="19" t="n">
        <v>4176.439122851561</v>
      </c>
      <c r="P229" s="18" t="inlineStr">
        <is>
          <t>KHÔNG ĐỀ XUẤT TĂNG</t>
        </is>
      </c>
      <c r="Q229" s="17" t="inlineStr">
        <is>
          <t>Không</t>
        </is>
      </c>
      <c r="R229" s="20" t="n"/>
      <c r="S229" s="20" t="n"/>
      <c r="T229" s="21" t="n"/>
      <c r="U229" s="21" t="n"/>
      <c r="V229" s="22">
        <f>IF(U229="A",K229,IF(U229="B",L229,IF(U229="C",M229,IF(N229="A",K229,IF(N229="B",L229,M229)))))</f>
        <v/>
      </c>
      <c r="W229" s="22">
        <f>IF(R229="",O229,MAX(V229-R229-N(S229),0))</f>
        <v/>
      </c>
      <c r="X229" s="20" t="n"/>
      <c r="Y229" s="23">
        <f>IF(OR(X229="",W229=0),"",X229/W229-1)</f>
        <v/>
      </c>
      <c r="Z229" s="24" t="n"/>
      <c r="AA229" s="21" t="n"/>
      <c r="AB229" s="25" t="n"/>
      <c r="AC229" s="26">
        <f>IF(T229="","Chưa quyết định",IF(OR(Z229="",AA229=""),"⚠ Thiếu lý do/người duyệt",IF(AND(X229&lt;&gt;"",N(X229)+N(R229)+N(S229)&gt;M229*1.001,R229&lt;&gt;""),"⚠ Vượt mục tiêu P90",IF(AND(Y229&lt;&gt;"",ABS(N(Y229))&gt;0.3),"⚠ Lệch &gt; 30% so với nhu cầu",IF(Q229="Có","ℹ Kiểm tra ngoại suy KM","✓ Hợp lệ")))))</f>
        <v/>
      </c>
    </row>
    <row r="230">
      <c r="A230" s="16" t="n">
        <v>226</v>
      </c>
      <c r="B230" s="17" t="inlineStr">
        <is>
          <t>DEC-S24-POULTRY</t>
        </is>
      </c>
      <c r="C230" s="16" t="n">
        <v>24</v>
      </c>
      <c r="D230" s="17" t="inlineStr">
        <is>
          <t>POULTRY</t>
        </is>
      </c>
      <c r="E230" s="17" t="inlineStr">
        <is>
          <t>MEDIUM</t>
        </is>
      </c>
      <c r="F230" s="17" t="inlineStr">
        <is>
          <t>TRUNG BÌNH</t>
        </is>
      </c>
      <c r="G230" s="18" t="inlineStr">
        <is>
          <t>RISK_MEDIUM · LARGE_SERIES</t>
        </is>
      </c>
      <c r="H230" s="19" t="n">
        <v>6986.515563964844</v>
      </c>
      <c r="I230" s="19" t="n">
        <v>8946.775329589844</v>
      </c>
      <c r="J230" s="19" t="n">
        <v>11409.21307177734</v>
      </c>
      <c r="K230" s="19" t="n">
        <v>8946.775329589844</v>
      </c>
      <c r="L230" s="19" t="n">
        <v>10485.79891845703</v>
      </c>
      <c r="M230" s="19" t="n">
        <v>11409.21307177734</v>
      </c>
      <c r="N230" s="17" t="inlineStr">
        <is>
          <t>C</t>
        </is>
      </c>
      <c r="O230" s="19" t="n">
        <v>4251.792808105468</v>
      </c>
      <c r="P230" s="18" t="inlineStr">
        <is>
          <t>KHÔNG ĐỀ XUẤT TĂNG</t>
        </is>
      </c>
      <c r="Q230" s="17" t="inlineStr">
        <is>
          <t>Không</t>
        </is>
      </c>
      <c r="R230" s="20" t="n"/>
      <c r="S230" s="20" t="n"/>
      <c r="T230" s="21" t="n"/>
      <c r="U230" s="21" t="n"/>
      <c r="V230" s="22">
        <f>IF(U230="A",K230,IF(U230="B",L230,IF(U230="C",M230,IF(N230="A",K230,IF(N230="B",L230,M230)))))</f>
        <v/>
      </c>
      <c r="W230" s="22">
        <f>IF(R230="",O230,MAX(V230-R230-N(S230),0))</f>
        <v/>
      </c>
      <c r="X230" s="20" t="n"/>
      <c r="Y230" s="23">
        <f>IF(OR(X230="",W230=0),"",X230/W230-1)</f>
        <v/>
      </c>
      <c r="Z230" s="24" t="n"/>
      <c r="AA230" s="21" t="n"/>
      <c r="AB230" s="25" t="n"/>
      <c r="AC230" s="26">
        <f>IF(T230="","Chưa quyết định",IF(OR(Z230="",AA230=""),"⚠ Thiếu lý do/người duyệt",IF(AND(X230&lt;&gt;"",N(X230)+N(R230)+N(S230)&gt;M230*1.001,R230&lt;&gt;""),"⚠ Vượt mục tiêu P90",IF(AND(Y230&lt;&gt;"",ABS(N(Y230))&gt;0.3),"⚠ Lệch &gt; 30% so với nhu cầu",IF(Q230="Có","ℹ Kiểm tra ngoại suy KM","✓ Hợp lệ")))))</f>
        <v/>
      </c>
    </row>
    <row r="231">
      <c r="A231" s="16" t="n">
        <v>227</v>
      </c>
      <c r="B231" s="17" t="inlineStr">
        <is>
          <t>DEC-S31-BREAD_BAKERY</t>
        </is>
      </c>
      <c r="C231" s="16" t="n">
        <v>31</v>
      </c>
      <c r="D231" s="17" t="inlineStr">
        <is>
          <t>BREAD/BAKERY</t>
        </is>
      </c>
      <c r="E231" s="17" t="inlineStr">
        <is>
          <t>MEDIUM</t>
        </is>
      </c>
      <c r="F231" s="17" t="inlineStr">
        <is>
          <t>TRUNG BÌNH</t>
        </is>
      </c>
      <c r="G231" s="18" t="inlineStr">
        <is>
          <t>RISK_MEDIUM · LARGE_SERIES</t>
        </is>
      </c>
      <c r="H231" s="19" t="n">
        <v>6947.913757324219</v>
      </c>
      <c r="I231" s="19" t="n">
        <v>8908.173522949219</v>
      </c>
      <c r="J231" s="19" t="n">
        <v>11370.61126513672</v>
      </c>
      <c r="K231" s="19" t="n">
        <v>8908.173522949219</v>
      </c>
      <c r="L231" s="19" t="n">
        <v>10447.19711181641</v>
      </c>
      <c r="M231" s="19" t="n">
        <v>11370.61126513672</v>
      </c>
      <c r="N231" s="17" t="inlineStr">
        <is>
          <t>C</t>
        </is>
      </c>
      <c r="O231" s="19" t="n">
        <v>4244.072446777343</v>
      </c>
      <c r="P231" s="18" t="inlineStr">
        <is>
          <t>KHÔNG ĐỀ XUẤT TĂNG</t>
        </is>
      </c>
      <c r="Q231" s="17" t="inlineStr">
        <is>
          <t>Không</t>
        </is>
      </c>
      <c r="R231" s="20" t="n"/>
      <c r="S231" s="20" t="n"/>
      <c r="T231" s="21" t="n"/>
      <c r="U231" s="21" t="n"/>
      <c r="V231" s="22">
        <f>IF(U231="A",K231,IF(U231="B",L231,IF(U231="C",M231,IF(N231="A",K231,IF(N231="B",L231,M231)))))</f>
        <v/>
      </c>
      <c r="W231" s="22">
        <f>IF(R231="",O231,MAX(V231-R231-N(S231),0))</f>
        <v/>
      </c>
      <c r="X231" s="20" t="n"/>
      <c r="Y231" s="23">
        <f>IF(OR(X231="",W231=0),"",X231/W231-1)</f>
        <v/>
      </c>
      <c r="Z231" s="24" t="n"/>
      <c r="AA231" s="21" t="n"/>
      <c r="AB231" s="25" t="n"/>
      <c r="AC231" s="26">
        <f>IF(T231="","Chưa quyết định",IF(OR(Z231="",AA231=""),"⚠ Thiếu lý do/người duyệt",IF(AND(X231&lt;&gt;"",N(X231)+N(R231)+N(S231)&gt;M231*1.001,R231&lt;&gt;""),"⚠ Vượt mục tiêu P90",IF(AND(Y231&lt;&gt;"",ABS(N(Y231))&gt;0.3),"⚠ Lệch &gt; 30% so với nhu cầu",IF(Q231="Có","ℹ Kiểm tra ngoại suy KM","✓ Hợp lệ")))))</f>
        <v/>
      </c>
    </row>
    <row r="232">
      <c r="A232" s="16" t="n">
        <v>228</v>
      </c>
      <c r="B232" s="17" t="inlineStr">
        <is>
          <t>DEC-S50-PERSONAL_CARE</t>
        </is>
      </c>
      <c r="C232" s="16" t="n">
        <v>50</v>
      </c>
      <c r="D232" s="17" t="inlineStr">
        <is>
          <t>PERSONAL CARE</t>
        </is>
      </c>
      <c r="E232" s="17" t="inlineStr">
        <is>
          <t>MEDIUM</t>
        </is>
      </c>
      <c r="F232" s="17" t="inlineStr">
        <is>
          <t>TRUNG BÌNH</t>
        </is>
      </c>
      <c r="G232" s="18" t="inlineStr">
        <is>
          <t>RISK_MEDIUM · LARGE_SERIES</t>
        </is>
      </c>
      <c r="H232" s="19" t="n">
        <v>6976.333641845703</v>
      </c>
      <c r="I232" s="19" t="n">
        <v>8870.107630249024</v>
      </c>
      <c r="J232" s="19" t="n">
        <v>11250.53541381836</v>
      </c>
      <c r="K232" s="19" t="n">
        <v>8870.107630249024</v>
      </c>
      <c r="L232" s="19" t="n">
        <v>10357.87499497986</v>
      </c>
      <c r="M232" s="19" t="n">
        <v>11250.53541381836</v>
      </c>
      <c r="N232" s="17" t="inlineStr">
        <is>
          <t>C</t>
        </is>
      </c>
      <c r="O232" s="19" t="n">
        <v>4154.44930961914</v>
      </c>
      <c r="P232" s="18" t="inlineStr">
        <is>
          <t>KHÔNG ĐỀ XUẤT TĂNG</t>
        </is>
      </c>
      <c r="Q232" s="17" t="inlineStr">
        <is>
          <t>Không</t>
        </is>
      </c>
      <c r="R232" s="20" t="n"/>
      <c r="S232" s="20" t="n"/>
      <c r="T232" s="21" t="n"/>
      <c r="U232" s="21" t="n"/>
      <c r="V232" s="22">
        <f>IF(U232="A",K232,IF(U232="B",L232,IF(U232="C",M232,IF(N232="A",K232,IF(N232="B",L232,M232)))))</f>
        <v/>
      </c>
      <c r="W232" s="22">
        <f>IF(R232="",O232,MAX(V232-R232-N(S232),0))</f>
        <v/>
      </c>
      <c r="X232" s="20" t="n"/>
      <c r="Y232" s="23">
        <f>IF(OR(X232="",W232=0),"",X232/W232-1)</f>
        <v/>
      </c>
      <c r="Z232" s="24" t="n"/>
      <c r="AA232" s="21" t="n"/>
      <c r="AB232" s="25" t="n"/>
      <c r="AC232" s="26">
        <f>IF(T232="","Chưa quyết định",IF(OR(Z232="",AA232=""),"⚠ Thiếu lý do/người duyệt",IF(AND(X232&lt;&gt;"",N(X232)+N(R232)+N(S232)&gt;M232*1.001,R232&lt;&gt;""),"⚠ Vượt mục tiêu P90",IF(AND(Y232&lt;&gt;"",ABS(N(Y232))&gt;0.3),"⚠ Lệch &gt; 30% so với nhu cầu",IF(Q232="Có","ℹ Kiểm tra ngoại suy KM","✓ Hợp lệ")))))</f>
        <v/>
      </c>
    </row>
    <row r="233">
      <c r="A233" s="16" t="n">
        <v>229</v>
      </c>
      <c r="B233" s="17" t="inlineStr">
        <is>
          <t>DEC-S03-HOME_CARE</t>
        </is>
      </c>
      <c r="C233" s="16" t="n">
        <v>3</v>
      </c>
      <c r="D233" s="17" t="inlineStr">
        <is>
          <t>HOME CARE</t>
        </is>
      </c>
      <c r="E233" s="17" t="inlineStr">
        <is>
          <t>MEDIUM</t>
        </is>
      </c>
      <c r="F233" s="17" t="inlineStr">
        <is>
          <t>TRUNG BÌNH</t>
        </is>
      </c>
      <c r="G233" s="18" t="inlineStr">
        <is>
          <t>RISK_MEDIUM · LARGE_SERIES</t>
        </is>
      </c>
      <c r="H233" s="19" t="n">
        <v>6891.22365649414</v>
      </c>
      <c r="I233" s="19" t="n">
        <v>8784.997644897461</v>
      </c>
      <c r="J233" s="19" t="n">
        <v>11165.4254284668</v>
      </c>
      <c r="K233" s="19" t="n">
        <v>8784.997644897461</v>
      </c>
      <c r="L233" s="19" t="n">
        <v>10272.7650096283</v>
      </c>
      <c r="M233" s="19" t="n">
        <v>11165.4254284668</v>
      </c>
      <c r="N233" s="17" t="inlineStr">
        <is>
          <t>C</t>
        </is>
      </c>
      <c r="O233" s="19" t="n">
        <v>4137.427312548827</v>
      </c>
      <c r="P233" s="18" t="inlineStr">
        <is>
          <t>KHÔNG ĐỀ XUẤT TĂNG</t>
        </is>
      </c>
      <c r="Q233" s="17" t="inlineStr">
        <is>
          <t>Không</t>
        </is>
      </c>
      <c r="R233" s="20" t="n"/>
      <c r="S233" s="20" t="n"/>
      <c r="T233" s="21" t="n"/>
      <c r="U233" s="21" t="n"/>
      <c r="V233" s="22">
        <f>IF(U233="A",K233,IF(U233="B",L233,IF(U233="C",M233,IF(N233="A",K233,IF(N233="B",L233,M233)))))</f>
        <v/>
      </c>
      <c r="W233" s="22">
        <f>IF(R233="",O233,MAX(V233-R233-N(S233),0))</f>
        <v/>
      </c>
      <c r="X233" s="20" t="n"/>
      <c r="Y233" s="23">
        <f>IF(OR(X233="",W233=0),"",X233/W233-1)</f>
        <v/>
      </c>
      <c r="Z233" s="24" t="n"/>
      <c r="AA233" s="21" t="n"/>
      <c r="AB233" s="25" t="n"/>
      <c r="AC233" s="26">
        <f>IF(T233="","Chưa quyết định",IF(OR(Z233="",AA233=""),"⚠ Thiếu lý do/người duyệt",IF(AND(X233&lt;&gt;"",N(X233)+N(R233)+N(S233)&gt;M233*1.001,R233&lt;&gt;""),"⚠ Vượt mục tiêu P90",IF(AND(Y233&lt;&gt;"",ABS(N(Y233))&gt;0.3),"⚠ Lệch &gt; 30% so với nhu cầu",IF(Q233="Có","ℹ Kiểm tra ngoại suy KM","✓ Hợp lệ")))))</f>
        <v/>
      </c>
    </row>
    <row r="234">
      <c r="A234" s="16" t="n">
        <v>230</v>
      </c>
      <c r="B234" s="17" t="inlineStr">
        <is>
          <t>DEC-S49-PERSONAL_CARE</t>
        </is>
      </c>
      <c r="C234" s="16" t="n">
        <v>49</v>
      </c>
      <c r="D234" s="17" t="inlineStr">
        <is>
          <t>PERSONAL CARE</t>
        </is>
      </c>
      <c r="E234" s="17" t="inlineStr">
        <is>
          <t>MEDIUM</t>
        </is>
      </c>
      <c r="F234" s="17" t="inlineStr">
        <is>
          <t>TRUNG BÌNH</t>
        </is>
      </c>
      <c r="G234" s="18" t="inlineStr">
        <is>
          <t>RISK_MEDIUM · LARGE_SERIES</t>
        </is>
      </c>
      <c r="H234" s="19" t="n">
        <v>6832.420037109375</v>
      </c>
      <c r="I234" s="19" t="n">
        <v>8726.194025512696</v>
      </c>
      <c r="J234" s="19" t="n">
        <v>11106.62180908203</v>
      </c>
      <c r="K234" s="19" t="n">
        <v>8726.194025512696</v>
      </c>
      <c r="L234" s="19" t="n">
        <v>10213.96139024353</v>
      </c>
      <c r="M234" s="19" t="n">
        <v>11106.62180908203</v>
      </c>
      <c r="N234" s="17" t="inlineStr">
        <is>
          <t>C</t>
        </is>
      </c>
      <c r="O234" s="19" t="n">
        <v>4125.666588671875</v>
      </c>
      <c r="P234" s="18" t="inlineStr">
        <is>
          <t>KHÔNG ĐỀ XUẤT TĂNG</t>
        </is>
      </c>
      <c r="Q234" s="17" t="inlineStr">
        <is>
          <t>Không</t>
        </is>
      </c>
      <c r="R234" s="20" t="n"/>
      <c r="S234" s="20" t="n"/>
      <c r="T234" s="21" t="n"/>
      <c r="U234" s="21" t="n"/>
      <c r="V234" s="22">
        <f>IF(U234="A",K234,IF(U234="B",L234,IF(U234="C",M234,IF(N234="A",K234,IF(N234="B",L234,M234)))))</f>
        <v/>
      </c>
      <c r="W234" s="22">
        <f>IF(R234="",O234,MAX(V234-R234-N(S234),0))</f>
        <v/>
      </c>
      <c r="X234" s="20" t="n"/>
      <c r="Y234" s="23">
        <f>IF(OR(X234="",W234=0),"",X234/W234-1)</f>
        <v/>
      </c>
      <c r="Z234" s="24" t="n"/>
      <c r="AA234" s="21" t="n"/>
      <c r="AB234" s="25" t="n"/>
      <c r="AC234" s="26">
        <f>IF(T234="","Chưa quyết định",IF(OR(Z234="",AA234=""),"⚠ Thiếu lý do/người duyệt",IF(AND(X234&lt;&gt;"",N(X234)+N(R234)+N(S234)&gt;M234*1.001,R234&lt;&gt;""),"⚠ Vượt mục tiêu P90",IF(AND(Y234&lt;&gt;"",ABS(N(Y234))&gt;0.3),"⚠ Lệch &gt; 30% so với nhu cầu",IF(Q234="Có","ℹ Kiểm tra ngoại suy KM","✓ Hợp lệ")))))</f>
        <v/>
      </c>
    </row>
    <row r="235">
      <c r="A235" s="16" t="n">
        <v>231</v>
      </c>
      <c r="B235" s="17" t="inlineStr">
        <is>
          <t>DEC-S03-PERSONAL_CARE</t>
        </is>
      </c>
      <c r="C235" s="16" t="n">
        <v>3</v>
      </c>
      <c r="D235" s="17" t="inlineStr">
        <is>
          <t>PERSONAL CARE</t>
        </is>
      </c>
      <c r="E235" s="17" t="inlineStr">
        <is>
          <t>MEDIUM</t>
        </is>
      </c>
      <c r="F235" s="17" t="inlineStr">
        <is>
          <t>TRUNG BÌNH</t>
        </is>
      </c>
      <c r="G235" s="18" t="inlineStr">
        <is>
          <t>RISK_MEDIUM · LARGE_SERIES</t>
        </is>
      </c>
      <c r="H235" s="19" t="n">
        <v>6826.758904296875</v>
      </c>
      <c r="I235" s="19" t="n">
        <v>8720.532892700196</v>
      </c>
      <c r="J235" s="19" t="n">
        <v>11100.96067626953</v>
      </c>
      <c r="K235" s="19" t="n">
        <v>8720.532892700196</v>
      </c>
      <c r="L235" s="19" t="n">
        <v>10208.30025743103</v>
      </c>
      <c r="M235" s="19" t="n">
        <v>11100.96067626953</v>
      </c>
      <c r="N235" s="17" t="inlineStr">
        <is>
          <t>C</t>
        </is>
      </c>
      <c r="O235" s="19" t="n">
        <v>4124.534362109374</v>
      </c>
      <c r="P235" s="18" t="inlineStr">
        <is>
          <t>KHÔNG ĐỀ XUẤT TĂNG</t>
        </is>
      </c>
      <c r="Q235" s="17" t="inlineStr">
        <is>
          <t>Không</t>
        </is>
      </c>
      <c r="R235" s="20" t="n"/>
      <c r="S235" s="20" t="n"/>
      <c r="T235" s="21" t="n"/>
      <c r="U235" s="21" t="n"/>
      <c r="V235" s="22">
        <f>IF(U235="A",K235,IF(U235="B",L235,IF(U235="C",M235,IF(N235="A",K235,IF(N235="B",L235,M235)))))</f>
        <v/>
      </c>
      <c r="W235" s="22">
        <f>IF(R235="",O235,MAX(V235-R235-N(S235),0))</f>
        <v/>
      </c>
      <c r="X235" s="20" t="n"/>
      <c r="Y235" s="23">
        <f>IF(OR(X235="",W235=0),"",X235/W235-1)</f>
        <v/>
      </c>
      <c r="Z235" s="24" t="n"/>
      <c r="AA235" s="21" t="n"/>
      <c r="AB235" s="25" t="n"/>
      <c r="AC235" s="26">
        <f>IF(T235="","Chưa quyết định",IF(OR(Z235="",AA235=""),"⚠ Thiếu lý do/người duyệt",IF(AND(X235&lt;&gt;"",N(X235)+N(R235)+N(S235)&gt;M235*1.001,R235&lt;&gt;""),"⚠ Vượt mục tiêu P90",IF(AND(Y235&lt;&gt;"",ABS(N(Y235))&gt;0.3),"⚠ Lệch &gt; 30% so với nhu cầu",IF(Q235="Có","ℹ Kiểm tra ngoại suy KM","✓ Hợp lệ")))))</f>
        <v/>
      </c>
    </row>
    <row r="236">
      <c r="A236" s="16" t="n">
        <v>232</v>
      </c>
      <c r="B236" s="17" t="inlineStr">
        <is>
          <t>DEC-S49-HOME_CARE</t>
        </is>
      </c>
      <c r="C236" s="16" t="n">
        <v>49</v>
      </c>
      <c r="D236" s="17" t="inlineStr">
        <is>
          <t>HOME CARE</t>
        </is>
      </c>
      <c r="E236" s="17" t="inlineStr">
        <is>
          <t>MEDIUM</t>
        </is>
      </c>
      <c r="F236" s="17" t="inlineStr">
        <is>
          <t>TRUNG BÌNH</t>
        </is>
      </c>
      <c r="G236" s="18" t="inlineStr">
        <is>
          <t>RISK_MEDIUM · LARGE_SERIES</t>
        </is>
      </c>
      <c r="H236" s="19" t="n">
        <v>6779.205864746094</v>
      </c>
      <c r="I236" s="19" t="n">
        <v>8672.979853149414</v>
      </c>
      <c r="J236" s="19" t="n">
        <v>11053.40763671875</v>
      </c>
      <c r="K236" s="19" t="n">
        <v>8672.979853149414</v>
      </c>
      <c r="L236" s="19" t="n">
        <v>10160.74721788025</v>
      </c>
      <c r="M236" s="19" t="n">
        <v>11053.40763671875</v>
      </c>
      <c r="N236" s="17" t="inlineStr">
        <is>
          <t>C</t>
        </is>
      </c>
      <c r="O236" s="19" t="n">
        <v>4115.023754199218</v>
      </c>
      <c r="P236" s="18" t="inlineStr">
        <is>
          <t>KHÔNG ĐỀ XUẤT TĂNG</t>
        </is>
      </c>
      <c r="Q236" s="17" t="inlineStr">
        <is>
          <t>Không</t>
        </is>
      </c>
      <c r="R236" s="20" t="n"/>
      <c r="S236" s="20" t="n"/>
      <c r="T236" s="21" t="n"/>
      <c r="U236" s="21" t="n"/>
      <c r="V236" s="22">
        <f>IF(U236="A",K236,IF(U236="B",L236,IF(U236="C",M236,IF(N236="A",K236,IF(N236="B",L236,M236)))))</f>
        <v/>
      </c>
      <c r="W236" s="22">
        <f>IF(R236="",O236,MAX(V236-R236-N(S236),0))</f>
        <v/>
      </c>
      <c r="X236" s="20" t="n"/>
      <c r="Y236" s="23">
        <f>IF(OR(X236="",W236=0),"",X236/W236-1)</f>
        <v/>
      </c>
      <c r="Z236" s="24" t="n"/>
      <c r="AA236" s="21" t="n"/>
      <c r="AB236" s="25" t="n"/>
      <c r="AC236" s="26">
        <f>IF(T236="","Chưa quyết định",IF(OR(Z236="",AA236=""),"⚠ Thiếu lý do/người duyệt",IF(AND(X236&lt;&gt;"",N(X236)+N(R236)+N(S236)&gt;M236*1.001,R236&lt;&gt;""),"⚠ Vượt mục tiêu P90",IF(AND(Y236&lt;&gt;"",ABS(N(Y236))&gt;0.3),"⚠ Lệch &gt; 30% so với nhu cầu",IF(Q236="Có","ℹ Kiểm tra ngoại suy KM","✓ Hợp lệ")))))</f>
        <v/>
      </c>
    </row>
    <row r="237">
      <c r="A237" s="16" t="n">
        <v>233</v>
      </c>
      <c r="B237" s="17" t="inlineStr">
        <is>
          <t>DEC-S42-BREAD_BAKERY</t>
        </is>
      </c>
      <c r="C237" s="16" t="n">
        <v>42</v>
      </c>
      <c r="D237" s="17" t="inlineStr">
        <is>
          <t>BREAD/BAKERY</t>
        </is>
      </c>
      <c r="E237" s="17" t="inlineStr">
        <is>
          <t>MEDIUM</t>
        </is>
      </c>
      <c r="F237" s="17" t="inlineStr">
        <is>
          <t>TRUNG BÌNH</t>
        </is>
      </c>
      <c r="G237" s="18" t="inlineStr">
        <is>
          <t>RISK_MEDIUM · LARGE_SERIES</t>
        </is>
      </c>
      <c r="H237" s="19" t="n">
        <v>6697.330047607422</v>
      </c>
      <c r="I237" s="19" t="n">
        <v>8657.589813232422</v>
      </c>
      <c r="J237" s="19" t="n">
        <v>11120.02755541992</v>
      </c>
      <c r="K237" s="19" t="n">
        <v>8657.589813232422</v>
      </c>
      <c r="L237" s="19" t="n">
        <v>10196.61340209961</v>
      </c>
      <c r="M237" s="19" t="n">
        <v>11120.02755541992</v>
      </c>
      <c r="N237" s="17" t="inlineStr">
        <is>
          <t>C</t>
        </is>
      </c>
      <c r="O237" s="19" t="n">
        <v>4193.955704833984</v>
      </c>
      <c r="P237" s="18" t="inlineStr">
        <is>
          <t>KHÔNG ĐỀ XUẤT TĂNG</t>
        </is>
      </c>
      <c r="Q237" s="17" t="inlineStr">
        <is>
          <t>Không</t>
        </is>
      </c>
      <c r="R237" s="20" t="n"/>
      <c r="S237" s="20" t="n"/>
      <c r="T237" s="21" t="n"/>
      <c r="U237" s="21" t="n"/>
      <c r="V237" s="22">
        <f>IF(U237="A",K237,IF(U237="B",L237,IF(U237="C",M237,IF(N237="A",K237,IF(N237="B",L237,M237)))))</f>
        <v/>
      </c>
      <c r="W237" s="22">
        <f>IF(R237="",O237,MAX(V237-R237-N(S237),0))</f>
        <v/>
      </c>
      <c r="X237" s="20" t="n"/>
      <c r="Y237" s="23">
        <f>IF(OR(X237="",W237=0),"",X237/W237-1)</f>
        <v/>
      </c>
      <c r="Z237" s="24" t="n"/>
      <c r="AA237" s="21" t="n"/>
      <c r="AB237" s="25" t="n"/>
      <c r="AC237" s="26">
        <f>IF(T237="","Chưa quyết định",IF(OR(Z237="",AA237=""),"⚠ Thiếu lý do/người duyệt",IF(AND(X237&lt;&gt;"",N(X237)+N(R237)+N(S237)&gt;M237*1.001,R237&lt;&gt;""),"⚠ Vượt mục tiêu P90",IF(AND(Y237&lt;&gt;"",ABS(N(Y237))&gt;0.3),"⚠ Lệch &gt; 30% so với nhu cầu",IF(Q237="Có","ℹ Kiểm tra ngoại suy KM","✓ Hợp lệ")))))</f>
        <v/>
      </c>
    </row>
    <row r="238">
      <c r="A238" s="16" t="n">
        <v>234</v>
      </c>
      <c r="B238" s="17" t="inlineStr">
        <is>
          <t>DEC-S11-DELI</t>
        </is>
      </c>
      <c r="C238" s="16" t="n">
        <v>11</v>
      </c>
      <c r="D238" s="17" t="inlineStr">
        <is>
          <t>DELI</t>
        </is>
      </c>
      <c r="E238" s="17" t="inlineStr">
        <is>
          <t>MEDIUM</t>
        </is>
      </c>
      <c r="F238" s="17" t="inlineStr">
        <is>
          <t>TRUNG BÌNH</t>
        </is>
      </c>
      <c r="G238" s="18" t="inlineStr">
        <is>
          <t>RISK_MEDIUM · LARGE_SERIES</t>
        </is>
      </c>
      <c r="H238" s="19" t="n">
        <v>6692.701751708984</v>
      </c>
      <c r="I238" s="19" t="n">
        <v>8652.961517333984</v>
      </c>
      <c r="J238" s="19" t="n">
        <v>11115.39925952148</v>
      </c>
      <c r="K238" s="19" t="n">
        <v>8652.961517333984</v>
      </c>
      <c r="L238" s="19" t="n">
        <v>10191.98510620117</v>
      </c>
      <c r="M238" s="19" t="n">
        <v>11115.39925952148</v>
      </c>
      <c r="N238" s="17" t="inlineStr">
        <is>
          <t>C</t>
        </is>
      </c>
      <c r="O238" s="19" t="n">
        <v>4193.030045654296</v>
      </c>
      <c r="P238" s="18" t="inlineStr">
        <is>
          <t>KHÔNG ĐỀ XUẤT TĂNG</t>
        </is>
      </c>
      <c r="Q238" s="17" t="inlineStr">
        <is>
          <t>Không</t>
        </is>
      </c>
      <c r="R238" s="20" t="n"/>
      <c r="S238" s="20" t="n"/>
      <c r="T238" s="21" t="n"/>
      <c r="U238" s="21" t="n"/>
      <c r="V238" s="22">
        <f>IF(U238="A",K238,IF(U238="B",L238,IF(U238="C",M238,IF(N238="A",K238,IF(N238="B",L238,M238)))))</f>
        <v/>
      </c>
      <c r="W238" s="22">
        <f>IF(R238="",O238,MAX(V238-R238-N(S238),0))</f>
        <v/>
      </c>
      <c r="X238" s="20" t="n"/>
      <c r="Y238" s="23">
        <f>IF(OR(X238="",W238=0),"",X238/W238-1)</f>
        <v/>
      </c>
      <c r="Z238" s="24" t="n"/>
      <c r="AA238" s="21" t="n"/>
      <c r="AB238" s="25" t="n"/>
      <c r="AC238" s="26">
        <f>IF(T238="","Chưa quyết định",IF(OR(Z238="",AA238=""),"⚠ Thiếu lý do/người duyệt",IF(AND(X238&lt;&gt;"",N(X238)+N(R238)+N(S238)&gt;M238*1.001,R238&lt;&gt;""),"⚠ Vượt mục tiêu P90",IF(AND(Y238&lt;&gt;"",ABS(N(Y238))&gt;0.3),"⚠ Lệch &gt; 30% so với nhu cầu",IF(Q238="Có","ℹ Kiểm tra ngoại suy KM","✓ Hợp lệ")))))</f>
        <v/>
      </c>
    </row>
    <row r="239">
      <c r="A239" s="16" t="n">
        <v>235</v>
      </c>
      <c r="B239" s="17" t="inlineStr">
        <is>
          <t>DEC-S20-BREAD_BAKERY</t>
        </is>
      </c>
      <c r="C239" s="16" t="n">
        <v>20</v>
      </c>
      <c r="D239" s="17" t="inlineStr">
        <is>
          <t>BREAD/BAKERY</t>
        </is>
      </c>
      <c r="E239" s="17" t="inlineStr">
        <is>
          <t>MEDIUM</t>
        </is>
      </c>
      <c r="F239" s="17" t="inlineStr">
        <is>
          <t>TRUNG BÌNH</t>
        </is>
      </c>
      <c r="G239" s="18" t="inlineStr">
        <is>
          <t>RISK_MEDIUM · LARGE_SERIES</t>
        </is>
      </c>
      <c r="H239" s="19" t="n">
        <v>6860.524576660157</v>
      </c>
      <c r="I239" s="19" t="n">
        <v>8621.327010620118</v>
      </c>
      <c r="J239" s="19" t="n">
        <v>10837.73487695312</v>
      </c>
      <c r="K239" s="19" t="n">
        <v>8621.327010620118</v>
      </c>
      <c r="L239" s="19" t="n">
        <v>10006.58192707825</v>
      </c>
      <c r="M239" s="19" t="n">
        <v>10837.73487695312</v>
      </c>
      <c r="N239" s="17" t="inlineStr">
        <is>
          <t>C</t>
        </is>
      </c>
      <c r="O239" s="19" t="n">
        <v>3940.673268457029</v>
      </c>
      <c r="P239" s="18" t="inlineStr">
        <is>
          <t>KHÔNG ĐỀ XUẤT TĂNG</t>
        </is>
      </c>
      <c r="Q239" s="17" t="inlineStr">
        <is>
          <t>Không</t>
        </is>
      </c>
      <c r="R239" s="20" t="n"/>
      <c r="S239" s="20" t="n"/>
      <c r="T239" s="21" t="n"/>
      <c r="U239" s="21" t="n"/>
      <c r="V239" s="22">
        <f>IF(U239="A",K239,IF(U239="B",L239,IF(U239="C",M239,IF(N239="A",K239,IF(N239="B",L239,M239)))))</f>
        <v/>
      </c>
      <c r="W239" s="22">
        <f>IF(R239="",O239,MAX(V239-R239-N(S239),0))</f>
        <v/>
      </c>
      <c r="X239" s="20" t="n"/>
      <c r="Y239" s="23">
        <f>IF(OR(X239="",W239=0),"",X239/W239-1)</f>
        <v/>
      </c>
      <c r="Z239" s="24" t="n"/>
      <c r="AA239" s="21" t="n"/>
      <c r="AB239" s="25" t="n"/>
      <c r="AC239" s="26">
        <f>IF(T239="","Chưa quyết định",IF(OR(Z239="",AA239=""),"⚠ Thiếu lý do/người duyệt",IF(AND(X239&lt;&gt;"",N(X239)+N(R239)+N(S239)&gt;M239*1.001,R239&lt;&gt;""),"⚠ Vượt mục tiêu P90",IF(AND(Y239&lt;&gt;"",ABS(N(Y239))&gt;0.3),"⚠ Lệch &gt; 30% so với nhu cầu",IF(Q239="Có","ℹ Kiểm tra ngoại suy KM","✓ Hợp lệ")))))</f>
        <v/>
      </c>
    </row>
    <row r="240">
      <c r="A240" s="16" t="n">
        <v>236</v>
      </c>
      <c r="B240" s="17" t="inlineStr">
        <is>
          <t>DEC-S50-DELI</t>
        </is>
      </c>
      <c r="C240" s="16" t="n">
        <v>50</v>
      </c>
      <c r="D240" s="17" t="inlineStr">
        <is>
          <t>DELI</t>
        </is>
      </c>
      <c r="E240" s="17" t="inlineStr">
        <is>
          <t>MEDIUM</t>
        </is>
      </c>
      <c r="F240" s="17" t="inlineStr">
        <is>
          <t>TRUNG BÌNH</t>
        </is>
      </c>
      <c r="G240" s="18" t="inlineStr">
        <is>
          <t>RISK_MEDIUM · LARGE_SERIES</t>
        </is>
      </c>
      <c r="H240" s="19" t="n">
        <v>6673.975382324219</v>
      </c>
      <c r="I240" s="19" t="n">
        <v>8434.777816284179</v>
      </c>
      <c r="J240" s="19" t="n">
        <v>10651.18568261719</v>
      </c>
      <c r="K240" s="19" t="n">
        <v>8434.777816284179</v>
      </c>
      <c r="L240" s="19" t="n">
        <v>9820.032732742309</v>
      </c>
      <c r="M240" s="19" t="n">
        <v>10651.18568261719</v>
      </c>
      <c r="N240" s="17" t="inlineStr">
        <is>
          <t>C</t>
        </is>
      </c>
      <c r="O240" s="19" t="n">
        <v>3903.363429589845</v>
      </c>
      <c r="P240" s="18" t="inlineStr">
        <is>
          <t>KHÔNG ĐỀ XUẤT TĂNG</t>
        </is>
      </c>
      <c r="Q240" s="17" t="inlineStr">
        <is>
          <t>Không</t>
        </is>
      </c>
      <c r="R240" s="20" t="n"/>
      <c r="S240" s="20" t="n"/>
      <c r="T240" s="21" t="n"/>
      <c r="U240" s="21" t="n"/>
      <c r="V240" s="22">
        <f>IF(U240="A",K240,IF(U240="B",L240,IF(U240="C",M240,IF(N240="A",K240,IF(N240="B",L240,M240)))))</f>
        <v/>
      </c>
      <c r="W240" s="22">
        <f>IF(R240="",O240,MAX(V240-R240-N(S240),0))</f>
        <v/>
      </c>
      <c r="X240" s="20" t="n"/>
      <c r="Y240" s="23">
        <f>IF(OR(X240="",W240=0),"",X240/W240-1)</f>
        <v/>
      </c>
      <c r="Z240" s="24" t="n"/>
      <c r="AA240" s="21" t="n"/>
      <c r="AB240" s="25" t="n"/>
      <c r="AC240" s="26">
        <f>IF(T240="","Chưa quyết định",IF(OR(Z240="",AA240=""),"⚠ Thiếu lý do/người duyệt",IF(AND(X240&lt;&gt;"",N(X240)+N(R240)+N(S240)&gt;M240*1.001,R240&lt;&gt;""),"⚠ Vượt mục tiêu P90",IF(AND(Y240&lt;&gt;"",ABS(N(Y240))&gt;0.3),"⚠ Lệch &gt; 30% so với nhu cầu",IF(Q240="Có","ℹ Kiểm tra ngoại suy KM","✓ Hợp lệ")))))</f>
        <v/>
      </c>
    </row>
    <row r="241">
      <c r="A241" s="16" t="n">
        <v>237</v>
      </c>
      <c r="B241" s="17" t="inlineStr">
        <is>
          <t>DEC-S39-EGGS</t>
        </is>
      </c>
      <c r="C241" s="16" t="n">
        <v>39</v>
      </c>
      <c r="D241" s="17" t="inlineStr">
        <is>
          <t>EGGS</t>
        </is>
      </c>
      <c r="E241" s="17" t="inlineStr">
        <is>
          <t>MEDIUM</t>
        </is>
      </c>
      <c r="F241" s="17" t="inlineStr">
        <is>
          <t>TRUNG BÌNH</t>
        </is>
      </c>
      <c r="G241" s="18" t="inlineStr">
        <is>
          <t>RISK_MEDIUM · LARGE_SERIES</t>
        </is>
      </c>
      <c r="H241" s="19" t="n">
        <v>6205.974791845703</v>
      </c>
      <c r="I241" s="19" t="n">
        <v>8386.278420410155</v>
      </c>
      <c r="J241" s="19" t="n">
        <v>11842.34284936524</v>
      </c>
      <c r="K241" s="19" t="n">
        <v>8386.278420410155</v>
      </c>
      <c r="L241" s="19" t="n">
        <v>10546.31868850708</v>
      </c>
      <c r="M241" s="19" t="n">
        <v>11842.34284936524</v>
      </c>
      <c r="N241" s="17" t="inlineStr">
        <is>
          <t>C</t>
        </is>
      </c>
      <c r="O241" s="19" t="n">
        <v>5133.320113037111</v>
      </c>
      <c r="P241" s="18" t="inlineStr">
        <is>
          <t>KHÔNG ĐỀ XUẤT TĂNG</t>
        </is>
      </c>
      <c r="Q241" s="17" t="inlineStr">
        <is>
          <t>Không</t>
        </is>
      </c>
      <c r="R241" s="20" t="n"/>
      <c r="S241" s="20" t="n"/>
      <c r="T241" s="21" t="n"/>
      <c r="U241" s="21" t="n"/>
      <c r="V241" s="22">
        <f>IF(U241="A",K241,IF(U241="B",L241,IF(U241="C",M241,IF(N241="A",K241,IF(N241="B",L241,M241)))))</f>
        <v/>
      </c>
      <c r="W241" s="22">
        <f>IF(R241="",O241,MAX(V241-R241-N(S241),0))</f>
        <v/>
      </c>
      <c r="X241" s="20" t="n"/>
      <c r="Y241" s="23">
        <f>IF(OR(X241="",W241=0),"",X241/W241-1)</f>
        <v/>
      </c>
      <c r="Z241" s="24" t="n"/>
      <c r="AA241" s="21" t="n"/>
      <c r="AB241" s="25" t="n"/>
      <c r="AC241" s="26">
        <f>IF(T241="","Chưa quyết định",IF(OR(Z241="",AA241=""),"⚠ Thiếu lý do/người duyệt",IF(AND(X241&lt;&gt;"",N(X241)+N(R241)+N(S241)&gt;M241*1.001,R241&lt;&gt;""),"⚠ Vượt mục tiêu P90",IF(AND(Y241&lt;&gt;"",ABS(N(Y241))&gt;0.3),"⚠ Lệch &gt; 30% so với nhu cầu",IF(Q241="Có","ℹ Kiểm tra ngoại suy KM","✓ Hợp lệ")))))</f>
        <v/>
      </c>
    </row>
    <row r="242">
      <c r="A242" s="16" t="n">
        <v>238</v>
      </c>
      <c r="B242" s="17" t="inlineStr">
        <is>
          <t>DEC-S23-DAIRY</t>
        </is>
      </c>
      <c r="C242" s="16" t="n">
        <v>23</v>
      </c>
      <c r="D242" s="17" t="inlineStr">
        <is>
          <t>DAIRY</t>
        </is>
      </c>
      <c r="E242" s="17" t="inlineStr">
        <is>
          <t>MEDIUM</t>
        </is>
      </c>
      <c r="F242" s="17" t="inlineStr">
        <is>
          <t>TRUNG BÌNH</t>
        </is>
      </c>
      <c r="G242" s="18" t="inlineStr">
        <is>
          <t>RISK_MEDIUM · LARGE_SERIES</t>
        </is>
      </c>
      <c r="H242" s="19" t="n">
        <v>6378.379425048828</v>
      </c>
      <c r="I242" s="19" t="n">
        <v>8338.639190673828</v>
      </c>
      <c r="J242" s="19" t="n">
        <v>10801.07693286133</v>
      </c>
      <c r="K242" s="19" t="n">
        <v>8338.639190673828</v>
      </c>
      <c r="L242" s="19" t="n">
        <v>9877.662779541015</v>
      </c>
      <c r="M242" s="19" t="n">
        <v>10801.07693286133</v>
      </c>
      <c r="N242" s="17" t="inlineStr">
        <is>
          <t>C</t>
        </is>
      </c>
      <c r="O242" s="19" t="n">
        <v>4130.165580322265</v>
      </c>
      <c r="P242" s="18" t="inlineStr">
        <is>
          <t>KHÔNG ĐỀ XUẤT TĂNG</t>
        </is>
      </c>
      <c r="Q242" s="17" t="inlineStr">
        <is>
          <t>Không</t>
        </is>
      </c>
      <c r="R242" s="20" t="n"/>
      <c r="S242" s="20" t="n"/>
      <c r="T242" s="21" t="n"/>
      <c r="U242" s="21" t="n"/>
      <c r="V242" s="22">
        <f>IF(U242="A",K242,IF(U242="B",L242,IF(U242="C",M242,IF(N242="A",K242,IF(N242="B",L242,M242)))))</f>
        <v/>
      </c>
      <c r="W242" s="22">
        <f>IF(R242="",O242,MAX(V242-R242-N(S242),0))</f>
        <v/>
      </c>
      <c r="X242" s="20" t="n"/>
      <c r="Y242" s="23">
        <f>IF(OR(X242="",W242=0),"",X242/W242-1)</f>
        <v/>
      </c>
      <c r="Z242" s="24" t="n"/>
      <c r="AA242" s="21" t="n"/>
      <c r="AB242" s="25" t="n"/>
      <c r="AC242" s="26">
        <f>IF(T242="","Chưa quyết định",IF(OR(Z242="",AA242=""),"⚠ Thiếu lý do/người duyệt",IF(AND(X242&lt;&gt;"",N(X242)+N(R242)+N(S242)&gt;M242*1.001,R242&lt;&gt;""),"⚠ Vượt mục tiêu P90",IF(AND(Y242&lt;&gt;"",ABS(N(Y242))&gt;0.3),"⚠ Lệch &gt; 30% so với nhu cầu",IF(Q242="Có","ℹ Kiểm tra ngoại suy KM","✓ Hợp lệ")))))</f>
        <v/>
      </c>
    </row>
    <row r="243">
      <c r="A243" s="16" t="n">
        <v>239</v>
      </c>
      <c r="B243" s="17" t="inlineStr">
        <is>
          <t>DEC-S22-PRODUCE</t>
        </is>
      </c>
      <c r="C243" s="16" t="n">
        <v>22</v>
      </c>
      <c r="D243" s="17" t="inlineStr">
        <is>
          <t>PRODUCE</t>
        </is>
      </c>
      <c r="E243" s="17" t="inlineStr">
        <is>
          <t>MEDIUM</t>
        </is>
      </c>
      <c r="F243" s="17" t="inlineStr">
        <is>
          <t>TRUNG BÌNH</t>
        </is>
      </c>
      <c r="G243" s="18" t="inlineStr">
        <is>
          <t>RISK_MEDIUM · LARGE_SERIES</t>
        </is>
      </c>
      <c r="H243" s="19" t="n">
        <v>6383.731133300781</v>
      </c>
      <c r="I243" s="19" t="n">
        <v>8277.505121704102</v>
      </c>
      <c r="J243" s="19" t="n">
        <v>10657.93290527344</v>
      </c>
      <c r="K243" s="19" t="n">
        <v>8277.505121704102</v>
      </c>
      <c r="L243" s="19" t="n">
        <v>9765.272486434935</v>
      </c>
      <c r="M243" s="19" t="n">
        <v>10657.93290527344</v>
      </c>
      <c r="N243" s="17" t="inlineStr">
        <is>
          <t>C</t>
        </is>
      </c>
      <c r="O243" s="19" t="n">
        <v>4035.928807910153</v>
      </c>
      <c r="P243" s="18" t="inlineStr">
        <is>
          <t>KHÔNG ĐỀ XUẤT TĂNG</t>
        </is>
      </c>
      <c r="Q243" s="17" t="inlineStr">
        <is>
          <t>Không</t>
        </is>
      </c>
      <c r="R243" s="20" t="n"/>
      <c r="S243" s="20" t="n"/>
      <c r="T243" s="21" t="n"/>
      <c r="U243" s="21" t="n"/>
      <c r="V243" s="22">
        <f>IF(U243="A",K243,IF(U243="B",L243,IF(U243="C",M243,IF(N243="A",K243,IF(N243="B",L243,M243)))))</f>
        <v/>
      </c>
      <c r="W243" s="22">
        <f>IF(R243="",O243,MAX(V243-R243-N(S243),0))</f>
        <v/>
      </c>
      <c r="X243" s="20" t="n"/>
      <c r="Y243" s="23">
        <f>IF(OR(X243="",W243=0),"",X243/W243-1)</f>
        <v/>
      </c>
      <c r="Z243" s="24" t="n"/>
      <c r="AA243" s="21" t="n"/>
      <c r="AB243" s="25" t="n"/>
      <c r="AC243" s="26">
        <f>IF(T243="","Chưa quyết định",IF(OR(Z243="",AA243=""),"⚠ Thiếu lý do/người duyệt",IF(AND(X243&lt;&gt;"",N(X243)+N(R243)+N(S243)&gt;M243*1.001,R243&lt;&gt;""),"⚠ Vượt mục tiêu P90",IF(AND(Y243&lt;&gt;"",ABS(N(Y243))&gt;0.3),"⚠ Lệch &gt; 30% so với nhu cầu",IF(Q243="Có","ℹ Kiểm tra ngoại suy KM","✓ Hợp lệ")))))</f>
        <v/>
      </c>
    </row>
    <row r="244">
      <c r="A244" s="16" t="n">
        <v>240</v>
      </c>
      <c r="B244" s="17" t="inlineStr">
        <is>
          <t>DEC-S41-BREAD_BAKERY</t>
        </is>
      </c>
      <c r="C244" s="16" t="n">
        <v>41</v>
      </c>
      <c r="D244" s="17" t="inlineStr">
        <is>
          <t>BREAD/BAKERY</t>
        </is>
      </c>
      <c r="E244" s="17" t="inlineStr">
        <is>
          <t>MEDIUM</t>
        </is>
      </c>
      <c r="F244" s="17" t="inlineStr">
        <is>
          <t>TRUNG BÌNH</t>
        </is>
      </c>
      <c r="G244" s="18" t="inlineStr">
        <is>
          <t>RISK_MEDIUM · LARGE_SERIES</t>
        </is>
      </c>
      <c r="H244" s="19" t="n">
        <v>6381.8470390625</v>
      </c>
      <c r="I244" s="19" t="n">
        <v>8275.621027465821</v>
      </c>
      <c r="J244" s="19" t="n">
        <v>10656.04881103516</v>
      </c>
      <c r="K244" s="19" t="n">
        <v>8275.621027465821</v>
      </c>
      <c r="L244" s="19" t="n">
        <v>9763.388392196655</v>
      </c>
      <c r="M244" s="19" t="n">
        <v>10656.04881103516</v>
      </c>
      <c r="N244" s="17" t="inlineStr">
        <is>
          <t>C</t>
        </is>
      </c>
      <c r="O244" s="19" t="n">
        <v>4035.551989062499</v>
      </c>
      <c r="P244" s="18" t="inlineStr">
        <is>
          <t>KHÔNG ĐỀ XUẤT TĂNG</t>
        </is>
      </c>
      <c r="Q244" s="17" t="inlineStr">
        <is>
          <t>Không</t>
        </is>
      </c>
      <c r="R244" s="20" t="n"/>
      <c r="S244" s="20" t="n"/>
      <c r="T244" s="21" t="n"/>
      <c r="U244" s="21" t="n"/>
      <c r="V244" s="22">
        <f>IF(U244="A",K244,IF(U244="B",L244,IF(U244="C",M244,IF(N244="A",K244,IF(N244="B",L244,M244)))))</f>
        <v/>
      </c>
      <c r="W244" s="22">
        <f>IF(R244="",O244,MAX(V244-R244-N(S244),0))</f>
        <v/>
      </c>
      <c r="X244" s="20" t="n"/>
      <c r="Y244" s="23">
        <f>IF(OR(X244="",W244=0),"",X244/W244-1)</f>
        <v/>
      </c>
      <c r="Z244" s="24" t="n"/>
      <c r="AA244" s="21" t="n"/>
      <c r="AB244" s="25" t="n"/>
      <c r="AC244" s="26">
        <f>IF(T244="","Chưa quyết định",IF(OR(Z244="",AA244=""),"⚠ Thiếu lý do/người duyệt",IF(AND(X244&lt;&gt;"",N(X244)+N(R244)+N(S244)&gt;M244*1.001,R244&lt;&gt;""),"⚠ Vượt mục tiêu P90",IF(AND(Y244&lt;&gt;"",ABS(N(Y244))&gt;0.3),"⚠ Lệch &gt; 30% so với nhu cầu",IF(Q244="Có","ℹ Kiểm tra ngoại suy KM","✓ Hợp lệ")))))</f>
        <v/>
      </c>
    </row>
    <row r="245">
      <c r="A245" s="16" t="n">
        <v>241</v>
      </c>
      <c r="B245" s="17" t="inlineStr">
        <is>
          <t>DEC-S49-EGGS</t>
        </is>
      </c>
      <c r="C245" s="16" t="n">
        <v>49</v>
      </c>
      <c r="D245" s="17" t="inlineStr">
        <is>
          <t>EGGS</t>
        </is>
      </c>
      <c r="E245" s="17" t="inlineStr">
        <is>
          <t>MEDIUM</t>
        </is>
      </c>
      <c r="F245" s="17" t="inlineStr">
        <is>
          <t>TRUNG BÌNH</t>
        </is>
      </c>
      <c r="G245" s="18" t="inlineStr">
        <is>
          <t>RISK_MEDIUM · LARGE_SERIES</t>
        </is>
      </c>
      <c r="H245" s="19" t="n">
        <v>6393.590898193359</v>
      </c>
      <c r="I245" s="19" t="n">
        <v>8220.879109375001</v>
      </c>
      <c r="J245" s="19" t="n">
        <v>10519.29693432617</v>
      </c>
      <c r="K245" s="19" t="n">
        <v>8220.879109375001</v>
      </c>
      <c r="L245" s="19" t="n">
        <v>9657.390249969483</v>
      </c>
      <c r="M245" s="19" t="n">
        <v>10519.29693432617</v>
      </c>
      <c r="N245" s="17" t="inlineStr">
        <is>
          <t>C</t>
        </is>
      </c>
      <c r="O245" s="19" t="n">
        <v>3942.593646826172</v>
      </c>
      <c r="P245" s="18" t="inlineStr">
        <is>
          <t>CÂN NHẮC THỬ NGHIỆM</t>
        </is>
      </c>
      <c r="Q245" s="17" t="inlineStr">
        <is>
          <t>Không</t>
        </is>
      </c>
      <c r="R245" s="20" t="n"/>
      <c r="S245" s="20" t="n"/>
      <c r="T245" s="21" t="n"/>
      <c r="U245" s="21" t="n"/>
      <c r="V245" s="22">
        <f>IF(U245="A",K245,IF(U245="B",L245,IF(U245="C",M245,IF(N245="A",K245,IF(N245="B",L245,M245)))))</f>
        <v/>
      </c>
      <c r="W245" s="22">
        <f>IF(R245="",O245,MAX(V245-R245-N(S245),0))</f>
        <v/>
      </c>
      <c r="X245" s="20" t="n"/>
      <c r="Y245" s="23">
        <f>IF(OR(X245="",W245=0),"",X245/W245-1)</f>
        <v/>
      </c>
      <c r="Z245" s="24" t="n"/>
      <c r="AA245" s="21" t="n"/>
      <c r="AB245" s="25" t="n"/>
      <c r="AC245" s="26">
        <f>IF(T245="","Chưa quyết định",IF(OR(Z245="",AA245=""),"⚠ Thiếu lý do/người duyệt",IF(AND(X245&lt;&gt;"",N(X245)+N(R245)+N(S245)&gt;M245*1.001,R245&lt;&gt;""),"⚠ Vượt mục tiêu P90",IF(AND(Y245&lt;&gt;"",ABS(N(Y245))&gt;0.3),"⚠ Lệch &gt; 30% so với nhu cầu",IF(Q245="Có","ℹ Kiểm tra ngoại suy KM","✓ Hợp lệ")))))</f>
        <v/>
      </c>
    </row>
    <row r="246">
      <c r="A246" s="16" t="n">
        <v>242</v>
      </c>
      <c r="B246" s="17" t="inlineStr">
        <is>
          <t>DEC-S25-DAIRY</t>
        </is>
      </c>
      <c r="C246" s="16" t="n">
        <v>25</v>
      </c>
      <c r="D246" s="17" t="inlineStr">
        <is>
          <t>DAIRY</t>
        </is>
      </c>
      <c r="E246" s="17" t="inlineStr">
        <is>
          <t>MEDIUM</t>
        </is>
      </c>
      <c r="F246" s="17" t="inlineStr">
        <is>
          <t>TRUNG BÌNH</t>
        </is>
      </c>
      <c r="G246" s="18" t="inlineStr">
        <is>
          <t>RISK_MEDIUM · LARGE_SERIES</t>
        </is>
      </c>
      <c r="H246" s="19" t="n">
        <v>6301.850426513672</v>
      </c>
      <c r="I246" s="19" t="n">
        <v>8195.624414916992</v>
      </c>
      <c r="J246" s="19" t="n">
        <v>10576.05219848633</v>
      </c>
      <c r="K246" s="19" t="n">
        <v>8195.624414916992</v>
      </c>
      <c r="L246" s="19" t="n">
        <v>9683.391779647827</v>
      </c>
      <c r="M246" s="19" t="n">
        <v>10576.05219848633</v>
      </c>
      <c r="N246" s="17" t="inlineStr">
        <is>
          <t>C</t>
        </is>
      </c>
      <c r="O246" s="19" t="n">
        <v>4019.552666552734</v>
      </c>
      <c r="P246" s="18" t="inlineStr">
        <is>
          <t>KHÔNG ĐỀ XUẤT TĂNG</t>
        </is>
      </c>
      <c r="Q246" s="17" t="inlineStr">
        <is>
          <t>Không</t>
        </is>
      </c>
      <c r="R246" s="20" t="n"/>
      <c r="S246" s="20" t="n"/>
      <c r="T246" s="21" t="n"/>
      <c r="U246" s="21" t="n"/>
      <c r="V246" s="22">
        <f>IF(U246="A",K246,IF(U246="B",L246,IF(U246="C",M246,IF(N246="A",K246,IF(N246="B",L246,M246)))))</f>
        <v/>
      </c>
      <c r="W246" s="22">
        <f>IF(R246="",O246,MAX(V246-R246-N(S246),0))</f>
        <v/>
      </c>
      <c r="X246" s="20" t="n"/>
      <c r="Y246" s="23">
        <f>IF(OR(X246="",W246=0),"",X246/W246-1)</f>
        <v/>
      </c>
      <c r="Z246" s="24" t="n"/>
      <c r="AA246" s="21" t="n"/>
      <c r="AB246" s="25" t="n"/>
      <c r="AC246" s="26">
        <f>IF(T246="","Chưa quyết định",IF(OR(Z246="",AA246=""),"⚠ Thiếu lý do/người duyệt",IF(AND(X246&lt;&gt;"",N(X246)+N(R246)+N(S246)&gt;M246*1.001,R246&lt;&gt;""),"⚠ Vượt mục tiêu P90",IF(AND(Y246&lt;&gt;"",ABS(N(Y246))&gt;0.3),"⚠ Lệch &gt; 30% so với nhu cầu",IF(Q246="Có","ℹ Kiểm tra ngoại suy KM","✓ Hợp lệ")))))</f>
        <v/>
      </c>
    </row>
    <row r="247">
      <c r="A247" s="16" t="n">
        <v>243</v>
      </c>
      <c r="B247" s="17" t="inlineStr">
        <is>
          <t>DEC-S53-BREAD_BAKERY</t>
        </is>
      </c>
      <c r="C247" s="16" t="n">
        <v>53</v>
      </c>
      <c r="D247" s="17" t="inlineStr">
        <is>
          <t>BREAD/BAKERY</t>
        </is>
      </c>
      <c r="E247" s="17" t="inlineStr">
        <is>
          <t>MEDIUM</t>
        </is>
      </c>
      <c r="F247" s="17" t="inlineStr">
        <is>
          <t>TRUNG BÌNH</t>
        </is>
      </c>
      <c r="G247" s="18" t="inlineStr">
        <is>
          <t>RISK_MEDIUM · LARGE_SERIES</t>
        </is>
      </c>
      <c r="H247" s="19" t="n">
        <v>6288.727806884765</v>
      </c>
      <c r="I247" s="19" t="n">
        <v>8182.501795288086</v>
      </c>
      <c r="J247" s="19" t="n">
        <v>10562.92957885742</v>
      </c>
      <c r="K247" s="19" t="n">
        <v>8182.501795288086</v>
      </c>
      <c r="L247" s="19" t="n">
        <v>9670.269160018921</v>
      </c>
      <c r="M247" s="19" t="n">
        <v>10562.92957885742</v>
      </c>
      <c r="N247" s="17" t="inlineStr">
        <is>
          <t>C</t>
        </is>
      </c>
      <c r="O247" s="19" t="n">
        <v>4016.928142626953</v>
      </c>
      <c r="P247" s="18" t="inlineStr">
        <is>
          <t>KHÔNG ĐỀ XUẤT TĂNG</t>
        </is>
      </c>
      <c r="Q247" s="17" t="inlineStr">
        <is>
          <t>Không</t>
        </is>
      </c>
      <c r="R247" s="20" t="n"/>
      <c r="S247" s="20" t="n"/>
      <c r="T247" s="21" t="n"/>
      <c r="U247" s="21" t="n"/>
      <c r="V247" s="22">
        <f>IF(U247="A",K247,IF(U247="B",L247,IF(U247="C",M247,IF(N247="A",K247,IF(N247="B",L247,M247)))))</f>
        <v/>
      </c>
      <c r="W247" s="22">
        <f>IF(R247="",O247,MAX(V247-R247-N(S247),0))</f>
        <v/>
      </c>
      <c r="X247" s="20" t="n"/>
      <c r="Y247" s="23">
        <f>IF(OR(X247="",W247=0),"",X247/W247-1)</f>
        <v/>
      </c>
      <c r="Z247" s="24" t="n"/>
      <c r="AA247" s="21" t="n"/>
      <c r="AB247" s="25" t="n"/>
      <c r="AC247" s="26">
        <f>IF(T247="","Chưa quyết định",IF(OR(Z247="",AA247=""),"⚠ Thiếu lý do/người duyệt",IF(AND(X247&lt;&gt;"",N(X247)+N(R247)+N(S247)&gt;M247*1.001,R247&lt;&gt;""),"⚠ Vượt mục tiêu P90",IF(AND(Y247&lt;&gt;"",ABS(N(Y247))&gt;0.3),"⚠ Lệch &gt; 30% so với nhu cầu",IF(Q247="Có","ℹ Kiểm tra ngoại suy KM","✓ Hợp lệ")))))</f>
        <v/>
      </c>
    </row>
    <row r="248">
      <c r="A248" s="16" t="n">
        <v>244</v>
      </c>
      <c r="B248" s="17" t="inlineStr">
        <is>
          <t>DEC-S03-EGGS</t>
        </is>
      </c>
      <c r="C248" s="16" t="n">
        <v>3</v>
      </c>
      <c r="D248" s="17" t="inlineStr">
        <is>
          <t>EGGS</t>
        </is>
      </c>
      <c r="E248" s="17" t="inlineStr">
        <is>
          <t>MEDIUM</t>
        </is>
      </c>
      <c r="F248" s="17" t="inlineStr">
        <is>
          <t>TRUNG BÌNH</t>
        </is>
      </c>
      <c r="G248" s="18" t="inlineStr">
        <is>
          <t>RISK_MEDIUM · LARGE_SERIES</t>
        </is>
      </c>
      <c r="H248" s="19" t="n">
        <v>6344.318132080078</v>
      </c>
      <c r="I248" s="19" t="n">
        <v>8171.606343261718</v>
      </c>
      <c r="J248" s="19" t="n">
        <v>10470.02416821289</v>
      </c>
      <c r="K248" s="19" t="n">
        <v>8171.606343261718</v>
      </c>
      <c r="L248" s="19" t="n">
        <v>9608.1174838562</v>
      </c>
      <c r="M248" s="19" t="n">
        <v>10470.02416821289</v>
      </c>
      <c r="N248" s="17" t="inlineStr">
        <is>
          <t>C</t>
        </is>
      </c>
      <c r="O248" s="19" t="n">
        <v>3932.739093603515</v>
      </c>
      <c r="P248" s="18" t="inlineStr">
        <is>
          <t>CÂN NHẮC THỬ NGHIỆM</t>
        </is>
      </c>
      <c r="Q248" s="17" t="inlineStr">
        <is>
          <t>Không</t>
        </is>
      </c>
      <c r="R248" s="20" t="n"/>
      <c r="S248" s="20" t="n"/>
      <c r="T248" s="21" t="n"/>
      <c r="U248" s="21" t="n"/>
      <c r="V248" s="22">
        <f>IF(U248="A",K248,IF(U248="B",L248,IF(U248="C",M248,IF(N248="A",K248,IF(N248="B",L248,M248)))))</f>
        <v/>
      </c>
      <c r="W248" s="22">
        <f>IF(R248="",O248,MAX(V248-R248-N(S248),0))</f>
        <v/>
      </c>
      <c r="X248" s="20" t="n"/>
      <c r="Y248" s="23">
        <f>IF(OR(X248="",W248=0),"",X248/W248-1)</f>
        <v/>
      </c>
      <c r="Z248" s="24" t="n"/>
      <c r="AA248" s="21" t="n"/>
      <c r="AB248" s="25" t="n"/>
      <c r="AC248" s="26">
        <f>IF(T248="","Chưa quyết định",IF(OR(Z248="",AA248=""),"⚠ Thiếu lý do/người duyệt",IF(AND(X248&lt;&gt;"",N(X248)+N(R248)+N(S248)&gt;M248*1.001,R248&lt;&gt;""),"⚠ Vượt mục tiêu P90",IF(AND(Y248&lt;&gt;"",ABS(N(Y248))&gt;0.3),"⚠ Lệch &gt; 30% so với nhu cầu",IF(Q248="Có","ℹ Kiểm tra ngoại suy KM","✓ Hợp lệ")))))</f>
        <v/>
      </c>
    </row>
    <row r="249">
      <c r="A249" s="16" t="n">
        <v>245</v>
      </c>
      <c r="B249" s="17" t="inlineStr">
        <is>
          <t>DEC-S21-BREAD_BAKERY</t>
        </is>
      </c>
      <c r="C249" s="16" t="n">
        <v>21</v>
      </c>
      <c r="D249" s="17" t="inlineStr">
        <is>
          <t>BREAD/BAKERY</t>
        </is>
      </c>
      <c r="E249" s="17" t="inlineStr">
        <is>
          <t>MEDIUM</t>
        </is>
      </c>
      <c r="F249" s="17" t="inlineStr">
        <is>
          <t>TRUNG BÌNH</t>
        </is>
      </c>
      <c r="G249" s="18" t="inlineStr">
        <is>
          <t>RISK_MEDIUM · LARGE_SERIES</t>
        </is>
      </c>
      <c r="H249" s="19" t="n">
        <v>6406.643473144532</v>
      </c>
      <c r="I249" s="19" t="n">
        <v>8167.445907104492</v>
      </c>
      <c r="J249" s="19" t="n">
        <v>10383.8537734375</v>
      </c>
      <c r="K249" s="19" t="n">
        <v>8167.445907104492</v>
      </c>
      <c r="L249" s="19" t="n">
        <v>9552.700823562622</v>
      </c>
      <c r="M249" s="19" t="n">
        <v>10383.8537734375</v>
      </c>
      <c r="N249" s="17" t="inlineStr">
        <is>
          <t>C</t>
        </is>
      </c>
      <c r="O249" s="19" t="n">
        <v>3849.897047753906</v>
      </c>
      <c r="P249" s="18" t="inlineStr">
        <is>
          <t>KHÔNG ĐỀ XUẤT TĂNG</t>
        </is>
      </c>
      <c r="Q249" s="17" t="inlineStr">
        <is>
          <t>Không</t>
        </is>
      </c>
      <c r="R249" s="20" t="n"/>
      <c r="S249" s="20" t="n"/>
      <c r="T249" s="21" t="n"/>
      <c r="U249" s="21" t="n"/>
      <c r="V249" s="22">
        <f>IF(U249="A",K249,IF(U249="B",L249,IF(U249="C",M249,IF(N249="A",K249,IF(N249="B",L249,M249)))))</f>
        <v/>
      </c>
      <c r="W249" s="22">
        <f>IF(R249="",O249,MAX(V249-R249-N(S249),0))</f>
        <v/>
      </c>
      <c r="X249" s="20" t="n"/>
      <c r="Y249" s="23">
        <f>IF(OR(X249="",W249=0),"",X249/W249-1)</f>
        <v/>
      </c>
      <c r="Z249" s="24" t="n"/>
      <c r="AA249" s="21" t="n"/>
      <c r="AB249" s="25" t="n"/>
      <c r="AC249" s="26">
        <f>IF(T249="","Chưa quyết định",IF(OR(Z249="",AA249=""),"⚠ Thiếu lý do/người duyệt",IF(AND(X249&lt;&gt;"",N(X249)+N(R249)+N(S249)&gt;M249*1.001,R249&lt;&gt;""),"⚠ Vượt mục tiêu P90",IF(AND(Y249&lt;&gt;"",ABS(N(Y249))&gt;0.3),"⚠ Lệch &gt; 30% so với nhu cầu",IF(Q249="Có","ℹ Kiểm tra ngoại suy KM","✓ Hợp lệ")))))</f>
        <v/>
      </c>
    </row>
    <row r="250">
      <c r="A250" s="16" t="n">
        <v>246</v>
      </c>
      <c r="B250" s="17" t="inlineStr">
        <is>
          <t>DEC-S07-MEATS</t>
        </is>
      </c>
      <c r="C250" s="16" t="n">
        <v>7</v>
      </c>
      <c r="D250" s="17" t="inlineStr">
        <is>
          <t>MEATS</t>
        </is>
      </c>
      <c r="E250" s="17" t="inlineStr">
        <is>
          <t>MEDIUM</t>
        </is>
      </c>
      <c r="F250" s="17" t="inlineStr">
        <is>
          <t>TRUNG BÌNH</t>
        </is>
      </c>
      <c r="G250" s="18" t="inlineStr">
        <is>
          <t>RISK_MEDIUM · LARGE_SERIES</t>
        </is>
      </c>
      <c r="H250" s="19" t="n">
        <v>6319.94471899414</v>
      </c>
      <c r="I250" s="19" t="n">
        <v>8147.232930175781</v>
      </c>
      <c r="J250" s="19" t="n">
        <v>10445.65075512695</v>
      </c>
      <c r="K250" s="19" t="n">
        <v>8147.232930175781</v>
      </c>
      <c r="L250" s="19" t="n">
        <v>9583.744070770263</v>
      </c>
      <c r="M250" s="19" t="n">
        <v>10445.65075512695</v>
      </c>
      <c r="N250" s="17" t="inlineStr">
        <is>
          <t>C</t>
        </is>
      </c>
      <c r="O250" s="19" t="n">
        <v>3927.864410986326</v>
      </c>
      <c r="P250" s="18" t="inlineStr">
        <is>
          <t>KHÔNG ĐỀ XUẤT TĂNG</t>
        </is>
      </c>
      <c r="Q250" s="17" t="inlineStr">
        <is>
          <t>Không</t>
        </is>
      </c>
      <c r="R250" s="20" t="n"/>
      <c r="S250" s="20" t="n"/>
      <c r="T250" s="21" t="n"/>
      <c r="U250" s="21" t="n"/>
      <c r="V250" s="22">
        <f>IF(U250="A",K250,IF(U250="B",L250,IF(U250="C",M250,IF(N250="A",K250,IF(N250="B",L250,M250)))))</f>
        <v/>
      </c>
      <c r="W250" s="22">
        <f>IF(R250="",O250,MAX(V250-R250-N(S250),0))</f>
        <v/>
      </c>
      <c r="X250" s="20" t="n"/>
      <c r="Y250" s="23">
        <f>IF(OR(X250="",W250=0),"",X250/W250-1)</f>
        <v/>
      </c>
      <c r="Z250" s="24" t="n"/>
      <c r="AA250" s="21" t="n"/>
      <c r="AB250" s="25" t="n"/>
      <c r="AC250" s="26">
        <f>IF(T250="","Chưa quyết định",IF(OR(Z250="",AA250=""),"⚠ Thiếu lý do/người duyệt",IF(AND(X250&lt;&gt;"",N(X250)+N(R250)+N(S250)&gt;M250*1.001,R250&lt;&gt;""),"⚠ Vượt mục tiêu P90",IF(AND(Y250&lt;&gt;"",ABS(N(Y250))&gt;0.3),"⚠ Lệch &gt; 30% so với nhu cầu",IF(Q250="Có","ℹ Kiểm tra ngoại suy KM","✓ Hợp lệ")))))</f>
        <v/>
      </c>
    </row>
    <row r="251">
      <c r="A251" s="16" t="n">
        <v>247</v>
      </c>
      <c r="B251" s="17" t="inlineStr">
        <is>
          <t>DEC-S11-HOME_CARE</t>
        </is>
      </c>
      <c r="C251" s="16" t="n">
        <v>11</v>
      </c>
      <c r="D251" s="17" t="inlineStr">
        <is>
          <t>HOME CARE</t>
        </is>
      </c>
      <c r="E251" s="17" t="inlineStr">
        <is>
          <t>MEDIUM</t>
        </is>
      </c>
      <c r="F251" s="17" t="inlineStr">
        <is>
          <t>TRUNG BÌNH</t>
        </is>
      </c>
      <c r="G251" s="18" t="inlineStr">
        <is>
          <t>RISK_MEDIUM · LARGE_SERIES</t>
        </is>
      </c>
      <c r="H251" s="19" t="n">
        <v>6238.203820068359</v>
      </c>
      <c r="I251" s="19" t="n">
        <v>8131.97780847168</v>
      </c>
      <c r="J251" s="19" t="n">
        <v>10512.40559204102</v>
      </c>
      <c r="K251" s="19" t="n">
        <v>8131.97780847168</v>
      </c>
      <c r="L251" s="19" t="n">
        <v>9619.745173202515</v>
      </c>
      <c r="M251" s="19" t="n">
        <v>10512.40559204102</v>
      </c>
      <c r="N251" s="17" t="inlineStr">
        <is>
          <t>C</t>
        </is>
      </c>
      <c r="O251" s="19" t="n">
        <v>4006.823345263672</v>
      </c>
      <c r="P251" s="18" t="inlineStr">
        <is>
          <t>KHÔNG ĐỀ XUẤT TĂNG</t>
        </is>
      </c>
      <c r="Q251" s="17" t="inlineStr">
        <is>
          <t>Không</t>
        </is>
      </c>
      <c r="R251" s="20" t="n"/>
      <c r="S251" s="20" t="n"/>
      <c r="T251" s="21" t="n"/>
      <c r="U251" s="21" t="n"/>
      <c r="V251" s="22">
        <f>IF(U251="A",K251,IF(U251="B",L251,IF(U251="C",M251,IF(N251="A",K251,IF(N251="B",L251,M251)))))</f>
        <v/>
      </c>
      <c r="W251" s="22">
        <f>IF(R251="",O251,MAX(V251-R251-N(S251),0))</f>
        <v/>
      </c>
      <c r="X251" s="20" t="n"/>
      <c r="Y251" s="23">
        <f>IF(OR(X251="",W251=0),"",X251/W251-1)</f>
        <v/>
      </c>
      <c r="Z251" s="24" t="n"/>
      <c r="AA251" s="21" t="n"/>
      <c r="AB251" s="25" t="n"/>
      <c r="AC251" s="26">
        <f>IF(T251="","Chưa quyết định",IF(OR(Z251="",AA251=""),"⚠ Thiếu lý do/người duyệt",IF(AND(X251&lt;&gt;"",N(X251)+N(R251)+N(S251)&gt;M251*1.001,R251&lt;&gt;""),"⚠ Vượt mục tiêu P90",IF(AND(Y251&lt;&gt;"",ABS(N(Y251))&gt;0.3),"⚠ Lệch &gt; 30% so với nhu cầu",IF(Q251="Có","ℹ Kiểm tra ngoại suy KM","✓ Hợp lệ")))))</f>
        <v/>
      </c>
    </row>
    <row r="252">
      <c r="A252" s="16" t="n">
        <v>248</v>
      </c>
      <c r="B252" s="17" t="inlineStr">
        <is>
          <t>DEC-S35-CLEANING</t>
        </is>
      </c>
      <c r="C252" s="16" t="n">
        <v>35</v>
      </c>
      <c r="D252" s="17" t="inlineStr">
        <is>
          <t>CLEANING</t>
        </is>
      </c>
      <c r="E252" s="17" t="inlineStr">
        <is>
          <t>MEDIUM</t>
        </is>
      </c>
      <c r="F252" s="17" t="inlineStr">
        <is>
          <t>TRUNG BÌNH</t>
        </is>
      </c>
      <c r="G252" s="18" t="inlineStr">
        <is>
          <t>RISK_MEDIUM · LARGE_SERIES</t>
        </is>
      </c>
      <c r="H252" s="19" t="n">
        <v>6406.706790283203</v>
      </c>
      <c r="I252" s="19" t="n">
        <v>8101.023447021485</v>
      </c>
      <c r="J252" s="19" t="n">
        <v>10235.42135473633</v>
      </c>
      <c r="K252" s="19" t="n">
        <v>8101.023447021485</v>
      </c>
      <c r="L252" s="19" t="n">
        <v>9435.022139343262</v>
      </c>
      <c r="M252" s="19" t="n">
        <v>10235.42135473633</v>
      </c>
      <c r="N252" s="17" t="inlineStr">
        <is>
          <t>C</t>
        </is>
      </c>
      <c r="O252" s="19" t="n">
        <v>3754.602597119141</v>
      </c>
      <c r="P252" s="18" t="inlineStr">
        <is>
          <t>KHÔNG ĐỀ XUẤT TĂNG</t>
        </is>
      </c>
      <c r="Q252" s="17" t="inlineStr">
        <is>
          <t>Không</t>
        </is>
      </c>
      <c r="R252" s="20" t="n"/>
      <c r="S252" s="20" t="n"/>
      <c r="T252" s="21" t="n"/>
      <c r="U252" s="21" t="n"/>
      <c r="V252" s="22">
        <f>IF(U252="A",K252,IF(U252="B",L252,IF(U252="C",M252,IF(N252="A",K252,IF(N252="B",L252,M252)))))</f>
        <v/>
      </c>
      <c r="W252" s="22">
        <f>IF(R252="",O252,MAX(V252-R252-N(S252),0))</f>
        <v/>
      </c>
      <c r="X252" s="20" t="n"/>
      <c r="Y252" s="23">
        <f>IF(OR(X252="",W252=0),"",X252/W252-1)</f>
        <v/>
      </c>
      <c r="Z252" s="24" t="n"/>
      <c r="AA252" s="21" t="n"/>
      <c r="AB252" s="25" t="n"/>
      <c r="AC252" s="26">
        <f>IF(T252="","Chưa quyết định",IF(OR(Z252="",AA252=""),"⚠ Thiếu lý do/người duyệt",IF(AND(X252&lt;&gt;"",N(X252)+N(R252)+N(S252)&gt;M252*1.001,R252&lt;&gt;""),"⚠ Vượt mục tiêu P90",IF(AND(Y252&lt;&gt;"",ABS(N(Y252))&gt;0.3),"⚠ Lệch &gt; 30% so với nhu cầu",IF(Q252="Có","ℹ Kiểm tra ngoại suy KM","✓ Hợp lệ")))))</f>
        <v/>
      </c>
    </row>
    <row r="253">
      <c r="A253" s="16" t="n">
        <v>249</v>
      </c>
      <c r="B253" s="17" t="inlineStr">
        <is>
          <t>DEC-S49-DELI</t>
        </is>
      </c>
      <c r="C253" s="16" t="n">
        <v>49</v>
      </c>
      <c r="D253" s="17" t="inlineStr">
        <is>
          <t>DELI</t>
        </is>
      </c>
      <c r="E253" s="17" t="inlineStr">
        <is>
          <t>MEDIUM</t>
        </is>
      </c>
      <c r="F253" s="17" t="inlineStr">
        <is>
          <t>TRUNG BÌNH</t>
        </is>
      </c>
      <c r="G253" s="18" t="inlineStr">
        <is>
          <t>RISK_MEDIUM · LARGE_SERIES</t>
        </is>
      </c>
      <c r="H253" s="19" t="n">
        <v>6396.653598144531</v>
      </c>
      <c r="I253" s="19" t="n">
        <v>8090.970254882813</v>
      </c>
      <c r="J253" s="19" t="n">
        <v>10225.36816259766</v>
      </c>
      <c r="K253" s="19" t="n">
        <v>8090.970254882813</v>
      </c>
      <c r="L253" s="19" t="n">
        <v>9424.968947204588</v>
      </c>
      <c r="M253" s="19" t="n">
        <v>10225.36816259766</v>
      </c>
      <c r="N253" s="17" t="inlineStr">
        <is>
          <t>C</t>
        </is>
      </c>
      <c r="O253" s="19" t="n">
        <v>3752.591958691404</v>
      </c>
      <c r="P253" s="18" t="inlineStr">
        <is>
          <t>KHÔNG ĐỀ XUẤT TĂNG</t>
        </is>
      </c>
      <c r="Q253" s="17" t="inlineStr">
        <is>
          <t>Không</t>
        </is>
      </c>
      <c r="R253" s="20" t="n"/>
      <c r="S253" s="20" t="n"/>
      <c r="T253" s="21" t="n"/>
      <c r="U253" s="21" t="n"/>
      <c r="V253" s="22">
        <f>IF(U253="A",K253,IF(U253="B",L253,IF(U253="C",M253,IF(N253="A",K253,IF(N253="B",L253,M253)))))</f>
        <v/>
      </c>
      <c r="W253" s="22">
        <f>IF(R253="",O253,MAX(V253-R253-N(S253),0))</f>
        <v/>
      </c>
      <c r="X253" s="20" t="n"/>
      <c r="Y253" s="23">
        <f>IF(OR(X253="",W253=0),"",X253/W253-1)</f>
        <v/>
      </c>
      <c r="Z253" s="24" t="n"/>
      <c r="AA253" s="21" t="n"/>
      <c r="AB253" s="25" t="n"/>
      <c r="AC253" s="26">
        <f>IF(T253="","Chưa quyết định",IF(OR(Z253="",AA253=""),"⚠ Thiếu lý do/người duyệt",IF(AND(X253&lt;&gt;"",N(X253)+N(R253)+N(S253)&gt;M253*1.001,R253&lt;&gt;""),"⚠ Vượt mục tiêu P90",IF(AND(Y253&lt;&gt;"",ABS(N(Y253))&gt;0.3),"⚠ Lệch &gt; 30% so với nhu cầu",IF(Q253="Có","ℹ Kiểm tra ngoại suy KM","✓ Hợp lệ")))))</f>
        <v/>
      </c>
    </row>
    <row r="254">
      <c r="A254" s="16" t="n">
        <v>250</v>
      </c>
      <c r="B254" s="17" t="inlineStr">
        <is>
          <t>DEC-S50-HOME_CARE</t>
        </is>
      </c>
      <c r="C254" s="16" t="n">
        <v>50</v>
      </c>
      <c r="D254" s="17" t="inlineStr">
        <is>
          <t>HOME CARE</t>
        </is>
      </c>
      <c r="E254" s="17" t="inlineStr">
        <is>
          <t>MEDIUM</t>
        </is>
      </c>
      <c r="F254" s="17" t="inlineStr">
        <is>
          <t>TRUNG BÌNH</t>
        </is>
      </c>
      <c r="G254" s="18" t="inlineStr">
        <is>
          <t>RISK_MEDIUM · LARGE_SERIES</t>
        </is>
      </c>
      <c r="H254" s="19" t="n">
        <v>6287.829996582032</v>
      </c>
      <c r="I254" s="19" t="n">
        <v>8048.632430541992</v>
      </c>
      <c r="J254" s="19" t="n">
        <v>10265.040296875</v>
      </c>
      <c r="K254" s="19" t="n">
        <v>8048.632430541992</v>
      </c>
      <c r="L254" s="19" t="n">
        <v>9433.887347000122</v>
      </c>
      <c r="M254" s="19" t="n">
        <v>10265.040296875</v>
      </c>
      <c r="N254" s="17" t="inlineStr">
        <is>
          <t>C</t>
        </is>
      </c>
      <c r="O254" s="19" t="n">
        <v>3826.134352441406</v>
      </c>
      <c r="P254" s="18" t="inlineStr">
        <is>
          <t>KHÔNG ĐỀ XUẤT TĂNG</t>
        </is>
      </c>
      <c r="Q254" s="17" t="inlineStr">
        <is>
          <t>Không</t>
        </is>
      </c>
      <c r="R254" s="20" t="n"/>
      <c r="S254" s="20" t="n"/>
      <c r="T254" s="21" t="n"/>
      <c r="U254" s="21" t="n"/>
      <c r="V254" s="22">
        <f>IF(U254="A",K254,IF(U254="B",L254,IF(U254="C",M254,IF(N254="A",K254,IF(N254="B",L254,M254)))))</f>
        <v/>
      </c>
      <c r="W254" s="22">
        <f>IF(R254="",O254,MAX(V254-R254-N(S254),0))</f>
        <v/>
      </c>
      <c r="X254" s="20" t="n"/>
      <c r="Y254" s="23">
        <f>IF(OR(X254="",W254=0),"",X254/W254-1)</f>
        <v/>
      </c>
      <c r="Z254" s="24" t="n"/>
      <c r="AA254" s="21" t="n"/>
      <c r="AB254" s="25" t="n"/>
      <c r="AC254" s="26">
        <f>IF(T254="","Chưa quyết định",IF(OR(Z254="",AA254=""),"⚠ Thiếu lý do/người duyệt",IF(AND(X254&lt;&gt;"",N(X254)+N(R254)+N(S254)&gt;M254*1.001,R254&lt;&gt;""),"⚠ Vượt mục tiêu P90",IF(AND(Y254&lt;&gt;"",ABS(N(Y254))&gt;0.3),"⚠ Lệch &gt; 30% so với nhu cầu",IF(Q254="Có","ℹ Kiểm tra ngoại suy KM","✓ Hợp lệ")))))</f>
        <v/>
      </c>
    </row>
    <row r="255">
      <c r="A255" s="16" t="n">
        <v>251</v>
      </c>
      <c r="B255" s="17" t="inlineStr">
        <is>
          <t>DEC-S02-MEATS</t>
        </is>
      </c>
      <c r="C255" s="16" t="n">
        <v>2</v>
      </c>
      <c r="D255" s="17" t="inlineStr">
        <is>
          <t>MEATS</t>
        </is>
      </c>
      <c r="E255" s="17" t="inlineStr">
        <is>
          <t>MEDIUM</t>
        </is>
      </c>
      <c r="F255" s="17" t="inlineStr">
        <is>
          <t>TRUNG BÌNH</t>
        </is>
      </c>
      <c r="G255" s="18" t="inlineStr">
        <is>
          <t>RISK_MEDIUM · LARGE_SERIES</t>
        </is>
      </c>
      <c r="H255" s="19" t="n">
        <v>6253.040766552735</v>
      </c>
      <c r="I255" s="19" t="n">
        <v>8042.867303344727</v>
      </c>
      <c r="J255" s="19" t="n">
        <v>10535.81075952148</v>
      </c>
      <c r="K255" s="19" t="n">
        <v>8042.867303344727</v>
      </c>
      <c r="L255" s="19" t="n">
        <v>9600.956963455201</v>
      </c>
      <c r="M255" s="19" t="n">
        <v>10535.81075952148</v>
      </c>
      <c r="N255" s="17" t="inlineStr">
        <is>
          <t>C</t>
        </is>
      </c>
      <c r="O255" s="19" t="n">
        <v>4101.516916845702</v>
      </c>
      <c r="P255" s="18" t="inlineStr">
        <is>
          <t>KHÔNG ĐỀ XUẤT TĂNG</t>
        </is>
      </c>
      <c r="Q255" s="17" t="inlineStr">
        <is>
          <t>Không</t>
        </is>
      </c>
      <c r="R255" s="20" t="n"/>
      <c r="S255" s="20" t="n"/>
      <c r="T255" s="21" t="n"/>
      <c r="U255" s="21" t="n"/>
      <c r="V255" s="22">
        <f>IF(U255="A",K255,IF(U255="B",L255,IF(U255="C",M255,IF(N255="A",K255,IF(N255="B",L255,M255)))))</f>
        <v/>
      </c>
      <c r="W255" s="22">
        <f>IF(R255="",O255,MAX(V255-R255-N(S255),0))</f>
        <v/>
      </c>
      <c r="X255" s="20" t="n"/>
      <c r="Y255" s="23">
        <f>IF(OR(X255="",W255=0),"",X255/W255-1)</f>
        <v/>
      </c>
      <c r="Z255" s="24" t="n"/>
      <c r="AA255" s="21" t="n"/>
      <c r="AB255" s="25" t="n"/>
      <c r="AC255" s="26">
        <f>IF(T255="","Chưa quyết định",IF(OR(Z255="",AA255=""),"⚠ Thiếu lý do/người duyệt",IF(AND(X255&lt;&gt;"",N(X255)+N(R255)+N(S255)&gt;M255*1.001,R255&lt;&gt;""),"⚠ Vượt mục tiêu P90",IF(AND(Y255&lt;&gt;"",ABS(N(Y255))&gt;0.3),"⚠ Lệch &gt; 30% so với nhu cầu",IF(Q255="Có","ℹ Kiểm tra ngoại suy KM","✓ Hợp lệ")))))</f>
        <v/>
      </c>
    </row>
    <row r="256">
      <c r="A256" s="16" t="n">
        <v>252</v>
      </c>
      <c r="B256" s="17" t="inlineStr">
        <is>
          <t>DEC-S02-POULTRY</t>
        </is>
      </c>
      <c r="C256" s="16" t="n">
        <v>2</v>
      </c>
      <c r="D256" s="17" t="inlineStr">
        <is>
          <t>POULTRY</t>
        </is>
      </c>
      <c r="E256" s="17" t="inlineStr">
        <is>
          <t>MEDIUM</t>
        </is>
      </c>
      <c r="F256" s="17" t="inlineStr">
        <is>
          <t>TRUNG BÌNH</t>
        </is>
      </c>
      <c r="G256" s="18" t="inlineStr">
        <is>
          <t>RISK_MEDIUM · LARGE_SERIES</t>
        </is>
      </c>
      <c r="H256" s="19" t="n">
        <v>6255.722330566407</v>
      </c>
      <c r="I256" s="19" t="n">
        <v>8016.524764526367</v>
      </c>
      <c r="J256" s="19" t="n">
        <v>10232.93263085938</v>
      </c>
      <c r="K256" s="19" t="n">
        <v>8016.524764526367</v>
      </c>
      <c r="L256" s="19" t="n">
        <v>9401.779680984497</v>
      </c>
      <c r="M256" s="19" t="n">
        <v>10232.93263085938</v>
      </c>
      <c r="N256" s="17" t="inlineStr">
        <is>
          <t>C</t>
        </is>
      </c>
      <c r="O256" s="19" t="n">
        <v>3819.712819238282</v>
      </c>
      <c r="P256" s="18" t="inlineStr">
        <is>
          <t>KHÔNG ĐỀ XUẤT TĂNG</t>
        </is>
      </c>
      <c r="Q256" s="17" t="inlineStr">
        <is>
          <t>Không</t>
        </is>
      </c>
      <c r="R256" s="20" t="n"/>
      <c r="S256" s="20" t="n"/>
      <c r="T256" s="21" t="n"/>
      <c r="U256" s="21" t="n"/>
      <c r="V256" s="22">
        <f>IF(U256="A",K256,IF(U256="B",L256,IF(U256="C",M256,IF(N256="A",K256,IF(N256="B",L256,M256)))))</f>
        <v/>
      </c>
      <c r="W256" s="22">
        <f>IF(R256="",O256,MAX(V256-R256-N(S256),0))</f>
        <v/>
      </c>
      <c r="X256" s="20" t="n"/>
      <c r="Y256" s="23">
        <f>IF(OR(X256="",W256=0),"",X256/W256-1)</f>
        <v/>
      </c>
      <c r="Z256" s="24" t="n"/>
      <c r="AA256" s="21" t="n"/>
      <c r="AB256" s="25" t="n"/>
      <c r="AC256" s="26">
        <f>IF(T256="","Chưa quyết định",IF(OR(Z256="",AA256=""),"⚠ Thiếu lý do/người duyệt",IF(AND(X256&lt;&gt;"",N(X256)+N(R256)+N(S256)&gt;M256*1.001,R256&lt;&gt;""),"⚠ Vượt mục tiêu P90",IF(AND(Y256&lt;&gt;"",ABS(N(Y256))&gt;0.3),"⚠ Lệch &gt; 30% so với nhu cầu",IF(Q256="Có","ℹ Kiểm tra ngoại suy KM","✓ Hợp lệ")))))</f>
        <v/>
      </c>
    </row>
    <row r="257">
      <c r="A257" s="16" t="n">
        <v>253</v>
      </c>
      <c r="B257" s="17" t="inlineStr">
        <is>
          <t>DEC-S52-MEATS</t>
        </is>
      </c>
      <c r="C257" s="16" t="n">
        <v>52</v>
      </c>
      <c r="D257" s="17" t="inlineStr">
        <is>
          <t>MEATS</t>
        </is>
      </c>
      <c r="E257" s="17" t="inlineStr">
        <is>
          <t>MEDIUM</t>
        </is>
      </c>
      <c r="F257" s="17" t="inlineStr">
        <is>
          <t>TRUNG BÌNH</t>
        </is>
      </c>
      <c r="G257" s="18" t="inlineStr">
        <is>
          <t>RISK_MEDIUM · LARGE_SERIES</t>
        </is>
      </c>
      <c r="H257" s="19" t="n">
        <v>6305.368960693359</v>
      </c>
      <c r="I257" s="19" t="n">
        <v>7999.685617431641</v>
      </c>
      <c r="J257" s="19" t="n">
        <v>10134.08352514648</v>
      </c>
      <c r="K257" s="19" t="n">
        <v>7999.685617431641</v>
      </c>
      <c r="L257" s="19" t="n">
        <v>9333.684309753417</v>
      </c>
      <c r="M257" s="19" t="n">
        <v>10134.08352514648</v>
      </c>
      <c r="N257" s="17" t="inlineStr">
        <is>
          <t>C</t>
        </is>
      </c>
      <c r="O257" s="19" t="n">
        <v>3734.33503120117</v>
      </c>
      <c r="P257" s="18" t="inlineStr">
        <is>
          <t>CÂN NHẮC THỬ NGHIỆM</t>
        </is>
      </c>
      <c r="Q257" s="17" t="inlineStr">
        <is>
          <t>Không</t>
        </is>
      </c>
      <c r="R257" s="20" t="n"/>
      <c r="S257" s="20" t="n"/>
      <c r="T257" s="21" t="n"/>
      <c r="U257" s="21" t="n"/>
      <c r="V257" s="22">
        <f>IF(U257="A",K257,IF(U257="B",L257,IF(U257="C",M257,IF(N257="A",K257,IF(N257="B",L257,M257)))))</f>
        <v/>
      </c>
      <c r="W257" s="22">
        <f>IF(R257="",O257,MAX(V257-R257-N(S257),0))</f>
        <v/>
      </c>
      <c r="X257" s="20" t="n"/>
      <c r="Y257" s="23">
        <f>IF(OR(X257="",W257=0),"",X257/W257-1)</f>
        <v/>
      </c>
      <c r="Z257" s="24" t="n"/>
      <c r="AA257" s="21" t="n"/>
      <c r="AB257" s="25" t="n"/>
      <c r="AC257" s="26">
        <f>IF(T257="","Chưa quyết định",IF(OR(Z257="",AA257=""),"⚠ Thiếu lý do/người duyệt",IF(AND(X257&lt;&gt;"",N(X257)+N(R257)+N(S257)&gt;M257*1.001,R257&lt;&gt;""),"⚠ Vượt mục tiêu P90",IF(AND(Y257&lt;&gt;"",ABS(N(Y257))&gt;0.3),"⚠ Lệch &gt; 30% so với nhu cầu",IF(Q257="Có","ℹ Kiểm tra ngoại suy KM","✓ Hợp lệ")))))</f>
        <v/>
      </c>
    </row>
    <row r="258">
      <c r="A258" s="16" t="n">
        <v>254</v>
      </c>
      <c r="B258" s="17" t="inlineStr">
        <is>
          <t>DEC-S06-MEATS</t>
        </is>
      </c>
      <c r="C258" s="16" t="n">
        <v>6</v>
      </c>
      <c r="D258" s="17" t="inlineStr">
        <is>
          <t>MEATS</t>
        </is>
      </c>
      <c r="E258" s="17" t="inlineStr">
        <is>
          <t>MEDIUM</t>
        </is>
      </c>
      <c r="F258" s="17" t="inlineStr">
        <is>
          <t>TRUNG BÌNH</t>
        </is>
      </c>
      <c r="G258" s="18" t="inlineStr">
        <is>
          <t>RISK_MEDIUM · LARGE_SERIES</t>
        </is>
      </c>
      <c r="H258" s="19" t="n">
        <v>6263.507388427734</v>
      </c>
      <c r="I258" s="19" t="n">
        <v>7957.824045166016</v>
      </c>
      <c r="J258" s="19" t="n">
        <v>10092.22195288086</v>
      </c>
      <c r="K258" s="19" t="n">
        <v>7957.824045166016</v>
      </c>
      <c r="L258" s="19" t="n">
        <v>9291.822737487793</v>
      </c>
      <c r="M258" s="19" t="n">
        <v>10092.22195288086</v>
      </c>
      <c r="N258" s="17" t="inlineStr">
        <is>
          <t>C</t>
        </is>
      </c>
      <c r="O258" s="19" t="n">
        <v>3725.962716748047</v>
      </c>
      <c r="P258" s="18" t="inlineStr">
        <is>
          <t>KHÔNG ĐỀ XUẤT TĂNG</t>
        </is>
      </c>
      <c r="Q258" s="17" t="inlineStr">
        <is>
          <t>Không</t>
        </is>
      </c>
      <c r="R258" s="20" t="n"/>
      <c r="S258" s="20" t="n"/>
      <c r="T258" s="21" t="n"/>
      <c r="U258" s="21" t="n"/>
      <c r="V258" s="22">
        <f>IF(U258="A",K258,IF(U258="B",L258,IF(U258="C",M258,IF(N258="A",K258,IF(N258="B",L258,M258)))))</f>
        <v/>
      </c>
      <c r="W258" s="22">
        <f>IF(R258="",O258,MAX(V258-R258-N(S258),0))</f>
        <v/>
      </c>
      <c r="X258" s="20" t="n"/>
      <c r="Y258" s="23">
        <f>IF(OR(X258="",W258=0),"",X258/W258-1)</f>
        <v/>
      </c>
      <c r="Z258" s="24" t="n"/>
      <c r="AA258" s="21" t="n"/>
      <c r="AB258" s="25" t="n"/>
      <c r="AC258" s="26">
        <f>IF(T258="","Chưa quyết định",IF(OR(Z258="",AA258=""),"⚠ Thiếu lý do/người duyệt",IF(AND(X258&lt;&gt;"",N(X258)+N(R258)+N(S258)&gt;M258*1.001,R258&lt;&gt;""),"⚠ Vượt mục tiêu P90",IF(AND(Y258&lt;&gt;"",ABS(N(Y258))&gt;0.3),"⚠ Lệch &gt; 30% so với nhu cầu",IF(Q258="Có","ℹ Kiểm tra ngoại suy KM","✓ Hợp lệ")))))</f>
        <v/>
      </c>
    </row>
    <row r="259">
      <c r="A259" s="16" t="n">
        <v>255</v>
      </c>
      <c r="B259" s="17" t="inlineStr">
        <is>
          <t>DEC-S19-PRODUCE</t>
        </is>
      </c>
      <c r="C259" s="16" t="n">
        <v>19</v>
      </c>
      <c r="D259" s="17" t="inlineStr">
        <is>
          <t>PRODUCE</t>
        </is>
      </c>
      <c r="E259" s="17" t="inlineStr">
        <is>
          <t>MEDIUM</t>
        </is>
      </c>
      <c r="F259" s="17" t="inlineStr">
        <is>
          <t>TRUNG BÌNH</t>
        </is>
      </c>
      <c r="G259" s="18" t="inlineStr">
        <is>
          <t>RISK_MEDIUM · LARGE_SERIES</t>
        </is>
      </c>
      <c r="H259" s="19" t="n">
        <v>6130.491678710938</v>
      </c>
      <c r="I259" s="19" t="n">
        <v>7891.294112670898</v>
      </c>
      <c r="J259" s="19" t="n">
        <v>10107.70197900391</v>
      </c>
      <c r="K259" s="19" t="n">
        <v>7891.294112670898</v>
      </c>
      <c r="L259" s="19" t="n">
        <v>9276.54902912903</v>
      </c>
      <c r="M259" s="19" t="n">
        <v>10107.70197900391</v>
      </c>
      <c r="N259" s="17" t="inlineStr">
        <is>
          <t>C</t>
        </is>
      </c>
      <c r="O259" s="19" t="n">
        <v>3794.66668886719</v>
      </c>
      <c r="P259" s="18" t="inlineStr">
        <is>
          <t>KHÔNG ĐỀ XUẤT TĂNG</t>
        </is>
      </c>
      <c r="Q259" s="17" t="inlineStr">
        <is>
          <t>Không</t>
        </is>
      </c>
      <c r="R259" s="20" t="n"/>
      <c r="S259" s="20" t="n"/>
      <c r="T259" s="21" t="n"/>
      <c r="U259" s="21" t="n"/>
      <c r="V259" s="22">
        <f>IF(U259="A",K259,IF(U259="B",L259,IF(U259="C",M259,IF(N259="A",K259,IF(N259="B",L259,M259)))))</f>
        <v/>
      </c>
      <c r="W259" s="22">
        <f>IF(R259="",O259,MAX(V259-R259-N(S259),0))</f>
        <v/>
      </c>
      <c r="X259" s="20" t="n"/>
      <c r="Y259" s="23">
        <f>IF(OR(X259="",W259=0),"",X259/W259-1)</f>
        <v/>
      </c>
      <c r="Z259" s="24" t="n"/>
      <c r="AA259" s="21" t="n"/>
      <c r="AB259" s="25" t="n"/>
      <c r="AC259" s="26">
        <f>IF(T259="","Chưa quyết định",IF(OR(Z259="",AA259=""),"⚠ Thiếu lý do/người duyệt",IF(AND(X259&lt;&gt;"",N(X259)+N(R259)+N(S259)&gt;M259*1.001,R259&lt;&gt;""),"⚠ Vượt mục tiêu P90",IF(AND(Y259&lt;&gt;"",ABS(N(Y259))&gt;0.3),"⚠ Lệch &gt; 30% so với nhu cầu",IF(Q259="Có","ℹ Kiểm tra ngoại suy KM","✓ Hợp lệ")))))</f>
        <v/>
      </c>
    </row>
    <row r="260">
      <c r="A260" s="16" t="n">
        <v>256</v>
      </c>
      <c r="B260" s="17" t="inlineStr">
        <is>
          <t>DEC-S52-POULTRY</t>
        </is>
      </c>
      <c r="C260" s="16" t="n">
        <v>52</v>
      </c>
      <c r="D260" s="17" t="inlineStr">
        <is>
          <t>POULTRY</t>
        </is>
      </c>
      <c r="E260" s="17" t="inlineStr">
        <is>
          <t>MEDIUM</t>
        </is>
      </c>
      <c r="F260" s="17" t="inlineStr">
        <is>
          <t>TRUNG BÌNH</t>
        </is>
      </c>
      <c r="G260" s="18" t="inlineStr">
        <is>
          <t>RISK_MEDIUM · LARGE_SERIES</t>
        </is>
      </c>
      <c r="H260" s="19" t="n">
        <v>6173.326846435547</v>
      </c>
      <c r="I260" s="19" t="n">
        <v>7867.643503173828</v>
      </c>
      <c r="J260" s="19" t="n">
        <v>10002.04141088867</v>
      </c>
      <c r="K260" s="19" t="n">
        <v>7867.643503173828</v>
      </c>
      <c r="L260" s="19" t="n">
        <v>9201.642195495606</v>
      </c>
      <c r="M260" s="19" t="n">
        <v>10002.04141088867</v>
      </c>
      <c r="N260" s="17" t="inlineStr">
        <is>
          <t>C</t>
        </is>
      </c>
      <c r="O260" s="19" t="n">
        <v>3707.92660834961</v>
      </c>
      <c r="P260" s="18" t="inlineStr">
        <is>
          <t>CÂN NHẮC THỬ NGHIỆM</t>
        </is>
      </c>
      <c r="Q260" s="17" t="inlineStr">
        <is>
          <t>Không</t>
        </is>
      </c>
      <c r="R260" s="20" t="n"/>
      <c r="S260" s="20" t="n"/>
      <c r="T260" s="21" t="n"/>
      <c r="U260" s="21" t="n"/>
      <c r="V260" s="22">
        <f>IF(U260="A",K260,IF(U260="B",L260,IF(U260="C",M260,IF(N260="A",K260,IF(N260="B",L260,M260)))))</f>
        <v/>
      </c>
      <c r="W260" s="22">
        <f>IF(R260="",O260,MAX(V260-R260-N(S260),0))</f>
        <v/>
      </c>
      <c r="X260" s="20" t="n"/>
      <c r="Y260" s="23">
        <f>IF(OR(X260="",W260=0),"",X260/W260-1)</f>
        <v/>
      </c>
      <c r="Z260" s="24" t="n"/>
      <c r="AA260" s="21" t="n"/>
      <c r="AB260" s="25" t="n"/>
      <c r="AC260" s="26">
        <f>IF(T260="","Chưa quyết định",IF(OR(Z260="",AA260=""),"⚠ Thiếu lý do/người duyệt",IF(AND(X260&lt;&gt;"",N(X260)+N(R260)+N(S260)&gt;M260*1.001,R260&lt;&gt;""),"⚠ Vượt mục tiêu P90",IF(AND(Y260&lt;&gt;"",ABS(N(Y260))&gt;0.3),"⚠ Lệch &gt; 30% so với nhu cầu",IF(Q260="Có","ℹ Kiểm tra ngoại suy KM","✓ Hợp lệ")))))</f>
        <v/>
      </c>
    </row>
    <row r="261">
      <c r="A261" s="16" t="n">
        <v>257</v>
      </c>
      <c r="B261" s="17" t="inlineStr">
        <is>
          <t>DEC-S08-MEATS</t>
        </is>
      </c>
      <c r="C261" s="16" t="n">
        <v>8</v>
      </c>
      <c r="D261" s="17" t="inlineStr">
        <is>
          <t>MEATS</t>
        </is>
      </c>
      <c r="E261" s="17" t="inlineStr">
        <is>
          <t>MEDIUM</t>
        </is>
      </c>
      <c r="F261" s="17" t="inlineStr">
        <is>
          <t>TRUNG BÌNH</t>
        </is>
      </c>
      <c r="G261" s="18" t="inlineStr">
        <is>
          <t>RISK_MEDIUM · LARGE_SERIES</t>
        </is>
      </c>
      <c r="H261" s="19" t="n">
        <v>6153.037044677734</v>
      </c>
      <c r="I261" s="19" t="n">
        <v>7780.867924194335</v>
      </c>
      <c r="J261" s="19" t="n">
        <v>9833.255873291017</v>
      </c>
      <c r="K261" s="19" t="n">
        <v>7780.867924194335</v>
      </c>
      <c r="L261" s="19" t="n">
        <v>9063.61039237976</v>
      </c>
      <c r="M261" s="19" t="n">
        <v>9833.255873291017</v>
      </c>
      <c r="N261" s="17" t="inlineStr">
        <is>
          <t>C</t>
        </is>
      </c>
      <c r="O261" s="19" t="n">
        <v>3608.561533935548</v>
      </c>
      <c r="P261" s="18" t="inlineStr">
        <is>
          <t>CÂN NHẮC THỬ NGHIỆM</t>
        </is>
      </c>
      <c r="Q261" s="17" t="inlineStr">
        <is>
          <t>Không</t>
        </is>
      </c>
      <c r="R261" s="20" t="n"/>
      <c r="S261" s="20" t="n"/>
      <c r="T261" s="21" t="n"/>
      <c r="U261" s="21" t="n"/>
      <c r="V261" s="22">
        <f>IF(U261="A",K261,IF(U261="B",L261,IF(U261="C",M261,IF(N261="A",K261,IF(N261="B",L261,M261)))))</f>
        <v/>
      </c>
      <c r="W261" s="22">
        <f>IF(R261="",O261,MAX(V261-R261-N(S261),0))</f>
        <v/>
      </c>
      <c r="X261" s="20" t="n"/>
      <c r="Y261" s="23">
        <f>IF(OR(X261="",W261=0),"",X261/W261-1)</f>
        <v/>
      </c>
      <c r="Z261" s="24" t="n"/>
      <c r="AA261" s="21" t="n"/>
      <c r="AB261" s="25" t="n"/>
      <c r="AC261" s="26">
        <f>IF(T261="","Chưa quyết định",IF(OR(Z261="",AA261=""),"⚠ Thiếu lý do/người duyệt",IF(AND(X261&lt;&gt;"",N(X261)+N(R261)+N(S261)&gt;M261*1.001,R261&lt;&gt;""),"⚠ Vượt mục tiêu P90",IF(AND(Y261&lt;&gt;"",ABS(N(Y261))&gt;0.3),"⚠ Lệch &gt; 30% so với nhu cầu",IF(Q261="Có","ℹ Kiểm tra ngoại suy KM","✓ Hợp lệ")))))</f>
        <v/>
      </c>
    </row>
    <row r="262">
      <c r="A262" s="16" t="n">
        <v>258</v>
      </c>
      <c r="B262" s="17" t="inlineStr">
        <is>
          <t>DEC-S38-BREAD_BAKERY</t>
        </is>
      </c>
      <c r="C262" s="16" t="n">
        <v>38</v>
      </c>
      <c r="D262" s="17" t="inlineStr">
        <is>
          <t>BREAD/BAKERY</t>
        </is>
      </c>
      <c r="E262" s="17" t="inlineStr">
        <is>
          <t>MEDIUM</t>
        </is>
      </c>
      <c r="F262" s="17" t="inlineStr">
        <is>
          <t>TRUNG BÌNH</t>
        </is>
      </c>
      <c r="G262" s="18" t="inlineStr">
        <is>
          <t>RISK_MEDIUM · LARGE_SERIES</t>
        </is>
      </c>
      <c r="H262" s="19" t="n">
        <v>5972.054422851563</v>
      </c>
      <c r="I262" s="19" t="n">
        <v>7732.856856811523</v>
      </c>
      <c r="J262" s="19" t="n">
        <v>9949.264723144532</v>
      </c>
      <c r="K262" s="19" t="n">
        <v>7732.856856811523</v>
      </c>
      <c r="L262" s="19" t="n">
        <v>9118.111773269653</v>
      </c>
      <c r="M262" s="19" t="n">
        <v>9949.264723144532</v>
      </c>
      <c r="N262" s="17" t="inlineStr">
        <is>
          <t>C</t>
        </is>
      </c>
      <c r="O262" s="19" t="n">
        <v>3762.979237695313</v>
      </c>
      <c r="P262" s="18" t="inlineStr">
        <is>
          <t>KHÔNG ĐỀ XUẤT TĂNG</t>
        </is>
      </c>
      <c r="Q262" s="17" t="inlineStr">
        <is>
          <t>Không</t>
        </is>
      </c>
      <c r="R262" s="20" t="n"/>
      <c r="S262" s="20" t="n"/>
      <c r="T262" s="21" t="n"/>
      <c r="U262" s="21" t="n"/>
      <c r="V262" s="22">
        <f>IF(U262="A",K262,IF(U262="B",L262,IF(U262="C",M262,IF(N262="A",K262,IF(N262="B",L262,M262)))))</f>
        <v/>
      </c>
      <c r="W262" s="22">
        <f>IF(R262="",O262,MAX(V262-R262-N(S262),0))</f>
        <v/>
      </c>
      <c r="X262" s="20" t="n"/>
      <c r="Y262" s="23">
        <f>IF(OR(X262="",W262=0),"",X262/W262-1)</f>
        <v/>
      </c>
      <c r="Z262" s="24" t="n"/>
      <c r="AA262" s="21" t="n"/>
      <c r="AB262" s="25" t="n"/>
      <c r="AC262" s="26">
        <f>IF(T262="","Chưa quyết định",IF(OR(Z262="",AA262=""),"⚠ Thiếu lý do/người duyệt",IF(AND(X262&lt;&gt;"",N(X262)+N(R262)+N(S262)&gt;M262*1.001,R262&lt;&gt;""),"⚠ Vượt mục tiêu P90",IF(AND(Y262&lt;&gt;"",ABS(N(Y262))&gt;0.3),"⚠ Lệch &gt; 30% so với nhu cầu",IF(Q262="Có","ℹ Kiểm tra ngoại suy KM","✓ Hợp lệ")))))</f>
        <v/>
      </c>
    </row>
    <row r="263">
      <c r="A263" s="16" t="n">
        <v>259</v>
      </c>
      <c r="B263" s="17" t="inlineStr">
        <is>
          <t>DEC-S44-FROZEN_FOODS</t>
        </is>
      </c>
      <c r="C263" s="16" t="n">
        <v>44</v>
      </c>
      <c r="D263" s="17" t="inlineStr">
        <is>
          <t>FROZEN FOODS</t>
        </is>
      </c>
      <c r="E263" s="17" t="inlineStr">
        <is>
          <t>MEDIUM</t>
        </is>
      </c>
      <c r="F263" s="17" t="inlineStr">
        <is>
          <t>TRUNG BÌNH</t>
        </is>
      </c>
      <c r="G263" s="18" t="inlineStr">
        <is>
          <t>RISK_MEDIUM · LARGE_SERIES</t>
        </is>
      </c>
      <c r="H263" s="19" t="n">
        <v>6118.709156982422</v>
      </c>
      <c r="I263" s="19" t="n">
        <v>7680.054259277344</v>
      </c>
      <c r="J263" s="19" t="n">
        <v>9650.432249755861</v>
      </c>
      <c r="K263" s="19" t="n">
        <v>7680.054259277344</v>
      </c>
      <c r="L263" s="19" t="n">
        <v>8911.540503326416</v>
      </c>
      <c r="M263" s="19" t="n">
        <v>9650.432249755861</v>
      </c>
      <c r="N263" s="17" t="inlineStr">
        <is>
          <t>C</t>
        </is>
      </c>
      <c r="O263" s="19" t="n">
        <v>3506.388842333985</v>
      </c>
      <c r="P263" s="18" t="inlineStr">
        <is>
          <t>CÂN NHẮC THỬ NGHIỆM</t>
        </is>
      </c>
      <c r="Q263" s="17" t="inlineStr">
        <is>
          <t>Không</t>
        </is>
      </c>
      <c r="R263" s="20" t="n"/>
      <c r="S263" s="20" t="n"/>
      <c r="T263" s="21" t="n"/>
      <c r="U263" s="21" t="n"/>
      <c r="V263" s="22">
        <f>IF(U263="A",K263,IF(U263="B",L263,IF(U263="C",M263,IF(N263="A",K263,IF(N263="B",L263,M263)))))</f>
        <v/>
      </c>
      <c r="W263" s="22">
        <f>IF(R263="",O263,MAX(V263-R263-N(S263),0))</f>
        <v/>
      </c>
      <c r="X263" s="20" t="n"/>
      <c r="Y263" s="23">
        <f>IF(OR(X263="",W263=0),"",X263/W263-1)</f>
        <v/>
      </c>
      <c r="Z263" s="24" t="n"/>
      <c r="AA263" s="21" t="n"/>
      <c r="AB263" s="25" t="n"/>
      <c r="AC263" s="26">
        <f>IF(T263="","Chưa quyết định",IF(OR(Z263="",AA263=""),"⚠ Thiếu lý do/người duyệt",IF(AND(X263&lt;&gt;"",N(X263)+N(R263)+N(S263)&gt;M263*1.001,R263&lt;&gt;""),"⚠ Vượt mục tiêu P90",IF(AND(Y263&lt;&gt;"",ABS(N(Y263))&gt;0.3),"⚠ Lệch &gt; 30% so với nhu cầu",IF(Q263="Có","ℹ Kiểm tra ngoại suy KM","✓ Hợp lệ")))))</f>
        <v/>
      </c>
    </row>
    <row r="264">
      <c r="A264" s="16" t="n">
        <v>260</v>
      </c>
      <c r="B264" s="17" t="inlineStr">
        <is>
          <t>DEC-S09-HOME_CARE</t>
        </is>
      </c>
      <c r="C264" s="16" t="n">
        <v>9</v>
      </c>
      <c r="D264" s="17" t="inlineStr">
        <is>
          <t>HOME CARE</t>
        </is>
      </c>
      <c r="E264" s="17" t="inlineStr">
        <is>
          <t>MEDIUM</t>
        </is>
      </c>
      <c r="F264" s="17" t="inlineStr">
        <is>
          <t>TRUNG BÌNH</t>
        </is>
      </c>
      <c r="G264" s="18" t="inlineStr">
        <is>
          <t>RISK_MEDIUM · LARGE_SERIES</t>
        </is>
      </c>
      <c r="H264" s="19" t="n">
        <v>5914.3891328125</v>
      </c>
      <c r="I264" s="19" t="n">
        <v>7608.705789550781</v>
      </c>
      <c r="J264" s="19" t="n">
        <v>9743.103697265626</v>
      </c>
      <c r="K264" s="19" t="n">
        <v>7608.705789550781</v>
      </c>
      <c r="L264" s="19" t="n">
        <v>8942.704481872559</v>
      </c>
      <c r="M264" s="19" t="n">
        <v>9743.103697265626</v>
      </c>
      <c r="N264" s="17" t="inlineStr">
        <is>
          <t>C</t>
        </is>
      </c>
      <c r="O264" s="19" t="n">
        <v>3656.139065625001</v>
      </c>
      <c r="P264" s="18" t="inlineStr">
        <is>
          <t>KHÔNG ĐỀ XUẤT TĂNG</t>
        </is>
      </c>
      <c r="Q264" s="17" t="inlineStr">
        <is>
          <t>Không</t>
        </is>
      </c>
      <c r="R264" s="20" t="n"/>
      <c r="S264" s="20" t="n"/>
      <c r="T264" s="21" t="n"/>
      <c r="U264" s="21" t="n"/>
      <c r="V264" s="22">
        <f>IF(U264="A",K264,IF(U264="B",L264,IF(U264="C",M264,IF(N264="A",K264,IF(N264="B",L264,M264)))))</f>
        <v/>
      </c>
      <c r="W264" s="22">
        <f>IF(R264="",O264,MAX(V264-R264-N(S264),0))</f>
        <v/>
      </c>
      <c r="X264" s="20" t="n"/>
      <c r="Y264" s="23">
        <f>IF(OR(X264="",W264=0),"",X264/W264-1)</f>
        <v/>
      </c>
      <c r="Z264" s="24" t="n"/>
      <c r="AA264" s="21" t="n"/>
      <c r="AB264" s="25" t="n"/>
      <c r="AC264" s="26">
        <f>IF(T264="","Chưa quyết định",IF(OR(Z264="",AA264=""),"⚠ Thiếu lý do/người duyệt",IF(AND(X264&lt;&gt;"",N(X264)+N(R264)+N(S264)&gt;M264*1.001,R264&lt;&gt;""),"⚠ Vượt mục tiêu P90",IF(AND(Y264&lt;&gt;"",ABS(N(Y264))&gt;0.3),"⚠ Lệch &gt; 30% so với nhu cầu",IF(Q264="Có","ℹ Kiểm tra ngoại suy KM","✓ Hợp lệ")))))</f>
        <v/>
      </c>
    </row>
    <row r="265">
      <c r="A265" s="16" t="n">
        <v>261</v>
      </c>
      <c r="B265" s="17" t="inlineStr">
        <is>
          <t>DEC-S12-DAIRY</t>
        </is>
      </c>
      <c r="C265" s="16" t="n">
        <v>12</v>
      </c>
      <c r="D265" s="17" t="inlineStr">
        <is>
          <t>DAIRY</t>
        </is>
      </c>
      <c r="E265" s="17" t="inlineStr">
        <is>
          <t>MEDIUM</t>
        </is>
      </c>
      <c r="F265" s="17" t="inlineStr">
        <is>
          <t>TRUNG BÌNH</t>
        </is>
      </c>
      <c r="G265" s="18" t="inlineStr">
        <is>
          <t>RISK_MEDIUM · LARGE_SERIES</t>
        </is>
      </c>
      <c r="H265" s="19" t="n">
        <v>5809.842783447266</v>
      </c>
      <c r="I265" s="19" t="n">
        <v>7570.645217407226</v>
      </c>
      <c r="J265" s="19" t="n">
        <v>9787.053083740237</v>
      </c>
      <c r="K265" s="19" t="n">
        <v>7570.645217407226</v>
      </c>
      <c r="L265" s="19" t="n">
        <v>8955.900133865358</v>
      </c>
      <c r="M265" s="19" t="n">
        <v>9787.053083740237</v>
      </c>
      <c r="N265" s="17" t="inlineStr">
        <is>
          <t>C</t>
        </is>
      </c>
      <c r="O265" s="19" t="n">
        <v>3730.536909814455</v>
      </c>
      <c r="P265" s="18" t="inlineStr">
        <is>
          <t>KHÔNG ĐỀ XUẤT TĂNG</t>
        </is>
      </c>
      <c r="Q265" s="17" t="inlineStr">
        <is>
          <t>Không</t>
        </is>
      </c>
      <c r="R265" s="20" t="n"/>
      <c r="S265" s="20" t="n"/>
      <c r="T265" s="21" t="n"/>
      <c r="U265" s="21" t="n"/>
      <c r="V265" s="22">
        <f>IF(U265="A",K265,IF(U265="B",L265,IF(U265="C",M265,IF(N265="A",K265,IF(N265="B",L265,M265)))))</f>
        <v/>
      </c>
      <c r="W265" s="22">
        <f>IF(R265="",O265,MAX(V265-R265-N(S265),0))</f>
        <v/>
      </c>
      <c r="X265" s="20" t="n"/>
      <c r="Y265" s="23">
        <f>IF(OR(X265="",W265=0),"",X265/W265-1)</f>
        <v/>
      </c>
      <c r="Z265" s="24" t="n"/>
      <c r="AA265" s="21" t="n"/>
      <c r="AB265" s="25" t="n"/>
      <c r="AC265" s="26">
        <f>IF(T265="","Chưa quyết định",IF(OR(Z265="",AA265=""),"⚠ Thiếu lý do/người duyệt",IF(AND(X265&lt;&gt;"",N(X265)+N(R265)+N(S265)&gt;M265*1.001,R265&lt;&gt;""),"⚠ Vượt mục tiêu P90",IF(AND(Y265&lt;&gt;"",ABS(N(Y265))&gt;0.3),"⚠ Lệch &gt; 30% so với nhu cầu",IF(Q265="Có","ℹ Kiểm tra ngoại suy KM","✓ Hợp lệ")))))</f>
        <v/>
      </c>
    </row>
    <row r="266">
      <c r="A266" s="16" t="n">
        <v>262</v>
      </c>
      <c r="B266" s="17" t="inlineStr">
        <is>
          <t>DEC-S33-DAIRY</t>
        </is>
      </c>
      <c r="C266" s="16" t="n">
        <v>33</v>
      </c>
      <c r="D266" s="17" t="inlineStr">
        <is>
          <t>DAIRY</t>
        </is>
      </c>
      <c r="E266" s="17" t="inlineStr">
        <is>
          <t>MEDIUM</t>
        </is>
      </c>
      <c r="F266" s="17" t="inlineStr">
        <is>
          <t>TRUNG BÌNH</t>
        </is>
      </c>
      <c r="G266" s="18" t="inlineStr">
        <is>
          <t>RISK_MEDIUM · LARGE_SERIES</t>
        </is>
      </c>
      <c r="H266" s="19" t="n">
        <v>5989.521107666016</v>
      </c>
      <c r="I266" s="19" t="n">
        <v>7550.866209960937</v>
      </c>
      <c r="J266" s="19" t="n">
        <v>9521.244200439452</v>
      </c>
      <c r="K266" s="19" t="n">
        <v>7550.866209960937</v>
      </c>
      <c r="L266" s="19" t="n">
        <v>8782.35245401001</v>
      </c>
      <c r="M266" s="19" t="n">
        <v>9521.244200439452</v>
      </c>
      <c r="N266" s="17" t="inlineStr">
        <is>
          <t>C</t>
        </is>
      </c>
      <c r="O266" s="19" t="n">
        <v>3480.551232470702</v>
      </c>
      <c r="P266" s="18" t="inlineStr">
        <is>
          <t>KHÔNG ĐỀ XUẤT TĂNG</t>
        </is>
      </c>
      <c r="Q266" s="17" t="inlineStr">
        <is>
          <t>Không</t>
        </is>
      </c>
      <c r="R266" s="20" t="n"/>
      <c r="S266" s="20" t="n"/>
      <c r="T266" s="21" t="n"/>
      <c r="U266" s="21" t="n"/>
      <c r="V266" s="22">
        <f>IF(U266="A",K266,IF(U266="B",L266,IF(U266="C",M266,IF(N266="A",K266,IF(N266="B",L266,M266)))))</f>
        <v/>
      </c>
      <c r="W266" s="22">
        <f>IF(R266="",O266,MAX(V266-R266-N(S266),0))</f>
        <v/>
      </c>
      <c r="X266" s="20" t="n"/>
      <c r="Y266" s="23">
        <f>IF(OR(X266="",W266=0),"",X266/W266-1)</f>
        <v/>
      </c>
      <c r="Z266" s="24" t="n"/>
      <c r="AA266" s="21" t="n"/>
      <c r="AB266" s="25" t="n"/>
      <c r="AC266" s="26">
        <f>IF(T266="","Chưa quyết định",IF(OR(Z266="",AA266=""),"⚠ Thiếu lý do/người duyệt",IF(AND(X266&lt;&gt;"",N(X266)+N(R266)+N(S266)&gt;M266*1.001,R266&lt;&gt;""),"⚠ Vượt mục tiêu P90",IF(AND(Y266&lt;&gt;"",ABS(N(Y266))&gt;0.3),"⚠ Lệch &gt; 30% so với nhu cầu",IF(Q266="Có","ℹ Kiểm tra ngoại suy KM","✓ Hợp lệ")))))</f>
        <v/>
      </c>
    </row>
    <row r="267">
      <c r="A267" s="16" t="n">
        <v>263</v>
      </c>
      <c r="B267" s="17" t="inlineStr">
        <is>
          <t>DEC-S36-BREAD_BAKERY</t>
        </is>
      </c>
      <c r="C267" s="16" t="n">
        <v>36</v>
      </c>
      <c r="D267" s="17" t="inlineStr">
        <is>
          <t>BREAD/BAKERY</t>
        </is>
      </c>
      <c r="E267" s="17" t="inlineStr">
        <is>
          <t>MEDIUM</t>
        </is>
      </c>
      <c r="F267" s="17" t="inlineStr">
        <is>
          <t>TRUNG BÌNH</t>
        </is>
      </c>
      <c r="G267" s="18" t="inlineStr">
        <is>
          <t>RISK_MEDIUM · LARGE_SERIES</t>
        </is>
      </c>
      <c r="H267" s="19" t="n">
        <v>5744.363810058594</v>
      </c>
      <c r="I267" s="19" t="n">
        <v>7505.166244018555</v>
      </c>
      <c r="J267" s="19" t="n">
        <v>9721.574110351565</v>
      </c>
      <c r="K267" s="19" t="n">
        <v>7505.166244018555</v>
      </c>
      <c r="L267" s="19" t="n">
        <v>8890.421160476686</v>
      </c>
      <c r="M267" s="19" t="n">
        <v>9721.574110351565</v>
      </c>
      <c r="N267" s="17" t="inlineStr">
        <is>
          <t>C</t>
        </is>
      </c>
      <c r="O267" s="19" t="n">
        <v>3717.44111513672</v>
      </c>
      <c r="P267" s="18" t="inlineStr">
        <is>
          <t>KHÔNG ĐỀ XUẤT TĂNG</t>
        </is>
      </c>
      <c r="Q267" s="17" t="inlineStr">
        <is>
          <t>Không</t>
        </is>
      </c>
      <c r="R267" s="20" t="n"/>
      <c r="S267" s="20" t="n"/>
      <c r="T267" s="21" t="n"/>
      <c r="U267" s="21" t="n"/>
      <c r="V267" s="22">
        <f>IF(U267="A",K267,IF(U267="B",L267,IF(U267="C",M267,IF(N267="A",K267,IF(N267="B",L267,M267)))))</f>
        <v/>
      </c>
      <c r="W267" s="22">
        <f>IF(R267="",O267,MAX(V267-R267-N(S267),0))</f>
        <v/>
      </c>
      <c r="X267" s="20" t="n"/>
      <c r="Y267" s="23">
        <f>IF(OR(X267="",W267=0),"",X267/W267-1)</f>
        <v/>
      </c>
      <c r="Z267" s="24" t="n"/>
      <c r="AA267" s="21" t="n"/>
      <c r="AB267" s="25" t="n"/>
      <c r="AC267" s="26">
        <f>IF(T267="","Chưa quyết định",IF(OR(Z267="",AA267=""),"⚠ Thiếu lý do/người duyệt",IF(AND(X267&lt;&gt;"",N(X267)+N(R267)+N(S267)&gt;M267*1.001,R267&lt;&gt;""),"⚠ Vượt mục tiêu P90",IF(AND(Y267&lt;&gt;"",ABS(N(Y267))&gt;0.3),"⚠ Lệch &gt; 30% so với nhu cầu",IF(Q267="Có","ℹ Kiểm tra ngoại suy KM","✓ Hợp lệ")))))</f>
        <v/>
      </c>
    </row>
    <row r="268">
      <c r="A268" s="16" t="n">
        <v>264</v>
      </c>
      <c r="B268" s="17" t="inlineStr">
        <is>
          <t>DEC-S09-PERSONAL_CARE</t>
        </is>
      </c>
      <c r="C268" s="16" t="n">
        <v>9</v>
      </c>
      <c r="D268" s="17" t="inlineStr">
        <is>
          <t>PERSONAL CARE</t>
        </is>
      </c>
      <c r="E268" s="17" t="inlineStr">
        <is>
          <t>MEDIUM</t>
        </is>
      </c>
      <c r="F268" s="17" t="inlineStr">
        <is>
          <t>TRUNG BÌNH</t>
        </is>
      </c>
      <c r="G268" s="18" t="inlineStr">
        <is>
          <t>RISK_MEDIUM · LARGE_SERIES</t>
        </is>
      </c>
      <c r="H268" s="19" t="n">
        <v>5903.109272949219</v>
      </c>
      <c r="I268" s="19" t="n">
        <v>7464.45437524414</v>
      </c>
      <c r="J268" s="19" t="n">
        <v>9434.832365722656</v>
      </c>
      <c r="K268" s="19" t="n">
        <v>7464.45437524414</v>
      </c>
      <c r="L268" s="19" t="n">
        <v>8695.940619293213</v>
      </c>
      <c r="M268" s="19" t="n">
        <v>9434.832365722656</v>
      </c>
      <c r="N268" s="17" t="inlineStr">
        <is>
          <t>C</t>
        </is>
      </c>
      <c r="O268" s="19" t="n">
        <v>3463.268865527343</v>
      </c>
      <c r="P268" s="18" t="inlineStr">
        <is>
          <t>KHÔNG ĐỀ XUẤT TĂNG</t>
        </is>
      </c>
      <c r="Q268" s="17" t="inlineStr">
        <is>
          <t>Không</t>
        </is>
      </c>
      <c r="R268" s="20" t="n"/>
      <c r="S268" s="20" t="n"/>
      <c r="T268" s="21" t="n"/>
      <c r="U268" s="21" t="n"/>
      <c r="V268" s="22">
        <f>IF(U268="A",K268,IF(U268="B",L268,IF(U268="C",M268,IF(N268="A",K268,IF(N268="B",L268,M268)))))</f>
        <v/>
      </c>
      <c r="W268" s="22">
        <f>IF(R268="",O268,MAX(V268-R268-N(S268),0))</f>
        <v/>
      </c>
      <c r="X268" s="20" t="n"/>
      <c r="Y268" s="23">
        <f>IF(OR(X268="",W268=0),"",X268/W268-1)</f>
        <v/>
      </c>
      <c r="Z268" s="24" t="n"/>
      <c r="AA268" s="21" t="n"/>
      <c r="AB268" s="25" t="n"/>
      <c r="AC268" s="26">
        <f>IF(T268="","Chưa quyết định",IF(OR(Z268="",AA268=""),"⚠ Thiếu lý do/người duyệt",IF(AND(X268&lt;&gt;"",N(X268)+N(R268)+N(S268)&gt;M268*1.001,R268&lt;&gt;""),"⚠ Vượt mục tiêu P90",IF(AND(Y268&lt;&gt;"",ABS(N(Y268))&gt;0.3),"⚠ Lệch &gt; 30% so với nhu cầu",IF(Q268="Có","ℹ Kiểm tra ngoại suy KM","✓ Hợp lệ")))))</f>
        <v/>
      </c>
    </row>
    <row r="269">
      <c r="A269" s="16" t="n">
        <v>265</v>
      </c>
      <c r="B269" s="17" t="inlineStr">
        <is>
          <t>DEC-S35-PRODUCE</t>
        </is>
      </c>
      <c r="C269" s="16" t="n">
        <v>35</v>
      </c>
      <c r="D269" s="17" t="inlineStr">
        <is>
          <t>PRODUCE</t>
        </is>
      </c>
      <c r="E269" s="17" t="inlineStr">
        <is>
          <t>MEDIUM</t>
        </is>
      </c>
      <c r="F269" s="17" t="inlineStr">
        <is>
          <t>TRUNG BÌNH</t>
        </is>
      </c>
      <c r="G269" s="18" t="inlineStr">
        <is>
          <t>RISK_MEDIUM · LARGE_SERIES</t>
        </is>
      </c>
      <c r="H269" s="19" t="n">
        <v>6057.809325683594</v>
      </c>
      <c r="I269" s="19" t="n">
        <v>7419.697096313476</v>
      </c>
      <c r="J269" s="19" t="n">
        <v>9144.0452109375</v>
      </c>
      <c r="K269" s="19" t="n">
        <v>7419.697096313476</v>
      </c>
      <c r="L269" s="19" t="n">
        <v>8497.414667953492</v>
      </c>
      <c r="M269" s="19" t="n">
        <v>9144.0452109375</v>
      </c>
      <c r="N269" s="17" t="inlineStr">
        <is>
          <t>C</t>
        </is>
      </c>
      <c r="O269" s="19" t="n">
        <v>3208.287533886719</v>
      </c>
      <c r="P269" s="18" t="inlineStr">
        <is>
          <t>KHÔNG ĐỀ XUẤT TĂNG</t>
        </is>
      </c>
      <c r="Q269" s="17" t="inlineStr">
        <is>
          <t>Không</t>
        </is>
      </c>
      <c r="R269" s="20" t="n"/>
      <c r="S269" s="20" t="n"/>
      <c r="T269" s="21" t="n"/>
      <c r="U269" s="21" t="n"/>
      <c r="V269" s="22">
        <f>IF(U269="A",K269,IF(U269="B",L269,IF(U269="C",M269,IF(N269="A",K269,IF(N269="B",L269,M269)))))</f>
        <v/>
      </c>
      <c r="W269" s="22">
        <f>IF(R269="",O269,MAX(V269-R269-N(S269),0))</f>
        <v/>
      </c>
      <c r="X269" s="20" t="n"/>
      <c r="Y269" s="23">
        <f>IF(OR(X269="",W269=0),"",X269/W269-1)</f>
        <v/>
      </c>
      <c r="Z269" s="24" t="n"/>
      <c r="AA269" s="21" t="n"/>
      <c r="AB269" s="25" t="n"/>
      <c r="AC269" s="26">
        <f>IF(T269="","Chưa quyết định",IF(OR(Z269="",AA269=""),"⚠ Thiếu lý do/người duyệt",IF(AND(X269&lt;&gt;"",N(X269)+N(R269)+N(S269)&gt;M269*1.001,R269&lt;&gt;""),"⚠ Vượt mục tiêu P90",IF(AND(Y269&lt;&gt;"",ABS(N(Y269))&gt;0.3),"⚠ Lệch &gt; 30% so với nhu cầu",IF(Q269="Có","ℹ Kiểm tra ngoại suy KM","✓ Hợp lệ")))))</f>
        <v/>
      </c>
    </row>
    <row r="270">
      <c r="A270" s="16" t="n">
        <v>266</v>
      </c>
      <c r="B270" s="17" t="inlineStr">
        <is>
          <t>DEC-S26-CLEANING</t>
        </is>
      </c>
      <c r="C270" s="16" t="n">
        <v>26</v>
      </c>
      <c r="D270" s="17" t="inlineStr">
        <is>
          <t>CLEANING</t>
        </is>
      </c>
      <c r="E270" s="17" t="inlineStr">
        <is>
          <t>MEDIUM</t>
        </is>
      </c>
      <c r="F270" s="17" t="inlineStr">
        <is>
          <t>TRUNG BÌNH</t>
        </is>
      </c>
      <c r="G270" s="18" t="inlineStr">
        <is>
          <t>RISK_MEDIUM · LARGE_SERIES</t>
        </is>
      </c>
      <c r="H270" s="19" t="n">
        <v>5684.915187988281</v>
      </c>
      <c r="I270" s="19" t="n">
        <v>7312.746067504882</v>
      </c>
      <c r="J270" s="19" t="n">
        <v>9365.134016601562</v>
      </c>
      <c r="K270" s="19" t="n">
        <v>7312.746067504882</v>
      </c>
      <c r="L270" s="19" t="n">
        <v>8595.488535690307</v>
      </c>
      <c r="M270" s="19" t="n">
        <v>9365.134016601562</v>
      </c>
      <c r="N270" s="17" t="inlineStr">
        <is>
          <t>C</t>
        </is>
      </c>
      <c r="O270" s="19" t="n">
        <v>3514.937162597656</v>
      </c>
      <c r="P270" s="18" t="inlineStr">
        <is>
          <t>KHÔNG ĐỀ XUẤT TĂNG</t>
        </is>
      </c>
      <c r="Q270" s="17" t="inlineStr">
        <is>
          <t>Không</t>
        </is>
      </c>
      <c r="R270" s="20" t="n"/>
      <c r="S270" s="20" t="n"/>
      <c r="T270" s="21" t="n"/>
      <c r="U270" s="21" t="n"/>
      <c r="V270" s="22">
        <f>IF(U270="A",K270,IF(U270="B",L270,IF(U270="C",M270,IF(N270="A",K270,IF(N270="B",L270,M270)))))</f>
        <v/>
      </c>
      <c r="W270" s="22">
        <f>IF(R270="",O270,MAX(V270-R270-N(S270),0))</f>
        <v/>
      </c>
      <c r="X270" s="20" t="n"/>
      <c r="Y270" s="23">
        <f>IF(OR(X270="",W270=0),"",X270/W270-1)</f>
        <v/>
      </c>
      <c r="Z270" s="24" t="n"/>
      <c r="AA270" s="21" t="n"/>
      <c r="AB270" s="25" t="n"/>
      <c r="AC270" s="26">
        <f>IF(T270="","Chưa quyết định",IF(OR(Z270="",AA270=""),"⚠ Thiếu lý do/người duyệt",IF(AND(X270&lt;&gt;"",N(X270)+N(R270)+N(S270)&gt;M270*1.001,R270&lt;&gt;""),"⚠ Vượt mục tiêu P90",IF(AND(Y270&lt;&gt;"",ABS(N(Y270))&gt;0.3),"⚠ Lệch &gt; 30% so với nhu cầu",IF(Q270="Có","ℹ Kiểm tra ngoại suy KM","✓ Hợp lệ")))))</f>
        <v/>
      </c>
    </row>
    <row r="271">
      <c r="A271" s="16" t="n">
        <v>267</v>
      </c>
      <c r="B271" s="17" t="inlineStr">
        <is>
          <t>DEC-S14-PRODUCE</t>
        </is>
      </c>
      <c r="C271" s="16" t="n">
        <v>14</v>
      </c>
      <c r="D271" s="17" t="inlineStr">
        <is>
          <t>PRODUCE</t>
        </is>
      </c>
      <c r="E271" s="17" t="inlineStr">
        <is>
          <t>MEDIUM</t>
        </is>
      </c>
      <c r="F271" s="17" t="inlineStr">
        <is>
          <t>TRUNG BÌNH</t>
        </is>
      </c>
      <c r="G271" s="18" t="inlineStr">
        <is>
          <t>RISK_MEDIUM · LARGE_SERIES</t>
        </is>
      </c>
      <c r="H271" s="19" t="n">
        <v>5648.137294921875</v>
      </c>
      <c r="I271" s="19" t="n">
        <v>7275.968174438476</v>
      </c>
      <c r="J271" s="19" t="n">
        <v>9328.356123535155</v>
      </c>
      <c r="K271" s="19" t="n">
        <v>7275.968174438476</v>
      </c>
      <c r="L271" s="19" t="n">
        <v>8558.710642623901</v>
      </c>
      <c r="M271" s="19" t="n">
        <v>9328.356123535155</v>
      </c>
      <c r="N271" s="17" t="inlineStr">
        <is>
          <t>C</t>
        </is>
      </c>
      <c r="O271" s="19" t="n">
        <v>3507.581583984374</v>
      </c>
      <c r="P271" s="18" t="inlineStr">
        <is>
          <t>KHÔNG ĐỀ XUẤT TĂNG</t>
        </is>
      </c>
      <c r="Q271" s="17" t="inlineStr">
        <is>
          <t>Không</t>
        </is>
      </c>
      <c r="R271" s="20" t="n"/>
      <c r="S271" s="20" t="n"/>
      <c r="T271" s="21" t="n"/>
      <c r="U271" s="21" t="n"/>
      <c r="V271" s="22">
        <f>IF(U271="A",K271,IF(U271="B",L271,IF(U271="C",M271,IF(N271="A",K271,IF(N271="B",L271,M271)))))</f>
        <v/>
      </c>
      <c r="W271" s="22">
        <f>IF(R271="",O271,MAX(V271-R271-N(S271),0))</f>
        <v/>
      </c>
      <c r="X271" s="20" t="n"/>
      <c r="Y271" s="23">
        <f>IF(OR(X271="",W271=0),"",X271/W271-1)</f>
        <v/>
      </c>
      <c r="Z271" s="24" t="n"/>
      <c r="AA271" s="21" t="n"/>
      <c r="AB271" s="25" t="n"/>
      <c r="AC271" s="26">
        <f>IF(T271="","Chưa quyết định",IF(OR(Z271="",AA271=""),"⚠ Thiếu lý do/người duyệt",IF(AND(X271&lt;&gt;"",N(X271)+N(R271)+N(S271)&gt;M271*1.001,R271&lt;&gt;""),"⚠ Vượt mục tiêu P90",IF(AND(Y271&lt;&gt;"",ABS(N(Y271))&gt;0.3),"⚠ Lệch &gt; 30% so với nhu cầu",IF(Q271="Có","ℹ Kiểm tra ngoại suy KM","✓ Hợp lệ")))))</f>
        <v/>
      </c>
    </row>
    <row r="272">
      <c r="A272" s="16" t="n">
        <v>268</v>
      </c>
      <c r="B272" s="17" t="inlineStr">
        <is>
          <t>DEC-S50-POULTRY</t>
        </is>
      </c>
      <c r="C272" s="16" t="n">
        <v>50</v>
      </c>
      <c r="D272" s="17" t="inlineStr">
        <is>
          <t>POULTRY</t>
        </is>
      </c>
      <c r="E272" s="17" t="inlineStr">
        <is>
          <t>MEDIUM</t>
        </is>
      </c>
      <c r="F272" s="17" t="inlineStr">
        <is>
          <t>TRUNG BÌNH</t>
        </is>
      </c>
      <c r="G272" s="18" t="inlineStr">
        <is>
          <t>RISK_MEDIUM · LARGE_SERIES</t>
        </is>
      </c>
      <c r="H272" s="19" t="n">
        <v>5688.724676757813</v>
      </c>
      <c r="I272" s="19" t="n">
        <v>7117.098224609375</v>
      </c>
      <c r="J272" s="19" t="n">
        <v>8923.456297851562</v>
      </c>
      <c r="K272" s="19" t="n">
        <v>7117.098224609375</v>
      </c>
      <c r="L272" s="19" t="n">
        <v>8246.072020385742</v>
      </c>
      <c r="M272" s="19" t="n">
        <v>8923.456297851562</v>
      </c>
      <c r="N272" s="17" t="inlineStr">
        <is>
          <t>C</t>
        </is>
      </c>
      <c r="O272" s="19" t="n">
        <v>3229.777718164061</v>
      </c>
      <c r="P272" s="18" t="inlineStr">
        <is>
          <t>CÂN NHẮC THỬ NGHIỆM</t>
        </is>
      </c>
      <c r="Q272" s="17" t="inlineStr">
        <is>
          <t>Không</t>
        </is>
      </c>
      <c r="R272" s="20" t="n"/>
      <c r="S272" s="20" t="n"/>
      <c r="T272" s="21" t="n"/>
      <c r="U272" s="21" t="n"/>
      <c r="V272" s="22">
        <f>IF(U272="A",K272,IF(U272="B",L272,IF(U272="C",M272,IF(N272="A",K272,IF(N272="B",L272,M272)))))</f>
        <v/>
      </c>
      <c r="W272" s="22">
        <f>IF(R272="",O272,MAX(V272-R272-N(S272),0))</f>
        <v/>
      </c>
      <c r="X272" s="20" t="n"/>
      <c r="Y272" s="23">
        <f>IF(OR(X272="",W272=0),"",X272/W272-1)</f>
        <v/>
      </c>
      <c r="Z272" s="24" t="n"/>
      <c r="AA272" s="21" t="n"/>
      <c r="AB272" s="25" t="n"/>
      <c r="AC272" s="26">
        <f>IF(T272="","Chưa quyết định",IF(OR(Z272="",AA272=""),"⚠ Thiếu lý do/người duyệt",IF(AND(X272&lt;&gt;"",N(X272)+N(R272)+N(S272)&gt;M272*1.001,R272&lt;&gt;""),"⚠ Vượt mục tiêu P90",IF(AND(Y272&lt;&gt;"",ABS(N(Y272))&gt;0.3),"⚠ Lệch &gt; 30% so với nhu cầu",IF(Q272="Có","ℹ Kiểm tra ngoại suy KM","✓ Hợp lệ")))))</f>
        <v/>
      </c>
    </row>
    <row r="273">
      <c r="A273" s="16" t="n">
        <v>269</v>
      </c>
      <c r="B273" s="17" t="inlineStr">
        <is>
          <t>DEC-S09-POULTRY</t>
        </is>
      </c>
      <c r="C273" s="16" t="n">
        <v>9</v>
      </c>
      <c r="D273" s="17" t="inlineStr">
        <is>
          <t>POULTRY</t>
        </is>
      </c>
      <c r="E273" s="17" t="inlineStr">
        <is>
          <t>MEDIUM</t>
        </is>
      </c>
      <c r="F273" s="17" t="inlineStr">
        <is>
          <t>TRUNG BÌNH</t>
        </is>
      </c>
      <c r="G273" s="18" t="inlineStr">
        <is>
          <t>RISK_MEDIUM · LARGE_SERIES</t>
        </is>
      </c>
      <c r="H273" s="19" t="n">
        <v>5490.255452148438</v>
      </c>
      <c r="I273" s="19" t="n">
        <v>7051.600554443359</v>
      </c>
      <c r="J273" s="19" t="n">
        <v>9021.978544921874</v>
      </c>
      <c r="K273" s="19" t="n">
        <v>7051.600554443359</v>
      </c>
      <c r="L273" s="19" t="n">
        <v>8283.086798492432</v>
      </c>
      <c r="M273" s="19" t="n">
        <v>9021.978544921874</v>
      </c>
      <c r="N273" s="17" t="inlineStr">
        <is>
          <t>C</t>
        </is>
      </c>
      <c r="O273" s="19" t="n">
        <v>3380.698101367187</v>
      </c>
      <c r="P273" s="18" t="inlineStr">
        <is>
          <t>CÂN NHẮC THỬ NGHIỆM</t>
        </is>
      </c>
      <c r="Q273" s="17" t="inlineStr">
        <is>
          <t>Không</t>
        </is>
      </c>
      <c r="R273" s="20" t="n"/>
      <c r="S273" s="20" t="n"/>
      <c r="T273" s="21" t="n"/>
      <c r="U273" s="21" t="n"/>
      <c r="V273" s="22">
        <f>IF(U273="A",K273,IF(U273="B",L273,IF(U273="C",M273,IF(N273="A",K273,IF(N273="B",L273,M273)))))</f>
        <v/>
      </c>
      <c r="W273" s="22">
        <f>IF(R273="",O273,MAX(V273-R273-N(S273),0))</f>
        <v/>
      </c>
      <c r="X273" s="20" t="n"/>
      <c r="Y273" s="23">
        <f>IF(OR(X273="",W273=0),"",X273/W273-1)</f>
        <v/>
      </c>
      <c r="Z273" s="24" t="n"/>
      <c r="AA273" s="21" t="n"/>
      <c r="AB273" s="25" t="n"/>
      <c r="AC273" s="26">
        <f>IF(T273="","Chưa quyết định",IF(OR(Z273="",AA273=""),"⚠ Thiếu lý do/người duyệt",IF(AND(X273&lt;&gt;"",N(X273)+N(R273)+N(S273)&gt;M273*1.001,R273&lt;&gt;""),"⚠ Vượt mục tiêu P90",IF(AND(Y273&lt;&gt;"",ABS(N(Y273))&gt;0.3),"⚠ Lệch &gt; 30% so với nhu cầu",IF(Q273="Có","ℹ Kiểm tra ngoại suy KM","✓ Hợp lệ")))))</f>
        <v/>
      </c>
    </row>
    <row r="274">
      <c r="A274" s="16" t="n">
        <v>270</v>
      </c>
      <c r="B274" s="17" t="inlineStr">
        <is>
          <t>DEC-S24-MEATS</t>
        </is>
      </c>
      <c r="C274" s="16" t="n">
        <v>24</v>
      </c>
      <c r="D274" s="17" t="inlineStr">
        <is>
          <t>MEATS</t>
        </is>
      </c>
      <c r="E274" s="17" t="inlineStr">
        <is>
          <t>MEDIUM</t>
        </is>
      </c>
      <c r="F274" s="17" t="inlineStr">
        <is>
          <t>TRUNG BÌNH</t>
        </is>
      </c>
      <c r="G274" s="18" t="inlineStr">
        <is>
          <t>RISK_MEDIUM · LARGE_SERIES</t>
        </is>
      </c>
      <c r="H274" s="19" t="n">
        <v>5562.065056152344</v>
      </c>
      <c r="I274" s="19" t="n">
        <v>6857.467049560547</v>
      </c>
      <c r="J274" s="19" t="n">
        <v>8499.805205566407</v>
      </c>
      <c r="K274" s="19" t="n">
        <v>6857.467049560547</v>
      </c>
      <c r="L274" s="19" t="n">
        <v>7883.928397064209</v>
      </c>
      <c r="M274" s="19" t="n">
        <v>8499.805205566407</v>
      </c>
      <c r="N274" s="17" t="inlineStr">
        <is>
          <t>C</t>
        </is>
      </c>
      <c r="O274" s="19" t="n">
        <v>3013.831565917969</v>
      </c>
      <c r="P274" s="18" t="inlineStr">
        <is>
          <t>CÂN NHẮC THỬ NGHIỆM</t>
        </is>
      </c>
      <c r="Q274" s="17" t="inlineStr">
        <is>
          <t>Không</t>
        </is>
      </c>
      <c r="R274" s="20" t="n"/>
      <c r="S274" s="20" t="n"/>
      <c r="T274" s="21" t="n"/>
      <c r="U274" s="21" t="n"/>
      <c r="V274" s="22">
        <f>IF(U274="A",K274,IF(U274="B",L274,IF(U274="C",M274,IF(N274="A",K274,IF(N274="B",L274,M274)))))</f>
        <v/>
      </c>
      <c r="W274" s="22">
        <f>IF(R274="",O274,MAX(V274-R274-N(S274),0))</f>
        <v/>
      </c>
      <c r="X274" s="20" t="n"/>
      <c r="Y274" s="23">
        <f>IF(OR(X274="",W274=0),"",X274/W274-1)</f>
        <v/>
      </c>
      <c r="Z274" s="24" t="n"/>
      <c r="AA274" s="21" t="n"/>
      <c r="AB274" s="25" t="n"/>
      <c r="AC274" s="26">
        <f>IF(T274="","Chưa quyết định",IF(OR(Z274="",AA274=""),"⚠ Thiếu lý do/người duyệt",IF(AND(X274&lt;&gt;"",N(X274)+N(R274)+N(S274)&gt;M274*1.001,R274&lt;&gt;""),"⚠ Vượt mục tiêu P90",IF(AND(Y274&lt;&gt;"",ABS(N(Y274))&gt;0.3),"⚠ Lệch &gt; 30% so với nhu cầu",IF(Q274="Có","ℹ Kiểm tra ngoại suy KM","✓ Hợp lệ")))))</f>
        <v/>
      </c>
    </row>
    <row r="275">
      <c r="A275" s="16" t="n">
        <v>271</v>
      </c>
      <c r="B275" s="17" t="inlineStr">
        <is>
          <t>DEC-S14-DAIRY</t>
        </is>
      </c>
      <c r="C275" s="16" t="n">
        <v>14</v>
      </c>
      <c r="D275" s="17" t="inlineStr">
        <is>
          <t>DAIRY</t>
        </is>
      </c>
      <c r="E275" s="17" t="inlineStr">
        <is>
          <t>MEDIUM</t>
        </is>
      </c>
      <c r="F275" s="17" t="inlineStr">
        <is>
          <t>TRUNG BÌNH</t>
        </is>
      </c>
      <c r="G275" s="18" t="inlineStr">
        <is>
          <t>RISK_MEDIUM · LARGE_SERIES</t>
        </is>
      </c>
      <c r="H275" s="19" t="n">
        <v>5268.795674316407</v>
      </c>
      <c r="I275" s="19" t="n">
        <v>6830.140776611328</v>
      </c>
      <c r="J275" s="19" t="n">
        <v>8800.518767089843</v>
      </c>
      <c r="K275" s="19" t="n">
        <v>6830.140776611328</v>
      </c>
      <c r="L275" s="19" t="n">
        <v>8061.6270206604</v>
      </c>
      <c r="M275" s="19" t="n">
        <v>8800.518767089843</v>
      </c>
      <c r="N275" s="17" t="inlineStr">
        <is>
          <t>C</t>
        </is>
      </c>
      <c r="O275" s="19" t="n">
        <v>3336.40614580078</v>
      </c>
      <c r="P275" s="18" t="inlineStr">
        <is>
          <t>KHÔNG ĐỀ XUẤT TĂNG</t>
        </is>
      </c>
      <c r="Q275" s="17" t="inlineStr">
        <is>
          <t>Không</t>
        </is>
      </c>
      <c r="R275" s="20" t="n"/>
      <c r="S275" s="20" t="n"/>
      <c r="T275" s="21" t="n"/>
      <c r="U275" s="21" t="n"/>
      <c r="V275" s="22">
        <f>IF(U275="A",K275,IF(U275="B",L275,IF(U275="C",M275,IF(N275="A",K275,IF(N275="B",L275,M275)))))</f>
        <v/>
      </c>
      <c r="W275" s="22">
        <f>IF(R275="",O275,MAX(V275-R275-N(S275),0))</f>
        <v/>
      </c>
      <c r="X275" s="20" t="n"/>
      <c r="Y275" s="23">
        <f>IF(OR(X275="",W275=0),"",X275/W275-1)</f>
        <v/>
      </c>
      <c r="Z275" s="24" t="n"/>
      <c r="AA275" s="21" t="n"/>
      <c r="AB275" s="25" t="n"/>
      <c r="AC275" s="26">
        <f>IF(T275="","Chưa quyết định",IF(OR(Z275="",AA275=""),"⚠ Thiếu lý do/người duyệt",IF(AND(X275&lt;&gt;"",N(X275)+N(R275)+N(S275)&gt;M275*1.001,R275&lt;&gt;""),"⚠ Vượt mục tiêu P90",IF(AND(Y275&lt;&gt;"",ABS(N(Y275))&gt;0.3),"⚠ Lệch &gt; 30% so với nhu cầu",IF(Q275="Có","ℹ Kiểm tra ngoại suy KM","✓ Hợp lệ")))))</f>
        <v/>
      </c>
    </row>
    <row r="276">
      <c r="A276" s="16" t="n">
        <v>272</v>
      </c>
      <c r="B276" s="17" t="inlineStr">
        <is>
          <t>DEC-S28-DELI</t>
        </is>
      </c>
      <c r="C276" s="16" t="n">
        <v>28</v>
      </c>
      <c r="D276" s="17" t="inlineStr">
        <is>
          <t>DELI</t>
        </is>
      </c>
      <c r="E276" s="17" t="inlineStr">
        <is>
          <t>MEDIUM</t>
        </is>
      </c>
      <c r="F276" s="17" t="inlineStr">
        <is>
          <t>TRUNG BÌNH</t>
        </is>
      </c>
      <c r="G276" s="18" t="inlineStr">
        <is>
          <t>RISK_MEDIUM · LARGE_SERIES</t>
        </is>
      </c>
      <c r="H276" s="19" t="n">
        <v>5434.013183105469</v>
      </c>
      <c r="I276" s="19" t="n">
        <v>6795.900953735351</v>
      </c>
      <c r="J276" s="19" t="n">
        <v>8520.249068359375</v>
      </c>
      <c r="K276" s="19" t="n">
        <v>6795.900953735351</v>
      </c>
      <c r="L276" s="19" t="n">
        <v>7873.618525375367</v>
      </c>
      <c r="M276" s="19" t="n">
        <v>8520.249068359375</v>
      </c>
      <c r="N276" s="17" t="inlineStr">
        <is>
          <t>C</t>
        </is>
      </c>
      <c r="O276" s="19" t="n">
        <v>3083.528305371094</v>
      </c>
      <c r="P276" s="18" t="inlineStr">
        <is>
          <t>KHÔNG ĐỀ XUẤT TĂNG</t>
        </is>
      </c>
      <c r="Q276" s="17" t="inlineStr">
        <is>
          <t>Không</t>
        </is>
      </c>
      <c r="R276" s="20" t="n"/>
      <c r="S276" s="20" t="n"/>
      <c r="T276" s="21" t="n"/>
      <c r="U276" s="21" t="n"/>
      <c r="V276" s="22">
        <f>IF(U276="A",K276,IF(U276="B",L276,IF(U276="C",M276,IF(N276="A",K276,IF(N276="B",L276,M276)))))</f>
        <v/>
      </c>
      <c r="W276" s="22">
        <f>IF(R276="",O276,MAX(V276-R276-N(S276),0))</f>
        <v/>
      </c>
      <c r="X276" s="20" t="n"/>
      <c r="Y276" s="23">
        <f>IF(OR(X276="",W276=0),"",X276/W276-1)</f>
        <v/>
      </c>
      <c r="Z276" s="24" t="n"/>
      <c r="AA276" s="21" t="n"/>
      <c r="AB276" s="25" t="n"/>
      <c r="AC276" s="26">
        <f>IF(T276="","Chưa quyết định",IF(OR(Z276="",AA276=""),"⚠ Thiếu lý do/người duyệt",IF(AND(X276&lt;&gt;"",N(X276)+N(R276)+N(S276)&gt;M276*1.001,R276&lt;&gt;""),"⚠ Vượt mục tiêu P90",IF(AND(Y276&lt;&gt;"",ABS(N(Y276))&gt;0.3),"⚠ Lệch &gt; 30% so với nhu cầu",IF(Q276="Có","ℹ Kiểm tra ngoại suy KM","✓ Hợp lệ")))))</f>
        <v/>
      </c>
    </row>
    <row r="277">
      <c r="A277" s="16" t="n">
        <v>273</v>
      </c>
      <c r="B277" s="17" t="inlineStr">
        <is>
          <t>DEC-S11-PERSONAL_CARE</t>
        </is>
      </c>
      <c r="C277" s="16" t="n">
        <v>11</v>
      </c>
      <c r="D277" s="17" t="inlineStr">
        <is>
          <t>PERSONAL CARE</t>
        </is>
      </c>
      <c r="E277" s="17" t="inlineStr">
        <is>
          <t>MEDIUM</t>
        </is>
      </c>
      <c r="F277" s="17" t="inlineStr">
        <is>
          <t>TRUNG BÌNH</t>
        </is>
      </c>
      <c r="G277" s="18" t="inlineStr">
        <is>
          <t>RISK_MEDIUM · LARGE_SERIES</t>
        </is>
      </c>
      <c r="H277" s="19" t="n">
        <v>5393.598845947266</v>
      </c>
      <c r="I277" s="19" t="n">
        <v>6755.486616577148</v>
      </c>
      <c r="J277" s="19" t="n">
        <v>8479.834731201172</v>
      </c>
      <c r="K277" s="19" t="n">
        <v>6755.486616577148</v>
      </c>
      <c r="L277" s="19" t="n">
        <v>7833.204188217163</v>
      </c>
      <c r="M277" s="19" t="n">
        <v>8479.834731201172</v>
      </c>
      <c r="N277" s="17" t="inlineStr">
        <is>
          <t>C</t>
        </is>
      </c>
      <c r="O277" s="19" t="n">
        <v>3075.445437939453</v>
      </c>
      <c r="P277" s="18" t="inlineStr">
        <is>
          <t>KHÔNG ĐỀ XUẤT TĂNG</t>
        </is>
      </c>
      <c r="Q277" s="17" t="inlineStr">
        <is>
          <t>Không</t>
        </is>
      </c>
      <c r="R277" s="20" t="n"/>
      <c r="S277" s="20" t="n"/>
      <c r="T277" s="21" t="n"/>
      <c r="U277" s="21" t="n"/>
      <c r="V277" s="22">
        <f>IF(U277="A",K277,IF(U277="B",L277,IF(U277="C",M277,IF(N277="A",K277,IF(N277="B",L277,M277)))))</f>
        <v/>
      </c>
      <c r="W277" s="22">
        <f>IF(R277="",O277,MAX(V277-R277-N(S277),0))</f>
        <v/>
      </c>
      <c r="X277" s="20" t="n"/>
      <c r="Y277" s="23">
        <f>IF(OR(X277="",W277=0),"",X277/W277-1)</f>
        <v/>
      </c>
      <c r="Z277" s="24" t="n"/>
      <c r="AA277" s="21" t="n"/>
      <c r="AB277" s="25" t="n"/>
      <c r="AC277" s="26">
        <f>IF(T277="","Chưa quyết định",IF(OR(Z277="",AA277=""),"⚠ Thiếu lý do/người duyệt",IF(AND(X277&lt;&gt;"",N(X277)+N(R277)+N(S277)&gt;M277*1.001,R277&lt;&gt;""),"⚠ Vượt mục tiêu P90",IF(AND(Y277&lt;&gt;"",ABS(N(Y277))&gt;0.3),"⚠ Lệch &gt; 30% so với nhu cầu",IF(Q277="Có","ℹ Kiểm tra ngoại suy KM","✓ Hợp lệ")))))</f>
        <v/>
      </c>
    </row>
    <row r="278">
      <c r="A278" s="16" t="n">
        <v>274</v>
      </c>
      <c r="B278" s="17" t="inlineStr">
        <is>
          <t>DEC-S41-PERSONAL_CARE</t>
        </is>
      </c>
      <c r="C278" s="16" t="n">
        <v>41</v>
      </c>
      <c r="D278" s="17" t="inlineStr">
        <is>
          <t>PERSONAL CARE</t>
        </is>
      </c>
      <c r="E278" s="17" t="inlineStr">
        <is>
          <t>MEDIUM</t>
        </is>
      </c>
      <c r="F278" s="17" t="inlineStr">
        <is>
          <t>TRUNG BÌNH</t>
        </is>
      </c>
      <c r="G278" s="18" t="inlineStr">
        <is>
          <t>RISK_MEDIUM · LARGE_SERIES</t>
        </is>
      </c>
      <c r="H278" s="19" t="n">
        <v>5227.884595703125</v>
      </c>
      <c r="I278" s="19" t="n">
        <v>6722.743920776367</v>
      </c>
      <c r="J278" s="19" t="n">
        <v>8611.111952636718</v>
      </c>
      <c r="K278" s="19" t="n">
        <v>6722.743920776367</v>
      </c>
      <c r="L278" s="19" t="n">
        <v>7902.973940689087</v>
      </c>
      <c r="M278" s="19" t="n">
        <v>8611.111952636718</v>
      </c>
      <c r="N278" s="17" t="inlineStr">
        <is>
          <t>C</t>
        </is>
      </c>
      <c r="O278" s="19" t="n">
        <v>3232.916816015624</v>
      </c>
      <c r="P278" s="18" t="inlineStr">
        <is>
          <t>KHÔNG ĐỀ XUẤT TĂNG</t>
        </is>
      </c>
      <c r="Q278" s="17" t="inlineStr">
        <is>
          <t>Không</t>
        </is>
      </c>
      <c r="R278" s="20" t="n"/>
      <c r="S278" s="20" t="n"/>
      <c r="T278" s="21" t="n"/>
      <c r="U278" s="21" t="n"/>
      <c r="V278" s="22">
        <f>IF(U278="A",K278,IF(U278="B",L278,IF(U278="C",M278,IF(N278="A",K278,IF(N278="B",L278,M278)))))</f>
        <v/>
      </c>
      <c r="W278" s="22">
        <f>IF(R278="",O278,MAX(V278-R278-N(S278),0))</f>
        <v/>
      </c>
      <c r="X278" s="20" t="n"/>
      <c r="Y278" s="23">
        <f>IF(OR(X278="",W278=0),"",X278/W278-1)</f>
        <v/>
      </c>
      <c r="Z278" s="24" t="n"/>
      <c r="AA278" s="21" t="n"/>
      <c r="AB278" s="25" t="n"/>
      <c r="AC278" s="26">
        <f>IF(T278="","Chưa quyết định",IF(OR(Z278="",AA278=""),"⚠ Thiếu lý do/người duyệt",IF(AND(X278&lt;&gt;"",N(X278)+N(R278)+N(S278)&gt;M278*1.001,R278&lt;&gt;""),"⚠ Vượt mục tiêu P90",IF(AND(Y278&lt;&gt;"",ABS(N(Y278))&gt;0.3),"⚠ Lệch &gt; 30% so với nhu cầu",IF(Q278="Có","ℹ Kiểm tra ngoại suy KM","✓ Hợp lệ")))))</f>
        <v/>
      </c>
    </row>
    <row r="279">
      <c r="A279" s="16" t="n">
        <v>275</v>
      </c>
      <c r="B279" s="17" t="inlineStr">
        <is>
          <t>DEC-S25-CLEANING</t>
        </is>
      </c>
      <c r="C279" s="16" t="n">
        <v>25</v>
      </c>
      <c r="D279" s="17" t="inlineStr">
        <is>
          <t>CLEANING</t>
        </is>
      </c>
      <c r="E279" s="17" t="inlineStr">
        <is>
          <t>MEDIUM</t>
        </is>
      </c>
      <c r="F279" s="17" t="inlineStr">
        <is>
          <t>TRUNG BÌNH</t>
        </is>
      </c>
      <c r="G279" s="18" t="inlineStr">
        <is>
          <t>RISK_MEDIUM · LARGE_SERIES</t>
        </is>
      </c>
      <c r="H279" s="19" t="n">
        <v>5312.633147705078</v>
      </c>
      <c r="I279" s="19" t="n">
        <v>6674.520918334961</v>
      </c>
      <c r="J279" s="19" t="n">
        <v>8398.869032958984</v>
      </c>
      <c r="K279" s="19" t="n">
        <v>6674.520918334961</v>
      </c>
      <c r="L279" s="19" t="n">
        <v>7752.238489974976</v>
      </c>
      <c r="M279" s="19" t="n">
        <v>8398.869032958984</v>
      </c>
      <c r="N279" s="17" t="inlineStr">
        <is>
          <t>C</t>
        </is>
      </c>
      <c r="O279" s="19" t="n">
        <v>3059.252298291016</v>
      </c>
      <c r="P279" s="18" t="inlineStr">
        <is>
          <t>KHÔNG ĐỀ XUẤT TĂNG</t>
        </is>
      </c>
      <c r="Q279" s="17" t="inlineStr">
        <is>
          <t>Không</t>
        </is>
      </c>
      <c r="R279" s="20" t="n"/>
      <c r="S279" s="20" t="n"/>
      <c r="T279" s="21" t="n"/>
      <c r="U279" s="21" t="n"/>
      <c r="V279" s="22">
        <f>IF(U279="A",K279,IF(U279="B",L279,IF(U279="C",M279,IF(N279="A",K279,IF(N279="B",L279,M279)))))</f>
        <v/>
      </c>
      <c r="W279" s="22">
        <f>IF(R279="",O279,MAX(V279-R279-N(S279),0))</f>
        <v/>
      </c>
      <c r="X279" s="20" t="n"/>
      <c r="Y279" s="23">
        <f>IF(OR(X279="",W279=0),"",X279/W279-1)</f>
        <v/>
      </c>
      <c r="Z279" s="24" t="n"/>
      <c r="AA279" s="21" t="n"/>
      <c r="AB279" s="25" t="n"/>
      <c r="AC279" s="26">
        <f>IF(T279="","Chưa quyết định",IF(OR(Z279="",AA279=""),"⚠ Thiếu lý do/người duyệt",IF(AND(X279&lt;&gt;"",N(X279)+N(R279)+N(S279)&gt;M279*1.001,R279&lt;&gt;""),"⚠ Vượt mục tiêu P90",IF(AND(Y279&lt;&gt;"",ABS(N(Y279))&gt;0.3),"⚠ Lệch &gt; 30% so với nhu cầu",IF(Q279="Có","ℹ Kiểm tra ngoại suy KM","✓ Hợp lệ")))))</f>
        <v/>
      </c>
    </row>
    <row r="280">
      <c r="A280" s="16" t="n">
        <v>276</v>
      </c>
      <c r="B280" s="17" t="inlineStr">
        <is>
          <t>DEC-S04-POULTRY</t>
        </is>
      </c>
      <c r="C280" s="16" t="n">
        <v>4</v>
      </c>
      <c r="D280" s="17" t="inlineStr">
        <is>
          <t>POULTRY</t>
        </is>
      </c>
      <c r="E280" s="17" t="inlineStr">
        <is>
          <t>MEDIUM</t>
        </is>
      </c>
      <c r="F280" s="17" t="inlineStr">
        <is>
          <t>TRUNG BÌNH</t>
        </is>
      </c>
      <c r="G280" s="18" t="inlineStr">
        <is>
          <t>RISK_MEDIUM · LARGE_SERIES</t>
        </is>
      </c>
      <c r="H280" s="19" t="n">
        <v>5296.283355224609</v>
      </c>
      <c r="I280" s="19" t="n">
        <v>6658.171125854492</v>
      </c>
      <c r="J280" s="19" t="n">
        <v>8382.519240478516</v>
      </c>
      <c r="K280" s="19" t="n">
        <v>6658.171125854492</v>
      </c>
      <c r="L280" s="19" t="n">
        <v>7735.888697494507</v>
      </c>
      <c r="M280" s="19" t="n">
        <v>8382.519240478516</v>
      </c>
      <c r="N280" s="17" t="inlineStr">
        <is>
          <t>C</t>
        </is>
      </c>
      <c r="O280" s="19" t="n">
        <v>3055.982339794922</v>
      </c>
      <c r="P280" s="18" t="inlineStr">
        <is>
          <t>CÂN NHẮC THỬ NGHIỆM</t>
        </is>
      </c>
      <c r="Q280" s="17" t="inlineStr">
        <is>
          <t>Không</t>
        </is>
      </c>
      <c r="R280" s="20" t="n"/>
      <c r="S280" s="20" t="n"/>
      <c r="T280" s="21" t="n"/>
      <c r="U280" s="21" t="n"/>
      <c r="V280" s="22">
        <f>IF(U280="A",K280,IF(U280="B",L280,IF(U280="C",M280,IF(N280="A",K280,IF(N280="B",L280,M280)))))</f>
        <v/>
      </c>
      <c r="W280" s="22">
        <f>IF(R280="",O280,MAX(V280-R280-N(S280),0))</f>
        <v/>
      </c>
      <c r="X280" s="20" t="n"/>
      <c r="Y280" s="23">
        <f>IF(OR(X280="",W280=0),"",X280/W280-1)</f>
        <v/>
      </c>
      <c r="Z280" s="24" t="n"/>
      <c r="AA280" s="21" t="n"/>
      <c r="AB280" s="25" t="n"/>
      <c r="AC280" s="26">
        <f>IF(T280="","Chưa quyết định",IF(OR(Z280="",AA280=""),"⚠ Thiếu lý do/người duyệt",IF(AND(X280&lt;&gt;"",N(X280)+N(R280)+N(S280)&gt;M280*1.001,R280&lt;&gt;""),"⚠ Vượt mục tiêu P90",IF(AND(Y280&lt;&gt;"",ABS(N(Y280))&gt;0.3),"⚠ Lệch &gt; 30% so với nhu cầu",IF(Q280="Có","ℹ Kiểm tra ngoại suy KM","✓ Hợp lệ")))))</f>
        <v/>
      </c>
    </row>
    <row r="281">
      <c r="A281" s="16" t="n">
        <v>277</v>
      </c>
      <c r="B281" s="17" t="inlineStr">
        <is>
          <t>DEC-S27-POULTRY</t>
        </is>
      </c>
      <c r="C281" s="16" t="n">
        <v>27</v>
      </c>
      <c r="D281" s="17" t="inlineStr">
        <is>
          <t>POULTRY</t>
        </is>
      </c>
      <c r="E281" s="17" t="inlineStr">
        <is>
          <t>MEDIUM</t>
        </is>
      </c>
      <c r="F281" s="17" t="inlineStr">
        <is>
          <t>TRUNG BÌNH</t>
        </is>
      </c>
      <c r="G281" s="18" t="inlineStr">
        <is>
          <t>RISK_MEDIUM · LARGE_SERIES</t>
        </is>
      </c>
      <c r="H281" s="19" t="n">
        <v>5150.77713647461</v>
      </c>
      <c r="I281" s="19" t="n">
        <v>6579.150684326172</v>
      </c>
      <c r="J281" s="19" t="n">
        <v>8385.508757568359</v>
      </c>
      <c r="K281" s="19" t="n">
        <v>6579.150684326172</v>
      </c>
      <c r="L281" s="19" t="n">
        <v>7708.124480102539</v>
      </c>
      <c r="M281" s="19" t="n">
        <v>8385.508757568359</v>
      </c>
      <c r="N281" s="17" t="inlineStr">
        <is>
          <t>C</t>
        </is>
      </c>
      <c r="O281" s="19" t="n">
        <v>3122.188210107421</v>
      </c>
      <c r="P281" s="18" t="inlineStr">
        <is>
          <t>CÂN NHẮC THỬ NGHIỆM</t>
        </is>
      </c>
      <c r="Q281" s="17" t="inlineStr">
        <is>
          <t>Không</t>
        </is>
      </c>
      <c r="R281" s="20" t="n"/>
      <c r="S281" s="20" t="n"/>
      <c r="T281" s="21" t="n"/>
      <c r="U281" s="21" t="n"/>
      <c r="V281" s="22">
        <f>IF(U281="A",K281,IF(U281="B",L281,IF(U281="C",M281,IF(N281="A",K281,IF(N281="B",L281,M281)))))</f>
        <v/>
      </c>
      <c r="W281" s="22">
        <f>IF(R281="",O281,MAX(V281-R281-N(S281),0))</f>
        <v/>
      </c>
      <c r="X281" s="20" t="n"/>
      <c r="Y281" s="23">
        <f>IF(OR(X281="",W281=0),"",X281/W281-1)</f>
        <v/>
      </c>
      <c r="Z281" s="24" t="n"/>
      <c r="AA281" s="21" t="n"/>
      <c r="AB281" s="25" t="n"/>
      <c r="AC281" s="26">
        <f>IF(T281="","Chưa quyết định",IF(OR(Z281="",AA281=""),"⚠ Thiếu lý do/người duyệt",IF(AND(X281&lt;&gt;"",N(X281)+N(R281)+N(S281)&gt;M281*1.001,R281&lt;&gt;""),"⚠ Vượt mục tiêu P90",IF(AND(Y281&lt;&gt;"",ABS(N(Y281))&gt;0.3),"⚠ Lệch &gt; 30% so với nhu cầu",IF(Q281="Có","ℹ Kiểm tra ngoại suy KM","✓ Hợp lệ")))))</f>
        <v/>
      </c>
    </row>
    <row r="282">
      <c r="A282" s="16" t="n">
        <v>278</v>
      </c>
      <c r="B282" s="17" t="inlineStr">
        <is>
          <t>DEC-S04-BREAD_BAKERY</t>
        </is>
      </c>
      <c r="C282" s="16" t="n">
        <v>4</v>
      </c>
      <c r="D282" s="17" t="inlineStr">
        <is>
          <t>BREAD/BAKERY</t>
        </is>
      </c>
      <c r="E282" s="17" t="inlineStr">
        <is>
          <t>MEDIUM</t>
        </is>
      </c>
      <c r="F282" s="17" t="inlineStr">
        <is>
          <t>TRUNG BÌNH</t>
        </is>
      </c>
      <c r="G282" s="18" t="inlineStr">
        <is>
          <t>RISK_MEDIUM · LARGE_SERIES</t>
        </is>
      </c>
      <c r="H282" s="19" t="n">
        <v>5144.506018310547</v>
      </c>
      <c r="I282" s="19" t="n">
        <v>6572.87956616211</v>
      </c>
      <c r="J282" s="19" t="n">
        <v>8379.237639404297</v>
      </c>
      <c r="K282" s="19" t="n">
        <v>6572.87956616211</v>
      </c>
      <c r="L282" s="19" t="n">
        <v>7701.853361938476</v>
      </c>
      <c r="M282" s="19" t="n">
        <v>8379.237639404297</v>
      </c>
      <c r="N282" s="17" t="inlineStr">
        <is>
          <t>C</t>
        </is>
      </c>
      <c r="O282" s="19" t="n">
        <v>3120.933986474609</v>
      </c>
      <c r="P282" s="18" t="inlineStr">
        <is>
          <t>KHÔNG ĐỀ XUẤT TĂNG</t>
        </is>
      </c>
      <c r="Q282" s="17" t="inlineStr">
        <is>
          <t>Không</t>
        </is>
      </c>
      <c r="R282" s="20" t="n"/>
      <c r="S282" s="20" t="n"/>
      <c r="T282" s="21" t="n"/>
      <c r="U282" s="21" t="n"/>
      <c r="V282" s="22">
        <f>IF(U282="A",K282,IF(U282="B",L282,IF(U282="C",M282,IF(N282="A",K282,IF(N282="B",L282,M282)))))</f>
        <v/>
      </c>
      <c r="W282" s="22">
        <f>IF(R282="",O282,MAX(V282-R282-N(S282),0))</f>
        <v/>
      </c>
      <c r="X282" s="20" t="n"/>
      <c r="Y282" s="23">
        <f>IF(OR(X282="",W282=0),"",X282/W282-1)</f>
        <v/>
      </c>
      <c r="Z282" s="24" t="n"/>
      <c r="AA282" s="21" t="n"/>
      <c r="AB282" s="25" t="n"/>
      <c r="AC282" s="26">
        <f>IF(T282="","Chưa quyết định",IF(OR(Z282="",AA282=""),"⚠ Thiếu lý do/người duyệt",IF(AND(X282&lt;&gt;"",N(X282)+N(R282)+N(S282)&gt;M282*1.001,R282&lt;&gt;""),"⚠ Vượt mục tiêu P90",IF(AND(Y282&lt;&gt;"",ABS(N(Y282))&gt;0.3),"⚠ Lệch &gt; 30% so với nhu cầu",IF(Q282="Có","ℹ Kiểm tra ngoại suy KM","✓ Hợp lệ")))))</f>
        <v/>
      </c>
    </row>
    <row r="283">
      <c r="A283" s="16" t="n">
        <v>279</v>
      </c>
      <c r="B283" s="17" t="inlineStr">
        <is>
          <t>DEC-S40-BREAD_BAKERY</t>
        </is>
      </c>
      <c r="C283" s="16" t="n">
        <v>40</v>
      </c>
      <c r="D283" s="17" t="inlineStr">
        <is>
          <t>BREAD/BAKERY</t>
        </is>
      </c>
      <c r="E283" s="17" t="inlineStr">
        <is>
          <t>MEDIUM</t>
        </is>
      </c>
      <c r="F283" s="17" t="inlineStr">
        <is>
          <t>TRUNG BÌNH</t>
        </is>
      </c>
      <c r="G283" s="18" t="inlineStr">
        <is>
          <t>RISK_MEDIUM · LARGE_SERIES</t>
        </is>
      </c>
      <c r="H283" s="19" t="n">
        <v>5255.062462158203</v>
      </c>
      <c r="I283" s="19" t="n">
        <v>6550.464455566406</v>
      </c>
      <c r="J283" s="19" t="n">
        <v>8192.802611572266</v>
      </c>
      <c r="K283" s="19" t="n">
        <v>6550.464455566406</v>
      </c>
      <c r="L283" s="19" t="n">
        <v>7576.925803070068</v>
      </c>
      <c r="M283" s="19" t="n">
        <v>8192.802611572266</v>
      </c>
      <c r="N283" s="17" t="inlineStr">
        <is>
          <t>C</t>
        </is>
      </c>
      <c r="O283" s="19" t="n">
        <v>2952.43104711914</v>
      </c>
      <c r="P283" s="18" t="inlineStr">
        <is>
          <t>KHÔNG ĐỀ XUẤT TĂNG</t>
        </is>
      </c>
      <c r="Q283" s="17" t="inlineStr">
        <is>
          <t>Không</t>
        </is>
      </c>
      <c r="R283" s="20" t="n"/>
      <c r="S283" s="20" t="n"/>
      <c r="T283" s="21" t="n"/>
      <c r="U283" s="21" t="n"/>
      <c r="V283" s="22">
        <f>IF(U283="A",K283,IF(U283="B",L283,IF(U283="C",M283,IF(N283="A",K283,IF(N283="B",L283,M283)))))</f>
        <v/>
      </c>
      <c r="W283" s="22">
        <f>IF(R283="",O283,MAX(V283-R283-N(S283),0))</f>
        <v/>
      </c>
      <c r="X283" s="20" t="n"/>
      <c r="Y283" s="23">
        <f>IF(OR(X283="",W283=0),"",X283/W283-1)</f>
        <v/>
      </c>
      <c r="Z283" s="24" t="n"/>
      <c r="AA283" s="21" t="n"/>
      <c r="AB283" s="25" t="n"/>
      <c r="AC283" s="26">
        <f>IF(T283="","Chưa quyết định",IF(OR(Z283="",AA283=""),"⚠ Thiếu lý do/người duyệt",IF(AND(X283&lt;&gt;"",N(X283)+N(R283)+N(S283)&gt;M283*1.001,R283&lt;&gt;""),"⚠ Vượt mục tiêu P90",IF(AND(Y283&lt;&gt;"",ABS(N(Y283))&gt;0.3),"⚠ Lệch &gt; 30% so với nhu cầu",IF(Q283="Có","ℹ Kiểm tra ngoại suy KM","✓ Hợp lệ")))))</f>
        <v/>
      </c>
    </row>
    <row r="284">
      <c r="A284" s="16" t="n">
        <v>280</v>
      </c>
      <c r="B284" s="17" t="inlineStr">
        <is>
          <t>DEC-S03-DELI</t>
        </is>
      </c>
      <c r="C284" s="16" t="n">
        <v>3</v>
      </c>
      <c r="D284" s="17" t="inlineStr">
        <is>
          <t>DELI</t>
        </is>
      </c>
      <c r="E284" s="17" t="inlineStr">
        <is>
          <t>MEDIUM</t>
        </is>
      </c>
      <c r="F284" s="17" t="inlineStr">
        <is>
          <t>TRUNG BÌNH</t>
        </is>
      </c>
      <c r="G284" s="18" t="inlineStr">
        <is>
          <t>RISK_MEDIUM · LARGE_SERIES</t>
        </is>
      </c>
      <c r="H284" s="19" t="n">
        <v>5180.978698242187</v>
      </c>
      <c r="I284" s="19" t="n">
        <v>6542.86646887207</v>
      </c>
      <c r="J284" s="19" t="n">
        <v>8267.214583496094</v>
      </c>
      <c r="K284" s="19" t="n">
        <v>6542.86646887207</v>
      </c>
      <c r="L284" s="19" t="n">
        <v>7620.584040512085</v>
      </c>
      <c r="M284" s="19" t="n">
        <v>8267.214583496094</v>
      </c>
      <c r="N284" s="17" t="inlineStr">
        <is>
          <t>C</t>
        </is>
      </c>
      <c r="O284" s="19" t="n">
        <v>3032.921408398437</v>
      </c>
      <c r="P284" s="18" t="inlineStr">
        <is>
          <t>KHÔNG ĐỀ XUẤT TĂNG</t>
        </is>
      </c>
      <c r="Q284" s="17" t="inlineStr">
        <is>
          <t>Không</t>
        </is>
      </c>
      <c r="R284" s="20" t="n"/>
      <c r="S284" s="20" t="n"/>
      <c r="T284" s="21" t="n"/>
      <c r="U284" s="21" t="n"/>
      <c r="V284" s="22">
        <f>IF(U284="A",K284,IF(U284="B",L284,IF(U284="C",M284,IF(N284="A",K284,IF(N284="B",L284,M284)))))</f>
        <v/>
      </c>
      <c r="W284" s="22">
        <f>IF(R284="",O284,MAX(V284-R284-N(S284),0))</f>
        <v/>
      </c>
      <c r="X284" s="20" t="n"/>
      <c r="Y284" s="23">
        <f>IF(OR(X284="",W284=0),"",X284/W284-1)</f>
        <v/>
      </c>
      <c r="Z284" s="24" t="n"/>
      <c r="AA284" s="21" t="n"/>
      <c r="AB284" s="25" t="n"/>
      <c r="AC284" s="26">
        <f>IF(T284="","Chưa quyết định",IF(OR(Z284="",AA284=""),"⚠ Thiếu lý do/người duyệt",IF(AND(X284&lt;&gt;"",N(X284)+N(R284)+N(S284)&gt;M284*1.001,R284&lt;&gt;""),"⚠ Vượt mục tiêu P90",IF(AND(Y284&lt;&gt;"",ABS(N(Y284))&gt;0.3),"⚠ Lệch &gt; 30% so với nhu cầu",IF(Q284="Có","ℹ Kiểm tra ngoại suy KM","✓ Hợp lệ")))))</f>
        <v/>
      </c>
    </row>
    <row r="285">
      <c r="A285" s="16" t="n">
        <v>281</v>
      </c>
      <c r="B285" s="17" t="inlineStr">
        <is>
          <t>DEC-S45-EGGS</t>
        </is>
      </c>
      <c r="C285" s="16" t="n">
        <v>45</v>
      </c>
      <c r="D285" s="17" t="inlineStr">
        <is>
          <t>EGGS</t>
        </is>
      </c>
      <c r="E285" s="17" t="inlineStr">
        <is>
          <t>MEDIUM</t>
        </is>
      </c>
      <c r="F285" s="17" t="inlineStr">
        <is>
          <t>TRUNG BÌNH</t>
        </is>
      </c>
      <c r="G285" s="18" t="inlineStr">
        <is>
          <t>RISK_MEDIUM · LARGE_SERIES</t>
        </is>
      </c>
      <c r="H285" s="19" t="n">
        <v>5160.194518554687</v>
      </c>
      <c r="I285" s="19" t="n">
        <v>6522.08228918457</v>
      </c>
      <c r="J285" s="19" t="n">
        <v>8246.430403808594</v>
      </c>
      <c r="K285" s="19" t="n">
        <v>6522.08228918457</v>
      </c>
      <c r="L285" s="19" t="n">
        <v>7599.799860824585</v>
      </c>
      <c r="M285" s="19" t="n">
        <v>8246.430403808594</v>
      </c>
      <c r="N285" s="17" t="inlineStr">
        <is>
          <t>C</t>
        </is>
      </c>
      <c r="O285" s="19" t="n">
        <v>3028.764572460937</v>
      </c>
      <c r="P285" s="18" t="inlineStr">
        <is>
          <t>CÂN NHẮC THỬ NGHIỆM</t>
        </is>
      </c>
      <c r="Q285" s="17" t="inlineStr">
        <is>
          <t>Không</t>
        </is>
      </c>
      <c r="R285" s="20" t="n"/>
      <c r="S285" s="20" t="n"/>
      <c r="T285" s="21" t="n"/>
      <c r="U285" s="21" t="n"/>
      <c r="V285" s="22">
        <f>IF(U285="A",K285,IF(U285="B",L285,IF(U285="C",M285,IF(N285="A",K285,IF(N285="B",L285,M285)))))</f>
        <v/>
      </c>
      <c r="W285" s="22">
        <f>IF(R285="",O285,MAX(V285-R285-N(S285),0))</f>
        <v/>
      </c>
      <c r="X285" s="20" t="n"/>
      <c r="Y285" s="23">
        <f>IF(OR(X285="",W285=0),"",X285/W285-1)</f>
        <v/>
      </c>
      <c r="Z285" s="24" t="n"/>
      <c r="AA285" s="21" t="n"/>
      <c r="AB285" s="25" t="n"/>
      <c r="AC285" s="26">
        <f>IF(T285="","Chưa quyết định",IF(OR(Z285="",AA285=""),"⚠ Thiếu lý do/người duyệt",IF(AND(X285&lt;&gt;"",N(X285)+N(R285)+N(S285)&gt;M285*1.001,R285&lt;&gt;""),"⚠ Vượt mục tiêu P90",IF(AND(Y285&lt;&gt;"",ABS(N(Y285))&gt;0.3),"⚠ Lệch &gt; 30% so với nhu cầu",IF(Q285="Có","ℹ Kiểm tra ngoại suy KM","✓ Hợp lệ")))))</f>
        <v/>
      </c>
    </row>
    <row r="286">
      <c r="A286" s="16" t="n">
        <v>282</v>
      </c>
      <c r="B286" s="17" t="inlineStr">
        <is>
          <t>DEC-S40-HOME_CARE</t>
        </is>
      </c>
      <c r="C286" s="16" t="n">
        <v>40</v>
      </c>
      <c r="D286" s="17" t="inlineStr">
        <is>
          <t>HOME CARE</t>
        </is>
      </c>
      <c r="E286" s="17" t="inlineStr">
        <is>
          <t>MEDIUM</t>
        </is>
      </c>
      <c r="F286" s="17" t="inlineStr">
        <is>
          <t>TRUNG BÌNH</t>
        </is>
      </c>
      <c r="G286" s="18" t="inlineStr">
        <is>
          <t>RISK_MEDIUM · LARGE_SERIES</t>
        </is>
      </c>
      <c r="H286" s="19" t="n">
        <v>5187.657677001953</v>
      </c>
      <c r="I286" s="19" t="n">
        <v>6483.059670410156</v>
      </c>
      <c r="J286" s="19" t="n">
        <v>8125.397826416016</v>
      </c>
      <c r="K286" s="19" t="n">
        <v>6483.059670410156</v>
      </c>
      <c r="L286" s="19" t="n">
        <v>7509.521017913818</v>
      </c>
      <c r="M286" s="19" t="n">
        <v>8125.397826416016</v>
      </c>
      <c r="N286" s="17" t="inlineStr">
        <is>
          <t>C</t>
        </is>
      </c>
      <c r="O286" s="19" t="n">
        <v>2938.95009008789</v>
      </c>
      <c r="P286" s="18" t="inlineStr">
        <is>
          <t>KHÔNG ĐỀ XUẤT TĂNG</t>
        </is>
      </c>
      <c r="Q286" s="17" t="inlineStr">
        <is>
          <t>Không</t>
        </is>
      </c>
      <c r="R286" s="20" t="n"/>
      <c r="S286" s="20" t="n"/>
      <c r="T286" s="21" t="n"/>
      <c r="U286" s="21" t="n"/>
      <c r="V286" s="22">
        <f>IF(U286="A",K286,IF(U286="B",L286,IF(U286="C",M286,IF(N286="A",K286,IF(N286="B",L286,M286)))))</f>
        <v/>
      </c>
      <c r="W286" s="22">
        <f>IF(R286="",O286,MAX(V286-R286-N(S286),0))</f>
        <v/>
      </c>
      <c r="X286" s="20" t="n"/>
      <c r="Y286" s="23">
        <f>IF(OR(X286="",W286=0),"",X286/W286-1)</f>
        <v/>
      </c>
      <c r="Z286" s="24" t="n"/>
      <c r="AA286" s="21" t="n"/>
      <c r="AB286" s="25" t="n"/>
      <c r="AC286" s="26">
        <f>IF(T286="","Chưa quyết định",IF(OR(Z286="",AA286=""),"⚠ Thiếu lý do/người duyệt",IF(AND(X286&lt;&gt;"",N(X286)+N(R286)+N(S286)&gt;M286*1.001,R286&lt;&gt;""),"⚠ Vượt mục tiêu P90",IF(AND(Y286&lt;&gt;"",ABS(N(Y286))&gt;0.3),"⚠ Lệch &gt; 30% so với nhu cầu",IF(Q286="Có","ℹ Kiểm tra ngoại suy KM","✓ Hợp lệ")))))</f>
        <v/>
      </c>
    </row>
    <row r="287">
      <c r="A287" s="16" t="n">
        <v>283</v>
      </c>
      <c r="B287" s="17" t="inlineStr">
        <is>
          <t>DEC-S11-POULTRY</t>
        </is>
      </c>
      <c r="C287" s="16" t="n">
        <v>11</v>
      </c>
      <c r="D287" s="17" t="inlineStr">
        <is>
          <t>POULTRY</t>
        </is>
      </c>
      <c r="E287" s="17" t="inlineStr">
        <is>
          <t>MEDIUM</t>
        </is>
      </c>
      <c r="F287" s="17" t="inlineStr">
        <is>
          <t>TRUNG BÌNH</t>
        </is>
      </c>
      <c r="G287" s="18" t="inlineStr">
        <is>
          <t>RISK_MEDIUM · LARGE_SERIES</t>
        </is>
      </c>
      <c r="H287" s="19" t="n">
        <v>5044.022802978516</v>
      </c>
      <c r="I287" s="19" t="n">
        <v>6472.396350830079</v>
      </c>
      <c r="J287" s="19" t="n">
        <v>8278.754424072265</v>
      </c>
      <c r="K287" s="19" t="n">
        <v>6472.396350830079</v>
      </c>
      <c r="L287" s="19" t="n">
        <v>7601.370146606446</v>
      </c>
      <c r="M287" s="19" t="n">
        <v>8278.754424072265</v>
      </c>
      <c r="N287" s="17" t="inlineStr">
        <is>
          <t>C</t>
        </is>
      </c>
      <c r="O287" s="19" t="n">
        <v>3100.837343408202</v>
      </c>
      <c r="P287" s="18" t="inlineStr">
        <is>
          <t>CÂN NHẮC THỬ NGHIỆM</t>
        </is>
      </c>
      <c r="Q287" s="17" t="inlineStr">
        <is>
          <t>Không</t>
        </is>
      </c>
      <c r="R287" s="20" t="n"/>
      <c r="S287" s="20" t="n"/>
      <c r="T287" s="21" t="n"/>
      <c r="U287" s="21" t="n"/>
      <c r="V287" s="22">
        <f>IF(U287="A",K287,IF(U287="B",L287,IF(U287="C",M287,IF(N287="A",K287,IF(N287="B",L287,M287)))))</f>
        <v/>
      </c>
      <c r="W287" s="22">
        <f>IF(R287="",O287,MAX(V287-R287-N(S287),0))</f>
        <v/>
      </c>
      <c r="X287" s="20" t="n"/>
      <c r="Y287" s="23">
        <f>IF(OR(X287="",W287=0),"",X287/W287-1)</f>
        <v/>
      </c>
      <c r="Z287" s="24" t="n"/>
      <c r="AA287" s="21" t="n"/>
      <c r="AB287" s="25" t="n"/>
      <c r="AC287" s="26">
        <f>IF(T287="","Chưa quyết định",IF(OR(Z287="",AA287=""),"⚠ Thiếu lý do/người duyệt",IF(AND(X287&lt;&gt;"",N(X287)+N(R287)+N(S287)&gt;M287*1.001,R287&lt;&gt;""),"⚠ Vượt mục tiêu P90",IF(AND(Y287&lt;&gt;"",ABS(N(Y287))&gt;0.3),"⚠ Lệch &gt; 30% so với nhu cầu",IF(Q287="Có","ℹ Kiểm tra ngoại suy KM","✓ Hợp lệ")))))</f>
        <v/>
      </c>
    </row>
    <row r="288">
      <c r="A288" s="16" t="n">
        <v>284</v>
      </c>
      <c r="B288" s="17" t="inlineStr">
        <is>
          <t>DEC-S49-FROZEN_FOODS</t>
        </is>
      </c>
      <c r="C288" s="16" t="n">
        <v>49</v>
      </c>
      <c r="D288" s="17" t="inlineStr">
        <is>
          <t>FROZEN FOODS</t>
        </is>
      </c>
      <c r="E288" s="17" t="inlineStr">
        <is>
          <t>MEDIUM</t>
        </is>
      </c>
      <c r="F288" s="17" t="inlineStr">
        <is>
          <t>TRUNG BÌNH</t>
        </is>
      </c>
      <c r="G288" s="18" t="inlineStr">
        <is>
          <t>RISK_MEDIUM · LARGE_SERIES</t>
        </is>
      </c>
      <c r="H288" s="19" t="n">
        <v>4904.209350097656</v>
      </c>
      <c r="I288" s="19" t="n">
        <v>6266.097120727539</v>
      </c>
      <c r="J288" s="19" t="n">
        <v>7990.445235351563</v>
      </c>
      <c r="K288" s="19" t="n">
        <v>6266.097120727539</v>
      </c>
      <c r="L288" s="19" t="n">
        <v>7343.814692367554</v>
      </c>
      <c r="M288" s="19" t="n">
        <v>7990.445235351563</v>
      </c>
      <c r="N288" s="17" t="inlineStr">
        <is>
          <t>C</t>
        </is>
      </c>
      <c r="O288" s="19" t="n">
        <v>2977.567538769531</v>
      </c>
      <c r="P288" s="18" t="inlineStr">
        <is>
          <t>CÂN NHẮC THỬ NGHIỆM</t>
        </is>
      </c>
      <c r="Q288" s="17" t="inlineStr">
        <is>
          <t>Không</t>
        </is>
      </c>
      <c r="R288" s="20" t="n"/>
      <c r="S288" s="20" t="n"/>
      <c r="T288" s="21" t="n"/>
      <c r="U288" s="21" t="n"/>
      <c r="V288" s="22">
        <f>IF(U288="A",K288,IF(U288="B",L288,IF(U288="C",M288,IF(N288="A",K288,IF(N288="B",L288,M288)))))</f>
        <v/>
      </c>
      <c r="W288" s="22">
        <f>IF(R288="",O288,MAX(V288-R288-N(S288),0))</f>
        <v/>
      </c>
      <c r="X288" s="20" t="n"/>
      <c r="Y288" s="23">
        <f>IF(OR(X288="",W288=0),"",X288/W288-1)</f>
        <v/>
      </c>
      <c r="Z288" s="24" t="n"/>
      <c r="AA288" s="21" t="n"/>
      <c r="AB288" s="25" t="n"/>
      <c r="AC288" s="26">
        <f>IF(T288="","Chưa quyết định",IF(OR(Z288="",AA288=""),"⚠ Thiếu lý do/người duyệt",IF(AND(X288&lt;&gt;"",N(X288)+N(R288)+N(S288)&gt;M288*1.001,R288&lt;&gt;""),"⚠ Vượt mục tiêu P90",IF(AND(Y288&lt;&gt;"",ABS(N(Y288))&gt;0.3),"⚠ Lệch &gt; 30% so với nhu cầu",IF(Q288="Có","ℹ Kiểm tra ngoại suy KM","✓ Hợp lệ")))))</f>
        <v/>
      </c>
    </row>
    <row r="289">
      <c r="A289" s="16" t="n">
        <v>285</v>
      </c>
      <c r="B289" s="17" t="inlineStr">
        <is>
          <t>DEC-S15-DAIRY</t>
        </is>
      </c>
      <c r="C289" s="16" t="n">
        <v>15</v>
      </c>
      <c r="D289" s="17" t="inlineStr">
        <is>
          <t>DAIRY</t>
        </is>
      </c>
      <c r="E289" s="17" t="inlineStr">
        <is>
          <t>MEDIUM</t>
        </is>
      </c>
      <c r="F289" s="17" t="inlineStr">
        <is>
          <t>TRUNG BÌNH</t>
        </is>
      </c>
      <c r="G289" s="18" t="inlineStr">
        <is>
          <t>RISK_MEDIUM · LARGE_SERIES</t>
        </is>
      </c>
      <c r="H289" s="19" t="n">
        <v>4968.130302734375</v>
      </c>
      <c r="I289" s="19" t="n">
        <v>6263.532296142578</v>
      </c>
      <c r="J289" s="19" t="n">
        <v>7905.870452148438</v>
      </c>
      <c r="K289" s="19" t="n">
        <v>6263.532296142578</v>
      </c>
      <c r="L289" s="19" t="n">
        <v>7289.99364364624</v>
      </c>
      <c r="M289" s="19" t="n">
        <v>7905.870452148438</v>
      </c>
      <c r="N289" s="17" t="inlineStr">
        <is>
          <t>C</t>
        </is>
      </c>
      <c r="O289" s="19" t="n">
        <v>2895.044615234375</v>
      </c>
      <c r="P289" s="18" t="inlineStr">
        <is>
          <t>KHÔNG ĐỀ XUẤT TĂNG</t>
        </is>
      </c>
      <c r="Q289" s="17" t="inlineStr">
        <is>
          <t>Không</t>
        </is>
      </c>
      <c r="R289" s="20" t="n"/>
      <c r="S289" s="20" t="n"/>
      <c r="T289" s="21" t="n"/>
      <c r="U289" s="21" t="n"/>
      <c r="V289" s="22">
        <f>IF(U289="A",K289,IF(U289="B",L289,IF(U289="C",M289,IF(N289="A",K289,IF(N289="B",L289,M289)))))</f>
        <v/>
      </c>
      <c r="W289" s="22">
        <f>IF(R289="",O289,MAX(V289-R289-N(S289),0))</f>
        <v/>
      </c>
      <c r="X289" s="20" t="n"/>
      <c r="Y289" s="23">
        <f>IF(OR(X289="",W289=0),"",X289/W289-1)</f>
        <v/>
      </c>
      <c r="Z289" s="24" t="n"/>
      <c r="AA289" s="21" t="n"/>
      <c r="AB289" s="25" t="n"/>
      <c r="AC289" s="26">
        <f>IF(T289="","Chưa quyết định",IF(OR(Z289="",AA289=""),"⚠ Thiếu lý do/người duyệt",IF(AND(X289&lt;&gt;"",N(X289)+N(R289)+N(S289)&gt;M289*1.001,R289&lt;&gt;""),"⚠ Vượt mục tiêu P90",IF(AND(Y289&lt;&gt;"",ABS(N(Y289))&gt;0.3),"⚠ Lệch &gt; 30% so với nhu cầu",IF(Q289="Có","ℹ Kiểm tra ngoại suy KM","✓ Hợp lệ")))))</f>
        <v/>
      </c>
    </row>
    <row r="290">
      <c r="A290" s="16" t="n">
        <v>286</v>
      </c>
      <c r="B290" s="17" t="inlineStr">
        <is>
          <t>DEC-S12-PRODUCE</t>
        </is>
      </c>
      <c r="C290" s="16" t="n">
        <v>12</v>
      </c>
      <c r="D290" s="17" t="inlineStr">
        <is>
          <t>PRODUCE</t>
        </is>
      </c>
      <c r="E290" s="17" t="inlineStr">
        <is>
          <t>MEDIUM</t>
        </is>
      </c>
      <c r="F290" s="17" t="inlineStr">
        <is>
          <t>TRUNG BÌNH</t>
        </is>
      </c>
      <c r="G290" s="18" t="inlineStr">
        <is>
          <t>RISK_MEDIUM · LARGE_SERIES</t>
        </is>
      </c>
      <c r="H290" s="19" t="n">
        <v>5027.797532226563</v>
      </c>
      <c r="I290" s="19" t="n">
        <v>6256.713748413086</v>
      </c>
      <c r="J290" s="19" t="n">
        <v>7817.041945800781</v>
      </c>
      <c r="K290" s="19" t="n">
        <v>6256.713748413086</v>
      </c>
      <c r="L290" s="19" t="n">
        <v>7231.918871780395</v>
      </c>
      <c r="M290" s="19" t="n">
        <v>7817.041945800781</v>
      </c>
      <c r="N290" s="17" t="inlineStr">
        <is>
          <t>C</t>
        </is>
      </c>
      <c r="O290" s="19" t="n">
        <v>2811.670947070312</v>
      </c>
      <c r="P290" s="18" t="inlineStr">
        <is>
          <t>KHÔNG ĐỀ XUẤT TĂNG</t>
        </is>
      </c>
      <c r="Q290" s="17" t="inlineStr">
        <is>
          <t>Không</t>
        </is>
      </c>
      <c r="R290" s="20" t="n"/>
      <c r="S290" s="20" t="n"/>
      <c r="T290" s="21" t="n"/>
      <c r="U290" s="21" t="n"/>
      <c r="V290" s="22">
        <f>IF(U290="A",K290,IF(U290="B",L290,IF(U290="C",M290,IF(N290="A",K290,IF(N290="B",L290,M290)))))</f>
        <v/>
      </c>
      <c r="W290" s="22">
        <f>IF(R290="",O290,MAX(V290-R290-N(S290),0))</f>
        <v/>
      </c>
      <c r="X290" s="20" t="n"/>
      <c r="Y290" s="23">
        <f>IF(OR(X290="",W290=0),"",X290/W290-1)</f>
        <v/>
      </c>
      <c r="Z290" s="24" t="n"/>
      <c r="AA290" s="21" t="n"/>
      <c r="AB290" s="25" t="n"/>
      <c r="AC290" s="26">
        <f>IF(T290="","Chưa quyết định",IF(OR(Z290="",AA290=""),"⚠ Thiếu lý do/người duyệt",IF(AND(X290&lt;&gt;"",N(X290)+N(R290)+N(S290)&gt;M290*1.001,R290&lt;&gt;""),"⚠ Vượt mục tiêu P90",IF(AND(Y290&lt;&gt;"",ABS(N(Y290))&gt;0.3),"⚠ Lệch &gt; 30% so với nhu cầu",IF(Q290="Có","ℹ Kiểm tra ngoại suy KM","✓ Hợp lệ")))))</f>
        <v/>
      </c>
    </row>
    <row r="291">
      <c r="A291" s="16" t="n">
        <v>287</v>
      </c>
      <c r="B291" s="17" t="inlineStr">
        <is>
          <t>DEC-S08-HOME_CARE</t>
        </is>
      </c>
      <c r="C291" s="16" t="n">
        <v>8</v>
      </c>
      <c r="D291" s="17" t="inlineStr">
        <is>
          <t>HOME CARE</t>
        </is>
      </c>
      <c r="E291" s="17" t="inlineStr">
        <is>
          <t>MEDIUM</t>
        </is>
      </c>
      <c r="F291" s="17" t="inlineStr">
        <is>
          <t>TRUNG BÌNH</t>
        </is>
      </c>
      <c r="G291" s="18" t="inlineStr">
        <is>
          <t>RISK_MEDIUM · LARGE_SERIES</t>
        </is>
      </c>
      <c r="H291" s="19" t="n">
        <v>5090.276864990235</v>
      </c>
      <c r="I291" s="19" t="n">
        <v>6252.707303955078</v>
      </c>
      <c r="J291" s="19" t="n">
        <v>7731.025542724609</v>
      </c>
      <c r="K291" s="19" t="n">
        <v>6252.707303955078</v>
      </c>
      <c r="L291" s="19" t="n">
        <v>7176.656203186035</v>
      </c>
      <c r="M291" s="19" t="n">
        <v>7731.025542724609</v>
      </c>
      <c r="N291" s="17" t="inlineStr">
        <is>
          <t>C</t>
        </is>
      </c>
      <c r="O291" s="19" t="n">
        <v>2728.859699560547</v>
      </c>
      <c r="P291" s="18" t="inlineStr">
        <is>
          <t>KHÔNG ĐỀ XUẤT TĂNG</t>
        </is>
      </c>
      <c r="Q291" s="17" t="inlineStr">
        <is>
          <t>Không</t>
        </is>
      </c>
      <c r="R291" s="20" t="n"/>
      <c r="S291" s="20" t="n"/>
      <c r="T291" s="21" t="n"/>
      <c r="U291" s="21" t="n"/>
      <c r="V291" s="22">
        <f>IF(U291="A",K291,IF(U291="B",L291,IF(U291="C",M291,IF(N291="A",K291,IF(N291="B",L291,M291)))))</f>
        <v/>
      </c>
      <c r="W291" s="22">
        <f>IF(R291="",O291,MAX(V291-R291-N(S291),0))</f>
        <v/>
      </c>
      <c r="X291" s="20" t="n"/>
      <c r="Y291" s="23">
        <f>IF(OR(X291="",W291=0),"",X291/W291-1)</f>
        <v/>
      </c>
      <c r="Z291" s="24" t="n"/>
      <c r="AA291" s="21" t="n"/>
      <c r="AB291" s="25" t="n"/>
      <c r="AC291" s="26">
        <f>IF(T291="","Chưa quyết định",IF(OR(Z291="",AA291=""),"⚠ Thiếu lý do/người duyệt",IF(AND(X291&lt;&gt;"",N(X291)+N(R291)+N(S291)&gt;M291*1.001,R291&lt;&gt;""),"⚠ Vượt mục tiêu P90",IF(AND(Y291&lt;&gt;"",ABS(N(Y291))&gt;0.3),"⚠ Lệch &gt; 30% so với nhu cầu",IF(Q291="Có","ℹ Kiểm tra ngoại suy KM","✓ Hợp lệ")))))</f>
        <v/>
      </c>
    </row>
    <row r="292">
      <c r="A292" s="16" t="n">
        <v>288</v>
      </c>
      <c r="B292" s="17" t="inlineStr">
        <is>
          <t>DEC-S39-HOME_CARE</t>
        </is>
      </c>
      <c r="C292" s="16" t="n">
        <v>39</v>
      </c>
      <c r="D292" s="17" t="inlineStr">
        <is>
          <t>HOME CARE</t>
        </is>
      </c>
      <c r="E292" s="17" t="inlineStr">
        <is>
          <t>MEDIUM</t>
        </is>
      </c>
      <c r="F292" s="17" t="inlineStr">
        <is>
          <t>TRUNG BÌNH</t>
        </is>
      </c>
      <c r="G292" s="18" t="inlineStr">
        <is>
          <t>RISK_MEDIUM · LARGE_SERIES</t>
        </is>
      </c>
      <c r="H292" s="19" t="n">
        <v>4949.844688720703</v>
      </c>
      <c r="I292" s="19" t="n">
        <v>6245.246682128906</v>
      </c>
      <c r="J292" s="19" t="n">
        <v>7887.584838134766</v>
      </c>
      <c r="K292" s="19" t="n">
        <v>6245.246682128906</v>
      </c>
      <c r="L292" s="19" t="n">
        <v>7271.708029632568</v>
      </c>
      <c r="M292" s="19" t="n">
        <v>7887.584838134766</v>
      </c>
      <c r="N292" s="17" t="inlineStr">
        <is>
          <t>C</t>
        </is>
      </c>
      <c r="O292" s="19" t="n">
        <v>2891.387492431641</v>
      </c>
      <c r="P292" s="18" t="inlineStr">
        <is>
          <t>KHÔNG ĐỀ XUẤT TĂNG</t>
        </is>
      </c>
      <c r="Q292" s="17" t="inlineStr">
        <is>
          <t>Không</t>
        </is>
      </c>
      <c r="R292" s="20" t="n"/>
      <c r="S292" s="20" t="n"/>
      <c r="T292" s="21" t="n"/>
      <c r="U292" s="21" t="n"/>
      <c r="V292" s="22">
        <f>IF(U292="A",K292,IF(U292="B",L292,IF(U292="C",M292,IF(N292="A",K292,IF(N292="B",L292,M292)))))</f>
        <v/>
      </c>
      <c r="W292" s="22">
        <f>IF(R292="",O292,MAX(V292-R292-N(S292),0))</f>
        <v/>
      </c>
      <c r="X292" s="20" t="n"/>
      <c r="Y292" s="23">
        <f>IF(OR(X292="",W292=0),"",X292/W292-1)</f>
        <v/>
      </c>
      <c r="Z292" s="24" t="n"/>
      <c r="AA292" s="21" t="n"/>
      <c r="AB292" s="25" t="n"/>
      <c r="AC292" s="26">
        <f>IF(T292="","Chưa quyết định",IF(OR(Z292="",AA292=""),"⚠ Thiếu lý do/người duyệt",IF(AND(X292&lt;&gt;"",N(X292)+N(R292)+N(S292)&gt;M292*1.001,R292&lt;&gt;""),"⚠ Vượt mục tiêu P90",IF(AND(Y292&lt;&gt;"",ABS(N(Y292))&gt;0.3),"⚠ Lệch &gt; 30% so với nhu cầu",IF(Q292="Có","ℹ Kiểm tra ngoại suy KM","✓ Hợp lệ")))))</f>
        <v/>
      </c>
    </row>
    <row r="293">
      <c r="A293" s="16" t="n">
        <v>289</v>
      </c>
      <c r="B293" s="17" t="inlineStr">
        <is>
          <t>DEC-S52-DELI</t>
        </is>
      </c>
      <c r="C293" s="16" t="n">
        <v>52</v>
      </c>
      <c r="D293" s="17" t="inlineStr">
        <is>
          <t>DELI</t>
        </is>
      </c>
      <c r="E293" s="17" t="inlineStr">
        <is>
          <t>MEDIUM</t>
        </is>
      </c>
      <c r="F293" s="17" t="inlineStr">
        <is>
          <t>TRUNG BÌNH</t>
        </is>
      </c>
      <c r="G293" s="18" t="inlineStr">
        <is>
          <t>RISK_MEDIUM · LARGE_SERIES</t>
        </is>
      </c>
      <c r="H293" s="19" t="n">
        <v>4853.634429443359</v>
      </c>
      <c r="I293" s="19" t="n">
        <v>6215.522200073242</v>
      </c>
      <c r="J293" s="19" t="n">
        <v>7939.870314697266</v>
      </c>
      <c r="K293" s="19" t="n">
        <v>6215.522200073242</v>
      </c>
      <c r="L293" s="19" t="n">
        <v>7293.239771713257</v>
      </c>
      <c r="M293" s="19" t="n">
        <v>7939.870314697266</v>
      </c>
      <c r="N293" s="17" t="inlineStr">
        <is>
          <t>C</t>
        </is>
      </c>
      <c r="O293" s="19" t="n">
        <v>2967.452554638672</v>
      </c>
      <c r="P293" s="18" t="inlineStr">
        <is>
          <t>KHÔNG ĐỀ XUẤT TĂNG</t>
        </is>
      </c>
      <c r="Q293" s="17" t="inlineStr">
        <is>
          <t>Không</t>
        </is>
      </c>
      <c r="R293" s="20" t="n"/>
      <c r="S293" s="20" t="n"/>
      <c r="T293" s="21" t="n"/>
      <c r="U293" s="21" t="n"/>
      <c r="V293" s="22">
        <f>IF(U293="A",K293,IF(U293="B",L293,IF(U293="C",M293,IF(N293="A",K293,IF(N293="B",L293,M293)))))</f>
        <v/>
      </c>
      <c r="W293" s="22">
        <f>IF(R293="",O293,MAX(V293-R293-N(S293),0))</f>
        <v/>
      </c>
      <c r="X293" s="20" t="n"/>
      <c r="Y293" s="23">
        <f>IF(OR(X293="",W293=0),"",X293/W293-1)</f>
        <v/>
      </c>
      <c r="Z293" s="24" t="n"/>
      <c r="AA293" s="21" t="n"/>
      <c r="AB293" s="25" t="n"/>
      <c r="AC293" s="26">
        <f>IF(T293="","Chưa quyết định",IF(OR(Z293="",AA293=""),"⚠ Thiếu lý do/người duyệt",IF(AND(X293&lt;&gt;"",N(X293)+N(R293)+N(S293)&gt;M293*1.001,R293&lt;&gt;""),"⚠ Vượt mục tiêu P90",IF(AND(Y293&lt;&gt;"",ABS(N(Y293))&gt;0.3),"⚠ Lệch &gt; 30% so với nhu cầu",IF(Q293="Có","ℹ Kiểm tra ngoại suy KM","✓ Hợp lệ")))))</f>
        <v/>
      </c>
    </row>
    <row r="294">
      <c r="A294" s="16" t="n">
        <v>290</v>
      </c>
      <c r="B294" s="17" t="inlineStr">
        <is>
          <t>DEC-S47-EGGS</t>
        </is>
      </c>
      <c r="C294" s="16" t="n">
        <v>47</v>
      </c>
      <c r="D294" s="17" t="inlineStr">
        <is>
          <t>EGGS</t>
        </is>
      </c>
      <c r="E294" s="17" t="inlineStr">
        <is>
          <t>MEDIUM</t>
        </is>
      </c>
      <c r="F294" s="17" t="inlineStr">
        <is>
          <t>TRUNG BÌNH</t>
        </is>
      </c>
      <c r="G294" s="18" t="inlineStr">
        <is>
          <t>RISK_MEDIUM · LARGE_SERIES</t>
        </is>
      </c>
      <c r="H294" s="19" t="n">
        <v>4981.659241821289</v>
      </c>
      <c r="I294" s="19" t="n">
        <v>6210.575458007813</v>
      </c>
      <c r="J294" s="19" t="n">
        <v>7770.903655395507</v>
      </c>
      <c r="K294" s="19" t="n">
        <v>6210.575458007813</v>
      </c>
      <c r="L294" s="19" t="n">
        <v>7185.780581375122</v>
      </c>
      <c r="M294" s="19" t="n">
        <v>7770.903655395507</v>
      </c>
      <c r="N294" s="17" t="inlineStr">
        <is>
          <t>C</t>
        </is>
      </c>
      <c r="O294" s="19" t="n">
        <v>2802.443288989257</v>
      </c>
      <c r="P294" s="18" t="inlineStr">
        <is>
          <t>CÂN NHẮC THỬ NGHIỆM</t>
        </is>
      </c>
      <c r="Q294" s="17" t="inlineStr">
        <is>
          <t>Không</t>
        </is>
      </c>
      <c r="R294" s="20" t="n"/>
      <c r="S294" s="20" t="n"/>
      <c r="T294" s="21" t="n"/>
      <c r="U294" s="21" t="n"/>
      <c r="V294" s="22">
        <f>IF(U294="A",K294,IF(U294="B",L294,IF(U294="C",M294,IF(N294="A",K294,IF(N294="B",L294,M294)))))</f>
        <v/>
      </c>
      <c r="W294" s="22">
        <f>IF(R294="",O294,MAX(V294-R294-N(S294),0))</f>
        <v/>
      </c>
      <c r="X294" s="20" t="n"/>
      <c r="Y294" s="23">
        <f>IF(OR(X294="",W294=0),"",X294/W294-1)</f>
        <v/>
      </c>
      <c r="Z294" s="24" t="n"/>
      <c r="AA294" s="21" t="n"/>
      <c r="AB294" s="25" t="n"/>
      <c r="AC294" s="26">
        <f>IF(T294="","Chưa quyết định",IF(OR(Z294="",AA294=""),"⚠ Thiếu lý do/người duyệt",IF(AND(X294&lt;&gt;"",N(X294)+N(R294)+N(S294)&gt;M294*1.001,R294&lt;&gt;""),"⚠ Vượt mục tiêu P90",IF(AND(Y294&lt;&gt;"",ABS(N(Y294))&gt;0.3),"⚠ Lệch &gt; 30% so với nhu cầu",IF(Q294="Có","ℹ Kiểm tra ngoại suy KM","✓ Hợp lệ")))))</f>
        <v/>
      </c>
    </row>
    <row r="295">
      <c r="A295" s="16" t="n">
        <v>291</v>
      </c>
      <c r="B295" s="17" t="inlineStr">
        <is>
          <t>DEC-S09-MEATS</t>
        </is>
      </c>
      <c r="C295" s="16" t="n">
        <v>9</v>
      </c>
      <c r="D295" s="17" t="inlineStr">
        <is>
          <t>MEATS</t>
        </is>
      </c>
      <c r="E295" s="17" t="inlineStr">
        <is>
          <t>MEDIUM</t>
        </is>
      </c>
      <c r="F295" s="17" t="inlineStr">
        <is>
          <t>TRUNG BÌNH</t>
        </is>
      </c>
      <c r="G295" s="18" t="inlineStr">
        <is>
          <t>RISK_MEDIUM · LARGE_SERIES</t>
        </is>
      </c>
      <c r="H295" s="19" t="n">
        <v>4884.759636230468</v>
      </c>
      <c r="I295" s="19" t="n">
        <v>6180.161629638672</v>
      </c>
      <c r="J295" s="19" t="n">
        <v>7822.499785644532</v>
      </c>
      <c r="K295" s="19" t="n">
        <v>6180.161629638672</v>
      </c>
      <c r="L295" s="19" t="n">
        <v>7206.622977142334</v>
      </c>
      <c r="M295" s="19" t="n">
        <v>7822.499785644532</v>
      </c>
      <c r="N295" s="17" t="inlineStr">
        <is>
          <t>C</t>
        </is>
      </c>
      <c r="O295" s="19" t="n">
        <v>2878.370481933593</v>
      </c>
      <c r="P295" s="18" t="inlineStr">
        <is>
          <t>CÂN NHẮC THỬ NGHIỆM</t>
        </is>
      </c>
      <c r="Q295" s="17" t="inlineStr">
        <is>
          <t>Không</t>
        </is>
      </c>
      <c r="R295" s="20" t="n"/>
      <c r="S295" s="20" t="n"/>
      <c r="T295" s="21" t="n"/>
      <c r="U295" s="21" t="n"/>
      <c r="V295" s="22">
        <f>IF(U295="A",K295,IF(U295="B",L295,IF(U295="C",M295,IF(N295="A",K295,IF(N295="B",L295,M295)))))</f>
        <v/>
      </c>
      <c r="W295" s="22">
        <f>IF(R295="",O295,MAX(V295-R295-N(S295),0))</f>
        <v/>
      </c>
      <c r="X295" s="20" t="n"/>
      <c r="Y295" s="23">
        <f>IF(OR(X295="",W295=0),"",X295/W295-1)</f>
        <v/>
      </c>
      <c r="Z295" s="24" t="n"/>
      <c r="AA295" s="21" t="n"/>
      <c r="AB295" s="25" t="n"/>
      <c r="AC295" s="26">
        <f>IF(T295="","Chưa quyết định",IF(OR(Z295="",AA295=""),"⚠ Thiếu lý do/người duyệt",IF(AND(X295&lt;&gt;"",N(X295)+N(R295)+N(S295)&gt;M295*1.001,R295&lt;&gt;""),"⚠ Vượt mục tiêu P90",IF(AND(Y295&lt;&gt;"",ABS(N(Y295))&gt;0.3),"⚠ Lệch &gt; 30% so với nhu cầu",IF(Q295="Có","ℹ Kiểm tra ngoại suy KM","✓ Hợp lệ")))))</f>
        <v/>
      </c>
    </row>
    <row r="296">
      <c r="A296" s="16" t="n">
        <v>292</v>
      </c>
      <c r="B296" s="17" t="inlineStr">
        <is>
          <t>DEC-S38-PERSONAL_CARE</t>
        </is>
      </c>
      <c r="C296" s="16" t="n">
        <v>38</v>
      </c>
      <c r="D296" s="17" t="inlineStr">
        <is>
          <t>PERSONAL CARE</t>
        </is>
      </c>
      <c r="E296" s="17" t="inlineStr">
        <is>
          <t>MEDIUM</t>
        </is>
      </c>
      <c r="F296" s="17" t="inlineStr">
        <is>
          <t>TRUNG BÌNH</t>
        </is>
      </c>
      <c r="G296" s="18" t="inlineStr">
        <is>
          <t>RISK_MEDIUM · LARGE_SERIES</t>
        </is>
      </c>
      <c r="H296" s="19" t="n">
        <v>4937.3623515625</v>
      </c>
      <c r="I296" s="19" t="n">
        <v>6166.278567749024</v>
      </c>
      <c r="J296" s="19" t="n">
        <v>7726.606765136718</v>
      </c>
      <c r="K296" s="19" t="n">
        <v>6166.278567749024</v>
      </c>
      <c r="L296" s="19" t="n">
        <v>7141.483691116333</v>
      </c>
      <c r="M296" s="19" t="n">
        <v>7726.606765136718</v>
      </c>
      <c r="N296" s="17" t="inlineStr">
        <is>
          <t>C</t>
        </is>
      </c>
      <c r="O296" s="19" t="n">
        <v>2793.583910937499</v>
      </c>
      <c r="P296" s="18" t="inlineStr">
        <is>
          <t>KHÔNG ĐỀ XUẤT TĂNG</t>
        </is>
      </c>
      <c r="Q296" s="17" t="inlineStr">
        <is>
          <t>Không</t>
        </is>
      </c>
      <c r="R296" s="20" t="n"/>
      <c r="S296" s="20" t="n"/>
      <c r="T296" s="21" t="n"/>
      <c r="U296" s="21" t="n"/>
      <c r="V296" s="22">
        <f>IF(U296="A",K296,IF(U296="B",L296,IF(U296="C",M296,IF(N296="A",K296,IF(N296="B",L296,M296)))))</f>
        <v/>
      </c>
      <c r="W296" s="22">
        <f>IF(R296="",O296,MAX(V296-R296-N(S296),0))</f>
        <v/>
      </c>
      <c r="X296" s="20" t="n"/>
      <c r="Y296" s="23">
        <f>IF(OR(X296="",W296=0),"",X296/W296-1)</f>
        <v/>
      </c>
      <c r="Z296" s="24" t="n"/>
      <c r="AA296" s="21" t="n"/>
      <c r="AB296" s="25" t="n"/>
      <c r="AC296" s="26">
        <f>IF(T296="","Chưa quyết định",IF(OR(Z296="",AA296=""),"⚠ Thiếu lý do/người duyệt",IF(AND(X296&lt;&gt;"",N(X296)+N(R296)+N(S296)&gt;M296*1.001,R296&lt;&gt;""),"⚠ Vượt mục tiêu P90",IF(AND(Y296&lt;&gt;"",ABS(N(Y296))&gt;0.3),"⚠ Lệch &gt; 30% so với nhu cầu",IF(Q296="Có","ℹ Kiểm tra ngoại suy KM","✓ Hợp lệ")))))</f>
        <v/>
      </c>
    </row>
    <row r="297">
      <c r="A297" s="16" t="n">
        <v>293</v>
      </c>
      <c r="B297" s="17" t="inlineStr">
        <is>
          <t>DEC-S19-DAIRY</t>
        </is>
      </c>
      <c r="C297" s="16" t="n">
        <v>19</v>
      </c>
      <c r="D297" s="17" t="inlineStr">
        <is>
          <t>DAIRY</t>
        </is>
      </c>
      <c r="E297" s="17" t="inlineStr">
        <is>
          <t>MEDIUM</t>
        </is>
      </c>
      <c r="F297" s="17" t="inlineStr">
        <is>
          <t>TRUNG BÌNH</t>
        </is>
      </c>
      <c r="G297" s="18" t="inlineStr">
        <is>
          <t>RISK_MEDIUM · LARGE_SERIES</t>
        </is>
      </c>
      <c r="H297" s="19" t="n">
        <v>4910.539231445313</v>
      </c>
      <c r="I297" s="19" t="n">
        <v>6139.455447631835</v>
      </c>
      <c r="J297" s="19" t="n">
        <v>7699.783645019531</v>
      </c>
      <c r="K297" s="19" t="n">
        <v>6139.455447631835</v>
      </c>
      <c r="L297" s="19" t="n">
        <v>7114.660570999145</v>
      </c>
      <c r="M297" s="19" t="n">
        <v>7699.783645019531</v>
      </c>
      <c r="N297" s="17" t="inlineStr">
        <is>
          <t>C</t>
        </is>
      </c>
      <c r="O297" s="19" t="n">
        <v>2788.219286914062</v>
      </c>
      <c r="P297" s="18" t="inlineStr">
        <is>
          <t>KHÔNG ĐỀ XUẤT TĂNG</t>
        </is>
      </c>
      <c r="Q297" s="17" t="inlineStr">
        <is>
          <t>Không</t>
        </is>
      </c>
      <c r="R297" s="20" t="n"/>
      <c r="S297" s="20" t="n"/>
      <c r="T297" s="21" t="n"/>
      <c r="U297" s="21" t="n"/>
      <c r="V297" s="22">
        <f>IF(U297="A",K297,IF(U297="B",L297,IF(U297="C",M297,IF(N297="A",K297,IF(N297="B",L297,M297)))))</f>
        <v/>
      </c>
      <c r="W297" s="22">
        <f>IF(R297="",O297,MAX(V297-R297-N(S297),0))</f>
        <v/>
      </c>
      <c r="X297" s="20" t="n"/>
      <c r="Y297" s="23">
        <f>IF(OR(X297="",W297=0),"",X297/W297-1)</f>
        <v/>
      </c>
      <c r="Z297" s="24" t="n"/>
      <c r="AA297" s="21" t="n"/>
      <c r="AB297" s="25" t="n"/>
      <c r="AC297" s="26">
        <f>IF(T297="","Chưa quyết định",IF(OR(Z297="",AA297=""),"⚠ Thiếu lý do/người duyệt",IF(AND(X297&lt;&gt;"",N(X297)+N(R297)+N(S297)&gt;M297*1.001,R297&lt;&gt;""),"⚠ Vượt mục tiêu P90",IF(AND(Y297&lt;&gt;"",ABS(N(Y297))&gt;0.3),"⚠ Lệch &gt; 30% so với nhu cầu",IF(Q297="Có","ℹ Kiểm tra ngoại suy KM","✓ Hợp lệ")))))</f>
        <v/>
      </c>
    </row>
    <row r="298">
      <c r="A298" s="16" t="n">
        <v>294</v>
      </c>
      <c r="B298" s="17" t="inlineStr">
        <is>
          <t>DEC-S31-MEATS</t>
        </is>
      </c>
      <c r="C298" s="16" t="n">
        <v>31</v>
      </c>
      <c r="D298" s="17" t="inlineStr">
        <is>
          <t>MEATS</t>
        </is>
      </c>
      <c r="E298" s="17" t="inlineStr">
        <is>
          <t>MEDIUM</t>
        </is>
      </c>
      <c r="F298" s="17" t="inlineStr">
        <is>
          <t>TRUNG BÌNH</t>
        </is>
      </c>
      <c r="G298" s="18" t="inlineStr">
        <is>
          <t>RISK_MEDIUM · LARGE_SERIES</t>
        </is>
      </c>
      <c r="H298" s="19" t="n">
        <v>4975.8002109375</v>
      </c>
      <c r="I298" s="19" t="n">
        <v>6138.230649902343</v>
      </c>
      <c r="J298" s="19" t="n">
        <v>7616.548888671875</v>
      </c>
      <c r="K298" s="19" t="n">
        <v>6138.230649902343</v>
      </c>
      <c r="L298" s="19" t="n">
        <v>7062.1795491333</v>
      </c>
      <c r="M298" s="19" t="n">
        <v>7616.548888671875</v>
      </c>
      <c r="N298" s="17" t="inlineStr">
        <is>
          <t>C</t>
        </is>
      </c>
      <c r="O298" s="19" t="n">
        <v>2705.96436875</v>
      </c>
      <c r="P298" s="18" t="inlineStr">
        <is>
          <t>CÂN NHẮC THỬ NGHIỆM</t>
        </is>
      </c>
      <c r="Q298" s="17" t="inlineStr">
        <is>
          <t>Không</t>
        </is>
      </c>
      <c r="R298" s="20" t="n"/>
      <c r="S298" s="20" t="n"/>
      <c r="T298" s="21" t="n"/>
      <c r="U298" s="21" t="n"/>
      <c r="V298" s="22">
        <f>IF(U298="A",K298,IF(U298="B",L298,IF(U298="C",M298,IF(N298="A",K298,IF(N298="B",L298,M298)))))</f>
        <v/>
      </c>
      <c r="W298" s="22">
        <f>IF(R298="",O298,MAX(V298-R298-N(S298),0))</f>
        <v/>
      </c>
      <c r="X298" s="20" t="n"/>
      <c r="Y298" s="23">
        <f>IF(OR(X298="",W298=0),"",X298/W298-1)</f>
        <v/>
      </c>
      <c r="Z298" s="24" t="n"/>
      <c r="AA298" s="21" t="n"/>
      <c r="AB298" s="25" t="n"/>
      <c r="AC298" s="26">
        <f>IF(T298="","Chưa quyết định",IF(OR(Z298="",AA298=""),"⚠ Thiếu lý do/người duyệt",IF(AND(X298&lt;&gt;"",N(X298)+N(R298)+N(S298)&gt;M298*1.001,R298&lt;&gt;""),"⚠ Vượt mục tiêu P90",IF(AND(Y298&lt;&gt;"",ABS(N(Y298))&gt;0.3),"⚠ Lệch &gt; 30% so với nhu cầu",IF(Q298="Có","ℹ Kiểm tra ngoại suy KM","✓ Hợp lệ")))))</f>
        <v/>
      </c>
    </row>
    <row r="299">
      <c r="A299" s="16" t="n">
        <v>295</v>
      </c>
      <c r="B299" s="17" t="inlineStr">
        <is>
          <t>DEC-S04-MEATS</t>
        </is>
      </c>
      <c r="C299" s="16" t="n">
        <v>4</v>
      </c>
      <c r="D299" s="17" t="inlineStr">
        <is>
          <t>MEATS</t>
        </is>
      </c>
      <c r="E299" s="17" t="inlineStr">
        <is>
          <t>MEDIUM</t>
        </is>
      </c>
      <c r="F299" s="17" t="inlineStr">
        <is>
          <t>TRUNG BÌNH</t>
        </is>
      </c>
      <c r="G299" s="18" t="inlineStr">
        <is>
          <t>RISK_MEDIUM · LARGE_SERIES</t>
        </is>
      </c>
      <c r="H299" s="19" t="n">
        <v>4945.95064050293</v>
      </c>
      <c r="I299" s="19" t="n">
        <v>6041.895302246094</v>
      </c>
      <c r="J299" s="19" t="n">
        <v>7438.203582397461</v>
      </c>
      <c r="K299" s="19" t="n">
        <v>6041.895302246094</v>
      </c>
      <c r="L299" s="19" t="n">
        <v>6914.587977340699</v>
      </c>
      <c r="M299" s="19" t="n">
        <v>7438.203582397461</v>
      </c>
      <c r="N299" s="17" t="inlineStr">
        <is>
          <t>C</t>
        </is>
      </c>
      <c r="O299" s="19" t="n">
        <v>2604.687340600586</v>
      </c>
      <c r="P299" s="18" t="inlineStr">
        <is>
          <t>CÂN NHẮC THỬ NGHIỆM</t>
        </is>
      </c>
      <c r="Q299" s="17" t="inlineStr">
        <is>
          <t>Không</t>
        </is>
      </c>
      <c r="R299" s="20" t="n"/>
      <c r="S299" s="20" t="n"/>
      <c r="T299" s="21" t="n"/>
      <c r="U299" s="21" t="n"/>
      <c r="V299" s="22">
        <f>IF(U299="A",K299,IF(U299="B",L299,IF(U299="C",M299,IF(N299="A",K299,IF(N299="B",L299,M299)))))</f>
        <v/>
      </c>
      <c r="W299" s="22">
        <f>IF(R299="",O299,MAX(V299-R299-N(S299),0))</f>
        <v/>
      </c>
      <c r="X299" s="20" t="n"/>
      <c r="Y299" s="23">
        <f>IF(OR(X299="",W299=0),"",X299/W299-1)</f>
        <v/>
      </c>
      <c r="Z299" s="24" t="n"/>
      <c r="AA299" s="21" t="n"/>
      <c r="AB299" s="25" t="n"/>
      <c r="AC299" s="26">
        <f>IF(T299="","Chưa quyết định",IF(OR(Z299="",AA299=""),"⚠ Thiếu lý do/người duyệt",IF(AND(X299&lt;&gt;"",N(X299)+N(R299)+N(S299)&gt;M299*1.001,R299&lt;&gt;""),"⚠ Vượt mục tiêu P90",IF(AND(Y299&lt;&gt;"",ABS(N(Y299))&gt;0.3),"⚠ Lệch &gt; 30% so với nhu cầu",IF(Q299="Có","ℹ Kiểm tra ngoại suy KM","✓ Hợp lệ")))))</f>
        <v/>
      </c>
    </row>
    <row r="300">
      <c r="A300" s="16" t="n">
        <v>296</v>
      </c>
      <c r="B300" s="17" t="inlineStr">
        <is>
          <t>DEC-S03-FROZEN_FOODS</t>
        </is>
      </c>
      <c r="C300" s="16" t="n">
        <v>3</v>
      </c>
      <c r="D300" s="17" t="inlineStr">
        <is>
          <t>FROZEN FOODS</t>
        </is>
      </c>
      <c r="E300" s="17" t="inlineStr">
        <is>
          <t>MEDIUM</t>
        </is>
      </c>
      <c r="F300" s="17" t="inlineStr">
        <is>
          <t>TRUNG BÌNH</t>
        </is>
      </c>
      <c r="G300" s="18" t="inlineStr">
        <is>
          <t>RISK_MEDIUM · LARGE_SERIES</t>
        </is>
      </c>
      <c r="H300" s="19" t="n">
        <v>4770.821732666016</v>
      </c>
      <c r="I300" s="19" t="n">
        <v>5999.737948852539</v>
      </c>
      <c r="J300" s="19" t="n">
        <v>7560.066146240234</v>
      </c>
      <c r="K300" s="19" t="n">
        <v>5999.737948852539</v>
      </c>
      <c r="L300" s="19" t="n">
        <v>6974.943072219849</v>
      </c>
      <c r="M300" s="19" t="n">
        <v>7560.066146240234</v>
      </c>
      <c r="N300" s="17" t="inlineStr">
        <is>
          <t>C</t>
        </is>
      </c>
      <c r="O300" s="19" t="n">
        <v>2760.275787158202</v>
      </c>
      <c r="P300" s="18" t="inlineStr">
        <is>
          <t>CÂN NHẮC THỬ NGHIỆM</t>
        </is>
      </c>
      <c r="Q300" s="17" t="inlineStr">
        <is>
          <t>Không</t>
        </is>
      </c>
      <c r="R300" s="20" t="n"/>
      <c r="S300" s="20" t="n"/>
      <c r="T300" s="21" t="n"/>
      <c r="U300" s="21" t="n"/>
      <c r="V300" s="22">
        <f>IF(U300="A",K300,IF(U300="B",L300,IF(U300="C",M300,IF(N300="A",K300,IF(N300="B",L300,M300)))))</f>
        <v/>
      </c>
      <c r="W300" s="22">
        <f>IF(R300="",O300,MAX(V300-R300-N(S300),0))</f>
        <v/>
      </c>
      <c r="X300" s="20" t="n"/>
      <c r="Y300" s="23">
        <f>IF(OR(X300="",W300=0),"",X300/W300-1)</f>
        <v/>
      </c>
      <c r="Z300" s="24" t="n"/>
      <c r="AA300" s="21" t="n"/>
      <c r="AB300" s="25" t="n"/>
      <c r="AC300" s="26">
        <f>IF(T300="","Chưa quyết định",IF(OR(Z300="",AA300=""),"⚠ Thiếu lý do/người duyệt",IF(AND(X300&lt;&gt;"",N(X300)+N(R300)+N(S300)&gt;M300*1.001,R300&lt;&gt;""),"⚠ Vượt mục tiêu P90",IF(AND(Y300&lt;&gt;"",ABS(N(Y300))&gt;0.3),"⚠ Lệch &gt; 30% so với nhu cầu",IF(Q300="Có","ℹ Kiểm tra ngoại suy KM","✓ Hợp lệ")))))</f>
        <v/>
      </c>
    </row>
    <row r="301">
      <c r="A301" s="16" t="n">
        <v>297</v>
      </c>
      <c r="B301" s="17" t="inlineStr">
        <is>
          <t>DEC-S06-DELI</t>
        </is>
      </c>
      <c r="C301" s="16" t="n">
        <v>6</v>
      </c>
      <c r="D301" s="17" t="inlineStr">
        <is>
          <t>DELI</t>
        </is>
      </c>
      <c r="E301" s="17" t="inlineStr">
        <is>
          <t>MEDIUM</t>
        </is>
      </c>
      <c r="F301" s="17" t="inlineStr">
        <is>
          <t>TRUNG BÌNH</t>
        </is>
      </c>
      <c r="G301" s="18" t="inlineStr">
        <is>
          <t>RISK_MEDIUM · LARGE_SERIES</t>
        </is>
      </c>
      <c r="H301" s="19" t="n">
        <v>4764.192155029297</v>
      </c>
      <c r="I301" s="19" t="n">
        <v>5993.108371215821</v>
      </c>
      <c r="J301" s="19" t="n">
        <v>7553.436568603515</v>
      </c>
      <c r="K301" s="19" t="n">
        <v>5993.108371215821</v>
      </c>
      <c r="L301" s="19" t="n">
        <v>6968.31349458313</v>
      </c>
      <c r="M301" s="19" t="n">
        <v>7553.436568603515</v>
      </c>
      <c r="N301" s="17" t="inlineStr">
        <is>
          <t>C</t>
        </is>
      </c>
      <c r="O301" s="19" t="n">
        <v>2758.949871630859</v>
      </c>
      <c r="P301" s="18" t="inlineStr">
        <is>
          <t>KHÔNG ĐỀ XUẤT TĂNG</t>
        </is>
      </c>
      <c r="Q301" s="17" t="inlineStr">
        <is>
          <t>Không</t>
        </is>
      </c>
      <c r="R301" s="20" t="n"/>
      <c r="S301" s="20" t="n"/>
      <c r="T301" s="21" t="n"/>
      <c r="U301" s="21" t="n"/>
      <c r="V301" s="22">
        <f>IF(U301="A",K301,IF(U301="B",L301,IF(U301="C",M301,IF(N301="A",K301,IF(N301="B",L301,M301)))))</f>
        <v/>
      </c>
      <c r="W301" s="22">
        <f>IF(R301="",O301,MAX(V301-R301-N(S301),0))</f>
        <v/>
      </c>
      <c r="X301" s="20" t="n"/>
      <c r="Y301" s="23">
        <f>IF(OR(X301="",W301=0),"",X301/W301-1)</f>
        <v/>
      </c>
      <c r="Z301" s="24" t="n"/>
      <c r="AA301" s="21" t="n"/>
      <c r="AB301" s="25" t="n"/>
      <c r="AC301" s="26">
        <f>IF(T301="","Chưa quyết định",IF(OR(Z301="",AA301=""),"⚠ Thiếu lý do/người duyệt",IF(AND(X301&lt;&gt;"",N(X301)+N(R301)+N(S301)&gt;M301*1.001,R301&lt;&gt;""),"⚠ Vượt mục tiêu P90",IF(AND(Y301&lt;&gt;"",ABS(N(Y301))&gt;0.3),"⚠ Lệch &gt; 30% so với nhu cầu",IF(Q301="Có","ℹ Kiểm tra ngoại suy KM","✓ Hợp lệ")))))</f>
        <v/>
      </c>
    </row>
    <row r="302">
      <c r="A302" s="16" t="n">
        <v>298</v>
      </c>
      <c r="B302" s="17" t="inlineStr">
        <is>
          <t>DEC-S52-HOME_CARE</t>
        </is>
      </c>
      <c r="C302" s="16" t="n">
        <v>52</v>
      </c>
      <c r="D302" s="17" t="inlineStr">
        <is>
          <t>HOME CARE</t>
        </is>
      </c>
      <c r="E302" s="17" t="inlineStr">
        <is>
          <t>MEDIUM</t>
        </is>
      </c>
      <c r="F302" s="17" t="inlineStr">
        <is>
          <t>TRUNG BÌNH</t>
        </is>
      </c>
      <c r="G302" s="18" t="inlineStr">
        <is>
          <t>RISK_MEDIUM · LARGE_SERIES</t>
        </is>
      </c>
      <c r="H302" s="19" t="n">
        <v>4827.870706542969</v>
      </c>
      <c r="I302" s="19" t="n">
        <v>5990.301145507812</v>
      </c>
      <c r="J302" s="19" t="n">
        <v>7468.619384277344</v>
      </c>
      <c r="K302" s="19" t="n">
        <v>5990.301145507812</v>
      </c>
      <c r="L302" s="19" t="n">
        <v>6914.250044738769</v>
      </c>
      <c r="M302" s="19" t="n">
        <v>7468.619384277344</v>
      </c>
      <c r="N302" s="17" t="inlineStr">
        <is>
          <t>C</t>
        </is>
      </c>
      <c r="O302" s="19" t="n">
        <v>2676.378467871094</v>
      </c>
      <c r="P302" s="18" t="inlineStr">
        <is>
          <t>KHÔNG ĐỀ XUẤT TĂNG</t>
        </is>
      </c>
      <c r="Q302" s="17" t="inlineStr">
        <is>
          <t>Không</t>
        </is>
      </c>
      <c r="R302" s="20" t="n"/>
      <c r="S302" s="20" t="n"/>
      <c r="T302" s="21" t="n"/>
      <c r="U302" s="21" t="n"/>
      <c r="V302" s="22">
        <f>IF(U302="A",K302,IF(U302="B",L302,IF(U302="C",M302,IF(N302="A",K302,IF(N302="B",L302,M302)))))</f>
        <v/>
      </c>
      <c r="W302" s="22">
        <f>IF(R302="",O302,MAX(V302-R302-N(S302),0))</f>
        <v/>
      </c>
      <c r="X302" s="20" t="n"/>
      <c r="Y302" s="23">
        <f>IF(OR(X302="",W302=0),"",X302/W302-1)</f>
        <v/>
      </c>
      <c r="Z302" s="24" t="n"/>
      <c r="AA302" s="21" t="n"/>
      <c r="AB302" s="25" t="n"/>
      <c r="AC302" s="26">
        <f>IF(T302="","Chưa quyết định",IF(OR(Z302="",AA302=""),"⚠ Thiếu lý do/người duyệt",IF(AND(X302&lt;&gt;"",N(X302)+N(R302)+N(S302)&gt;M302*1.001,R302&lt;&gt;""),"⚠ Vượt mục tiêu P90",IF(AND(Y302&lt;&gt;"",ABS(N(Y302))&gt;0.3),"⚠ Lệch &gt; 30% so với nhu cầu",IF(Q302="Có","ℹ Kiểm tra ngoại suy KM","✓ Hợp lệ")))))</f>
        <v/>
      </c>
    </row>
    <row r="303">
      <c r="A303" s="16" t="n">
        <v>299</v>
      </c>
      <c r="B303" s="17" t="inlineStr">
        <is>
          <t>DEC-S17-BREAD_BAKERY</t>
        </is>
      </c>
      <c r="C303" s="16" t="n">
        <v>17</v>
      </c>
      <c r="D303" s="17" t="inlineStr">
        <is>
          <t>BREAD/BAKERY</t>
        </is>
      </c>
      <c r="E303" s="17" t="inlineStr">
        <is>
          <t>MEDIUM</t>
        </is>
      </c>
      <c r="F303" s="17" t="inlineStr">
        <is>
          <t>TRUNG BÌNH</t>
        </is>
      </c>
      <c r="G303" s="18" t="inlineStr">
        <is>
          <t>RISK_MEDIUM · LARGE_SERIES</t>
        </is>
      </c>
      <c r="H303" s="19" t="n">
        <v>4788.962472900391</v>
      </c>
      <c r="I303" s="19" t="n">
        <v>5951.392911865234</v>
      </c>
      <c r="J303" s="19" t="n">
        <v>7429.711150634765</v>
      </c>
      <c r="K303" s="19" t="n">
        <v>5951.392911865234</v>
      </c>
      <c r="L303" s="19" t="n">
        <v>6875.34181109619</v>
      </c>
      <c r="M303" s="19" t="n">
        <v>7429.711150634765</v>
      </c>
      <c r="N303" s="17" t="inlineStr">
        <is>
          <t>C</t>
        </is>
      </c>
      <c r="O303" s="19" t="n">
        <v>2668.596821142577</v>
      </c>
      <c r="P303" s="18" t="inlineStr">
        <is>
          <t>KHÔNG ĐỀ XUẤT TĂNG</t>
        </is>
      </c>
      <c r="Q303" s="17" t="inlineStr">
        <is>
          <t>Không</t>
        </is>
      </c>
      <c r="R303" s="20" t="n"/>
      <c r="S303" s="20" t="n"/>
      <c r="T303" s="21" t="n"/>
      <c r="U303" s="21" t="n"/>
      <c r="V303" s="22">
        <f>IF(U303="A",K303,IF(U303="B",L303,IF(U303="C",M303,IF(N303="A",K303,IF(N303="B",L303,M303)))))</f>
        <v/>
      </c>
      <c r="W303" s="22">
        <f>IF(R303="",O303,MAX(V303-R303-N(S303),0))</f>
        <v/>
      </c>
      <c r="X303" s="20" t="n"/>
      <c r="Y303" s="23">
        <f>IF(OR(X303="",W303=0),"",X303/W303-1)</f>
        <v/>
      </c>
      <c r="Z303" s="24" t="n"/>
      <c r="AA303" s="21" t="n"/>
      <c r="AB303" s="25" t="n"/>
      <c r="AC303" s="26">
        <f>IF(T303="","Chưa quyết định",IF(OR(Z303="",AA303=""),"⚠ Thiếu lý do/người duyệt",IF(AND(X303&lt;&gt;"",N(X303)+N(R303)+N(S303)&gt;M303*1.001,R303&lt;&gt;""),"⚠ Vượt mục tiêu P90",IF(AND(Y303&lt;&gt;"",ABS(N(Y303))&gt;0.3),"⚠ Lệch &gt; 30% so với nhu cầu",IF(Q303="Có","ℹ Kiểm tra ngoại suy KM","✓ Hợp lệ")))))</f>
        <v/>
      </c>
    </row>
    <row r="304">
      <c r="A304" s="16" t="n">
        <v>300</v>
      </c>
      <c r="B304" s="17" t="inlineStr">
        <is>
          <t>DEC-S05-BREAD_BAKERY</t>
        </is>
      </c>
      <c r="C304" s="16" t="n">
        <v>5</v>
      </c>
      <c r="D304" s="17" t="inlineStr">
        <is>
          <t>BREAD/BAKERY</t>
        </is>
      </c>
      <c r="E304" s="17" t="inlineStr">
        <is>
          <t>MEDIUM</t>
        </is>
      </c>
      <c r="F304" s="17" t="inlineStr">
        <is>
          <t>TRUNG BÌNH</t>
        </is>
      </c>
      <c r="G304" s="18" t="inlineStr">
        <is>
          <t>RISK_MEDIUM · LARGE_SERIES</t>
        </is>
      </c>
      <c r="H304" s="19" t="n">
        <v>4836.856142822266</v>
      </c>
      <c r="I304" s="19" t="n">
        <v>5932.80080456543</v>
      </c>
      <c r="J304" s="19" t="n">
        <v>7329.109084716797</v>
      </c>
      <c r="K304" s="19" t="n">
        <v>5932.80080456543</v>
      </c>
      <c r="L304" s="19" t="n">
        <v>6805.493479660035</v>
      </c>
      <c r="M304" s="19" t="n">
        <v>7329.109084716797</v>
      </c>
      <c r="N304" s="17" t="inlineStr">
        <is>
          <t>C</t>
        </is>
      </c>
      <c r="O304" s="19" t="n">
        <v>2582.868441064453</v>
      </c>
      <c r="P304" s="18" t="inlineStr">
        <is>
          <t>KHÔNG ĐỀ XUẤT TĂNG</t>
        </is>
      </c>
      <c r="Q304" s="17" t="inlineStr">
        <is>
          <t>Không</t>
        </is>
      </c>
      <c r="R304" s="20" t="n"/>
      <c r="S304" s="20" t="n"/>
      <c r="T304" s="21" t="n"/>
      <c r="U304" s="21" t="n"/>
      <c r="V304" s="22">
        <f>IF(U304="A",K304,IF(U304="B",L304,IF(U304="C",M304,IF(N304="A",K304,IF(N304="B",L304,M304)))))</f>
        <v/>
      </c>
      <c r="W304" s="22">
        <f>IF(R304="",O304,MAX(V304-R304-N(S304),0))</f>
        <v/>
      </c>
      <c r="X304" s="20" t="n"/>
      <c r="Y304" s="23">
        <f>IF(OR(X304="",W304=0),"",X304/W304-1)</f>
        <v/>
      </c>
      <c r="Z304" s="24" t="n"/>
      <c r="AA304" s="21" t="n"/>
      <c r="AB304" s="25" t="n"/>
      <c r="AC304" s="26">
        <f>IF(T304="","Chưa quyết định",IF(OR(Z304="",AA304=""),"⚠ Thiếu lý do/người duyệt",IF(AND(X304&lt;&gt;"",N(X304)+N(R304)+N(S304)&gt;M304*1.001,R304&lt;&gt;""),"⚠ Vượt mục tiêu P90",IF(AND(Y304&lt;&gt;"",ABS(N(Y304))&gt;0.3),"⚠ Lệch &gt; 30% so với nhu cầu",IF(Q304="Có","ℹ Kiểm tra ngoại suy KM","✓ Hợp lệ")))))</f>
        <v/>
      </c>
    </row>
    <row r="305">
      <c r="A305" s="16" t="n">
        <v>301</v>
      </c>
      <c r="B305" s="17" t="inlineStr">
        <is>
          <t>DEC-S20-HOME_CARE</t>
        </is>
      </c>
      <c r="C305" s="16" t="n">
        <v>20</v>
      </c>
      <c r="D305" s="17" t="inlineStr">
        <is>
          <t>HOME CARE</t>
        </is>
      </c>
      <c r="E305" s="17" t="inlineStr">
        <is>
          <t>MEDIUM</t>
        </is>
      </c>
      <c r="F305" s="17" t="inlineStr">
        <is>
          <t>TRUNG BÌNH</t>
        </is>
      </c>
      <c r="G305" s="18" t="inlineStr">
        <is>
          <t>RISK_MEDIUM · LARGE_SERIES</t>
        </is>
      </c>
      <c r="H305" s="19" t="n">
        <v>4688.448655273438</v>
      </c>
      <c r="I305" s="19" t="n">
        <v>5917.364871459961</v>
      </c>
      <c r="J305" s="19" t="n">
        <v>7477.693068847656</v>
      </c>
      <c r="K305" s="19" t="n">
        <v>5917.364871459961</v>
      </c>
      <c r="L305" s="19" t="n">
        <v>6892.56999482727</v>
      </c>
      <c r="M305" s="19" t="n">
        <v>7477.693068847656</v>
      </c>
      <c r="N305" s="17" t="inlineStr">
        <is>
          <t>C</t>
        </is>
      </c>
      <c r="O305" s="19" t="n">
        <v>2743.801171679686</v>
      </c>
      <c r="P305" s="18" t="inlineStr">
        <is>
          <t>KHÔNG ĐỀ XUẤT TĂNG</t>
        </is>
      </c>
      <c r="Q305" s="17" t="inlineStr">
        <is>
          <t>Không</t>
        </is>
      </c>
      <c r="R305" s="20" t="n"/>
      <c r="S305" s="20" t="n"/>
      <c r="T305" s="21" t="n"/>
      <c r="U305" s="21" t="n"/>
      <c r="V305" s="22">
        <f>IF(U305="A",K305,IF(U305="B",L305,IF(U305="C",M305,IF(N305="A",K305,IF(N305="B",L305,M305)))))</f>
        <v/>
      </c>
      <c r="W305" s="22">
        <f>IF(R305="",O305,MAX(V305-R305-N(S305),0))</f>
        <v/>
      </c>
      <c r="X305" s="20" t="n"/>
      <c r="Y305" s="23">
        <f>IF(OR(X305="",W305=0),"",X305/W305-1)</f>
        <v/>
      </c>
      <c r="Z305" s="24" t="n"/>
      <c r="AA305" s="21" t="n"/>
      <c r="AB305" s="25" t="n"/>
      <c r="AC305" s="26">
        <f>IF(T305="","Chưa quyết định",IF(OR(Z305="",AA305=""),"⚠ Thiếu lý do/người duyệt",IF(AND(X305&lt;&gt;"",N(X305)+N(R305)+N(S305)&gt;M305*1.001,R305&lt;&gt;""),"⚠ Vượt mục tiêu P90",IF(AND(Y305&lt;&gt;"",ABS(N(Y305))&gt;0.3),"⚠ Lệch &gt; 30% so với nhu cầu",IF(Q305="Có","ℹ Kiểm tra ngoại suy KM","✓ Hợp lệ")))))</f>
        <v/>
      </c>
    </row>
    <row r="306">
      <c r="A306" s="16" t="n">
        <v>302</v>
      </c>
      <c r="B306" s="17" t="inlineStr">
        <is>
          <t>DEC-S51-HOME_CARE</t>
        </is>
      </c>
      <c r="C306" s="16" t="n">
        <v>51</v>
      </c>
      <c r="D306" s="17" t="inlineStr">
        <is>
          <t>HOME CARE</t>
        </is>
      </c>
      <c r="E306" s="17" t="inlineStr">
        <is>
          <t>MEDIUM</t>
        </is>
      </c>
      <c r="F306" s="17" t="inlineStr">
        <is>
          <t>TRUNG BÌNH</t>
        </is>
      </c>
      <c r="G306" s="18" t="inlineStr">
        <is>
          <t>RISK_MEDIUM · LARGE_SERIES</t>
        </is>
      </c>
      <c r="H306" s="19" t="n">
        <v>4818.450564208984</v>
      </c>
      <c r="I306" s="19" t="n">
        <v>5914.395225952148</v>
      </c>
      <c r="J306" s="19" t="n">
        <v>7310.703506103516</v>
      </c>
      <c r="K306" s="19" t="n">
        <v>5914.395225952148</v>
      </c>
      <c r="L306" s="19" t="n">
        <v>6787.087901046753</v>
      </c>
      <c r="M306" s="19" t="n">
        <v>7310.703506103516</v>
      </c>
      <c r="N306" s="17" t="inlineStr">
        <is>
          <t>C</t>
        </is>
      </c>
      <c r="O306" s="19" t="n">
        <v>2579.187325341797</v>
      </c>
      <c r="P306" s="18" t="inlineStr">
        <is>
          <t>KHÔNG ĐỀ XUẤT TĂNG</t>
        </is>
      </c>
      <c r="Q306" s="17" t="inlineStr">
        <is>
          <t>Không</t>
        </is>
      </c>
      <c r="R306" s="20" t="n"/>
      <c r="S306" s="20" t="n"/>
      <c r="T306" s="21" t="n"/>
      <c r="U306" s="21" t="n"/>
      <c r="V306" s="22">
        <f>IF(U306="A",K306,IF(U306="B",L306,IF(U306="C",M306,IF(N306="A",K306,IF(N306="B",L306,M306)))))</f>
        <v/>
      </c>
      <c r="W306" s="22">
        <f>IF(R306="",O306,MAX(V306-R306-N(S306),0))</f>
        <v/>
      </c>
      <c r="X306" s="20" t="n"/>
      <c r="Y306" s="23">
        <f>IF(OR(X306="",W306=0),"",X306/W306-1)</f>
        <v/>
      </c>
      <c r="Z306" s="24" t="n"/>
      <c r="AA306" s="21" t="n"/>
      <c r="AB306" s="25" t="n"/>
      <c r="AC306" s="26">
        <f>IF(T306="","Chưa quyết định",IF(OR(Z306="",AA306=""),"⚠ Thiếu lý do/người duyệt",IF(AND(X306&lt;&gt;"",N(X306)+N(R306)+N(S306)&gt;M306*1.001,R306&lt;&gt;""),"⚠ Vượt mục tiêu P90",IF(AND(Y306&lt;&gt;"",ABS(N(Y306))&gt;0.3),"⚠ Lệch &gt; 30% so với nhu cầu",IF(Q306="Có","ℹ Kiểm tra ngoại suy KM","✓ Hợp lệ")))))</f>
        <v/>
      </c>
    </row>
    <row r="307">
      <c r="A307" s="16" t="n">
        <v>303</v>
      </c>
      <c r="B307" s="17" t="inlineStr">
        <is>
          <t>DEC-S06-HOME_CARE</t>
        </is>
      </c>
      <c r="C307" s="16" t="n">
        <v>6</v>
      </c>
      <c r="D307" s="17" t="inlineStr">
        <is>
          <t>HOME CARE</t>
        </is>
      </c>
      <c r="E307" s="17" t="inlineStr">
        <is>
          <t>MEDIUM</t>
        </is>
      </c>
      <c r="F307" s="17" t="inlineStr">
        <is>
          <t>TRUNG BÌNH</t>
        </is>
      </c>
      <c r="G307" s="18" t="inlineStr">
        <is>
          <t>RISK_MEDIUM · LARGE_SERIES</t>
        </is>
      </c>
      <c r="H307" s="19" t="n">
        <v>4814.509768310547</v>
      </c>
      <c r="I307" s="19" t="n">
        <v>5910.454430053711</v>
      </c>
      <c r="J307" s="19" t="n">
        <v>7306.762710205078</v>
      </c>
      <c r="K307" s="19" t="n">
        <v>5910.454430053711</v>
      </c>
      <c r="L307" s="19" t="n">
        <v>6783.147105148316</v>
      </c>
      <c r="M307" s="19" t="n">
        <v>7306.762710205078</v>
      </c>
      <c r="N307" s="17" t="inlineStr">
        <is>
          <t>C</t>
        </is>
      </c>
      <c r="O307" s="19" t="n">
        <v>2578.399166162109</v>
      </c>
      <c r="P307" s="18" t="inlineStr">
        <is>
          <t>KHÔNG ĐỀ XUẤT TĂNG</t>
        </is>
      </c>
      <c r="Q307" s="17" t="inlineStr">
        <is>
          <t>Không</t>
        </is>
      </c>
      <c r="R307" s="20" t="n"/>
      <c r="S307" s="20" t="n"/>
      <c r="T307" s="21" t="n"/>
      <c r="U307" s="21" t="n"/>
      <c r="V307" s="22">
        <f>IF(U307="A",K307,IF(U307="B",L307,IF(U307="C",M307,IF(N307="A",K307,IF(N307="B",L307,M307)))))</f>
        <v/>
      </c>
      <c r="W307" s="22">
        <f>IF(R307="",O307,MAX(V307-R307-N(S307),0))</f>
        <v/>
      </c>
      <c r="X307" s="20" t="n"/>
      <c r="Y307" s="23">
        <f>IF(OR(X307="",W307=0),"",X307/W307-1)</f>
        <v/>
      </c>
      <c r="Z307" s="24" t="n"/>
      <c r="AA307" s="21" t="n"/>
      <c r="AB307" s="25" t="n"/>
      <c r="AC307" s="26">
        <f>IF(T307="","Chưa quyết định",IF(OR(Z307="",AA307=""),"⚠ Thiếu lý do/người duyệt",IF(AND(X307&lt;&gt;"",N(X307)+N(R307)+N(S307)&gt;M307*1.001,R307&lt;&gt;""),"⚠ Vượt mục tiêu P90",IF(AND(Y307&lt;&gt;"",ABS(N(Y307))&gt;0.3),"⚠ Lệch &gt; 30% so với nhu cầu",IF(Q307="Có","ℹ Kiểm tra ngoại suy KM","✓ Hợp lệ")))))</f>
        <v/>
      </c>
    </row>
    <row r="308">
      <c r="A308" s="16" t="n">
        <v>304</v>
      </c>
      <c r="B308" s="17" t="inlineStr">
        <is>
          <t>DEC-S17-POULTRY</t>
        </is>
      </c>
      <c r="C308" s="16" t="n">
        <v>17</v>
      </c>
      <c r="D308" s="17" t="inlineStr">
        <is>
          <t>POULTRY</t>
        </is>
      </c>
      <c r="E308" s="17" t="inlineStr">
        <is>
          <t>MEDIUM</t>
        </is>
      </c>
      <c r="F308" s="17" t="inlineStr">
        <is>
          <t>TRUNG BÌNH</t>
        </is>
      </c>
      <c r="G308" s="18" t="inlineStr">
        <is>
          <t>RISK_MEDIUM · LARGE_SERIES</t>
        </is>
      </c>
      <c r="H308" s="19" t="n">
        <v>4681.027482177735</v>
      </c>
      <c r="I308" s="19" t="n">
        <v>5909.943698364258</v>
      </c>
      <c r="J308" s="19" t="n">
        <v>7470.271895751953</v>
      </c>
      <c r="K308" s="19" t="n">
        <v>5909.943698364258</v>
      </c>
      <c r="L308" s="19" t="n">
        <v>6885.148821731567</v>
      </c>
      <c r="M308" s="19" t="n">
        <v>7470.271895751953</v>
      </c>
      <c r="N308" s="17" t="inlineStr">
        <is>
          <t>C</t>
        </is>
      </c>
      <c r="O308" s="19" t="n">
        <v>2742.316937060546</v>
      </c>
      <c r="P308" s="18" t="inlineStr">
        <is>
          <t>CÂN NHẮC THỬ NGHIỆM</t>
        </is>
      </c>
      <c r="Q308" s="17" t="inlineStr">
        <is>
          <t>Không</t>
        </is>
      </c>
      <c r="R308" s="20" t="n"/>
      <c r="S308" s="20" t="n"/>
      <c r="T308" s="21" t="n"/>
      <c r="U308" s="21" t="n"/>
      <c r="V308" s="22">
        <f>IF(U308="A",K308,IF(U308="B",L308,IF(U308="C",M308,IF(N308="A",K308,IF(N308="B",L308,M308)))))</f>
        <v/>
      </c>
      <c r="W308" s="22">
        <f>IF(R308="",O308,MAX(V308-R308-N(S308),0))</f>
        <v/>
      </c>
      <c r="X308" s="20" t="n"/>
      <c r="Y308" s="23">
        <f>IF(OR(X308="",W308=0),"",X308/W308-1)</f>
        <v/>
      </c>
      <c r="Z308" s="24" t="n"/>
      <c r="AA308" s="21" t="n"/>
      <c r="AB308" s="25" t="n"/>
      <c r="AC308" s="26">
        <f>IF(T308="","Chưa quyết định",IF(OR(Z308="",AA308=""),"⚠ Thiếu lý do/người duyệt",IF(AND(X308&lt;&gt;"",N(X308)+N(R308)+N(S308)&gt;M308*1.001,R308&lt;&gt;""),"⚠ Vượt mục tiêu P90",IF(AND(Y308&lt;&gt;"",ABS(N(Y308))&gt;0.3),"⚠ Lệch &gt; 30% so với nhu cầu",IF(Q308="Có","ℹ Kiểm tra ngoại suy KM","✓ Hợp lệ")))))</f>
        <v/>
      </c>
    </row>
    <row r="309">
      <c r="A309" s="16" t="n">
        <v>305</v>
      </c>
      <c r="B309" s="17" t="inlineStr">
        <is>
          <t>DEC-S20-PERSONAL_CARE</t>
        </is>
      </c>
      <c r="C309" s="16" t="n">
        <v>20</v>
      </c>
      <c r="D309" s="17" t="inlineStr">
        <is>
          <t>PERSONAL CARE</t>
        </is>
      </c>
      <c r="E309" s="17" t="inlineStr">
        <is>
          <t>MEDIUM</t>
        </is>
      </c>
      <c r="F309" s="17" t="inlineStr">
        <is>
          <t>TRUNG BÌNH</t>
        </is>
      </c>
      <c r="G309" s="18" t="inlineStr">
        <is>
          <t>RISK_MEDIUM · LARGE_SERIES</t>
        </is>
      </c>
      <c r="H309" s="19" t="n">
        <v>4603.204606201172</v>
      </c>
      <c r="I309" s="19" t="n">
        <v>5832.120822387696</v>
      </c>
      <c r="J309" s="19" t="n">
        <v>7392.44901977539</v>
      </c>
      <c r="K309" s="19" t="n">
        <v>5832.120822387696</v>
      </c>
      <c r="L309" s="19" t="n">
        <v>6807.325945755005</v>
      </c>
      <c r="M309" s="19" t="n">
        <v>7392.44901977539</v>
      </c>
      <c r="N309" s="17" t="inlineStr">
        <is>
          <t>C</t>
        </is>
      </c>
      <c r="O309" s="19" t="n">
        <v>2726.752361865234</v>
      </c>
      <c r="P309" s="18" t="inlineStr">
        <is>
          <t>KHÔNG ĐỀ XUẤT TĂNG</t>
        </is>
      </c>
      <c r="Q309" s="17" t="inlineStr">
        <is>
          <t>Không</t>
        </is>
      </c>
      <c r="R309" s="20" t="n"/>
      <c r="S309" s="20" t="n"/>
      <c r="T309" s="21" t="n"/>
      <c r="U309" s="21" t="n"/>
      <c r="V309" s="22">
        <f>IF(U309="A",K309,IF(U309="B",L309,IF(U309="C",M309,IF(N309="A",K309,IF(N309="B",L309,M309)))))</f>
        <v/>
      </c>
      <c r="W309" s="22">
        <f>IF(R309="",O309,MAX(V309-R309-N(S309),0))</f>
        <v/>
      </c>
      <c r="X309" s="20" t="n"/>
      <c r="Y309" s="23">
        <f>IF(OR(X309="",W309=0),"",X309/W309-1)</f>
        <v/>
      </c>
      <c r="Z309" s="24" t="n"/>
      <c r="AA309" s="21" t="n"/>
      <c r="AB309" s="25" t="n"/>
      <c r="AC309" s="26">
        <f>IF(T309="","Chưa quyết định",IF(OR(Z309="",AA309=""),"⚠ Thiếu lý do/người duyệt",IF(AND(X309&lt;&gt;"",N(X309)+N(R309)+N(S309)&gt;M309*1.001,R309&lt;&gt;""),"⚠ Vượt mục tiêu P90",IF(AND(Y309&lt;&gt;"",ABS(N(Y309))&gt;0.3),"⚠ Lệch &gt; 30% so với nhu cầu",IF(Q309="Có","ℹ Kiểm tra ngoại suy KM","✓ Hợp lệ")))))</f>
        <v/>
      </c>
    </row>
    <row r="310">
      <c r="A310" s="16" t="n">
        <v>306</v>
      </c>
      <c r="B310" s="17" t="inlineStr">
        <is>
          <t>DEC-S22-DAIRY</t>
        </is>
      </c>
      <c r="C310" s="16" t="n">
        <v>22</v>
      </c>
      <c r="D310" s="17" t="inlineStr">
        <is>
          <t>DAIRY</t>
        </is>
      </c>
      <c r="E310" s="17" t="inlineStr">
        <is>
          <t>MEDIUM</t>
        </is>
      </c>
      <c r="F310" s="17" t="inlineStr">
        <is>
          <t>TRUNG BÌNH</t>
        </is>
      </c>
      <c r="G310" s="18" t="inlineStr">
        <is>
          <t>RISK_MEDIUM · LARGE_SERIES</t>
        </is>
      </c>
      <c r="H310" s="19" t="n">
        <v>4735.464815917969</v>
      </c>
      <c r="I310" s="19" t="n">
        <v>5831.409477661133</v>
      </c>
      <c r="J310" s="19" t="n">
        <v>7227.7177578125</v>
      </c>
      <c r="K310" s="19" t="n">
        <v>5831.409477661133</v>
      </c>
      <c r="L310" s="19" t="n">
        <v>6704.102152755738</v>
      </c>
      <c r="M310" s="19" t="n">
        <v>7227.7177578125</v>
      </c>
      <c r="N310" s="17" t="inlineStr">
        <is>
          <t>C</t>
        </is>
      </c>
      <c r="O310" s="19" t="n">
        <v>2562.590175683594</v>
      </c>
      <c r="P310" s="18" t="inlineStr">
        <is>
          <t>KHÔNG ĐỀ XUẤT TĂNG</t>
        </is>
      </c>
      <c r="Q310" s="17" t="inlineStr">
        <is>
          <t>Không</t>
        </is>
      </c>
      <c r="R310" s="20" t="n"/>
      <c r="S310" s="20" t="n"/>
      <c r="T310" s="21" t="n"/>
      <c r="U310" s="21" t="n"/>
      <c r="V310" s="22">
        <f>IF(U310="A",K310,IF(U310="B",L310,IF(U310="C",M310,IF(N310="A",K310,IF(N310="B",L310,M310)))))</f>
        <v/>
      </c>
      <c r="W310" s="22">
        <f>IF(R310="",O310,MAX(V310-R310-N(S310),0))</f>
        <v/>
      </c>
      <c r="X310" s="20" t="n"/>
      <c r="Y310" s="23">
        <f>IF(OR(X310="",W310=0),"",X310/W310-1)</f>
        <v/>
      </c>
      <c r="Z310" s="24" t="n"/>
      <c r="AA310" s="21" t="n"/>
      <c r="AB310" s="25" t="n"/>
      <c r="AC310" s="26">
        <f>IF(T310="","Chưa quyết định",IF(OR(Z310="",AA310=""),"⚠ Thiếu lý do/người duyệt",IF(AND(X310&lt;&gt;"",N(X310)+N(R310)+N(S310)&gt;M310*1.001,R310&lt;&gt;""),"⚠ Vượt mục tiêu P90",IF(AND(Y310&lt;&gt;"",ABS(N(Y310))&gt;0.3),"⚠ Lệch &gt; 30% so với nhu cầu",IF(Q310="Có","ℹ Kiểm tra ngoại suy KM","✓ Hợp lệ")))))</f>
        <v/>
      </c>
    </row>
    <row r="311">
      <c r="A311" s="16" t="n">
        <v>307</v>
      </c>
      <c r="B311" s="17" t="inlineStr">
        <is>
          <t>DEC-S51-EGGS</t>
        </is>
      </c>
      <c r="C311" s="16" t="n">
        <v>51</v>
      </c>
      <c r="D311" s="17" t="inlineStr">
        <is>
          <t>EGGS</t>
        </is>
      </c>
      <c r="E311" s="17" t="inlineStr">
        <is>
          <t>MEDIUM</t>
        </is>
      </c>
      <c r="F311" s="17" t="inlineStr">
        <is>
          <t>TRUNG BÌNH</t>
        </is>
      </c>
      <c r="G311" s="18" t="inlineStr">
        <is>
          <t>RISK_MEDIUM · LARGE_SERIES</t>
        </is>
      </c>
      <c r="H311" s="19" t="n">
        <v>4724.339419189453</v>
      </c>
      <c r="I311" s="19" t="n">
        <v>5820.284080932617</v>
      </c>
      <c r="J311" s="19" t="n">
        <v>7216.592361083984</v>
      </c>
      <c r="K311" s="19" t="n">
        <v>5820.284080932617</v>
      </c>
      <c r="L311" s="19" t="n">
        <v>6692.976756027221</v>
      </c>
      <c r="M311" s="19" t="n">
        <v>7216.592361083984</v>
      </c>
      <c r="N311" s="17" t="inlineStr">
        <is>
          <t>C</t>
        </is>
      </c>
      <c r="O311" s="19" t="n">
        <v>2560.36509633789</v>
      </c>
      <c r="P311" s="18" t="inlineStr">
        <is>
          <t>CÂN NHẮC THỬ NGHIỆM</t>
        </is>
      </c>
      <c r="Q311" s="17" t="inlineStr">
        <is>
          <t>Không</t>
        </is>
      </c>
      <c r="R311" s="20" t="n"/>
      <c r="S311" s="20" t="n"/>
      <c r="T311" s="21" t="n"/>
      <c r="U311" s="21" t="n"/>
      <c r="V311" s="22">
        <f>IF(U311="A",K311,IF(U311="B",L311,IF(U311="C",M311,IF(N311="A",K311,IF(N311="B",L311,M311)))))</f>
        <v/>
      </c>
      <c r="W311" s="22">
        <f>IF(R311="",O311,MAX(V311-R311-N(S311),0))</f>
        <v/>
      </c>
      <c r="X311" s="20" t="n"/>
      <c r="Y311" s="23">
        <f>IF(OR(X311="",W311=0),"",X311/W311-1)</f>
        <v/>
      </c>
      <c r="Z311" s="24" t="n"/>
      <c r="AA311" s="21" t="n"/>
      <c r="AB311" s="25" t="n"/>
      <c r="AC311" s="26">
        <f>IF(T311="","Chưa quyết định",IF(OR(Z311="",AA311=""),"⚠ Thiếu lý do/người duyệt",IF(AND(X311&lt;&gt;"",N(X311)+N(R311)+N(S311)&gt;M311*1.001,R311&lt;&gt;""),"⚠ Vượt mục tiêu P90",IF(AND(Y311&lt;&gt;"",ABS(N(Y311))&gt;0.3),"⚠ Lệch &gt; 30% so với nhu cầu",IF(Q311="Có","ℹ Kiểm tra ngoại suy KM","✓ Hợp lệ")))))</f>
        <v/>
      </c>
    </row>
    <row r="312">
      <c r="A312" s="16" t="n">
        <v>308</v>
      </c>
      <c r="B312" s="17" t="inlineStr">
        <is>
          <t>DEC-S08-PERSONAL_CARE</t>
        </is>
      </c>
      <c r="C312" s="16" t="n">
        <v>8</v>
      </c>
      <c r="D312" s="17" t="inlineStr">
        <is>
          <t>PERSONAL CARE</t>
        </is>
      </c>
      <c r="E312" s="17" t="inlineStr">
        <is>
          <t>MEDIUM</t>
        </is>
      </c>
      <c r="F312" s="17" t="inlineStr">
        <is>
          <t>TRUNG BÌNH</t>
        </is>
      </c>
      <c r="G312" s="18" t="inlineStr">
        <is>
          <t>RISK_MEDIUM · LARGE_SERIES</t>
        </is>
      </c>
      <c r="H312" s="19" t="n">
        <v>4605.340768798828</v>
      </c>
      <c r="I312" s="19" t="n">
        <v>5767.771207763672</v>
      </c>
      <c r="J312" s="19" t="n">
        <v>7246.089446533203</v>
      </c>
      <c r="K312" s="19" t="n">
        <v>5767.771207763672</v>
      </c>
      <c r="L312" s="19" t="n">
        <v>6691.720106994629</v>
      </c>
      <c r="M312" s="19" t="n">
        <v>7246.089446533203</v>
      </c>
      <c r="N312" s="17" t="inlineStr">
        <is>
          <t>C</t>
        </is>
      </c>
      <c r="O312" s="19" t="n">
        <v>2631.872480322266</v>
      </c>
      <c r="P312" s="18" t="inlineStr">
        <is>
          <t>KHÔNG ĐỀ XUẤT TĂNG</t>
        </is>
      </c>
      <c r="Q312" s="17" t="inlineStr">
        <is>
          <t>Không</t>
        </is>
      </c>
      <c r="R312" s="20" t="n"/>
      <c r="S312" s="20" t="n"/>
      <c r="T312" s="21" t="n"/>
      <c r="U312" s="21" t="n"/>
      <c r="V312" s="22">
        <f>IF(U312="A",K312,IF(U312="B",L312,IF(U312="C",M312,IF(N312="A",K312,IF(N312="B",L312,M312)))))</f>
        <v/>
      </c>
      <c r="W312" s="22">
        <f>IF(R312="",O312,MAX(V312-R312-N(S312),0))</f>
        <v/>
      </c>
      <c r="X312" s="20" t="n"/>
      <c r="Y312" s="23">
        <f>IF(OR(X312="",W312=0),"",X312/W312-1)</f>
        <v/>
      </c>
      <c r="Z312" s="24" t="n"/>
      <c r="AA312" s="21" t="n"/>
      <c r="AB312" s="25" t="n"/>
      <c r="AC312" s="26">
        <f>IF(T312="","Chưa quyết định",IF(OR(Z312="",AA312=""),"⚠ Thiếu lý do/người duyệt",IF(AND(X312&lt;&gt;"",N(X312)+N(R312)+N(S312)&gt;M312*1.001,R312&lt;&gt;""),"⚠ Vượt mục tiêu P90",IF(AND(Y312&lt;&gt;"",ABS(N(Y312))&gt;0.3),"⚠ Lệch &gt; 30% so với nhu cầu",IF(Q312="Có","ℹ Kiểm tra ngoại suy KM","✓ Hợp lệ")))))</f>
        <v/>
      </c>
    </row>
    <row r="313">
      <c r="A313" s="16" t="n">
        <v>309</v>
      </c>
      <c r="B313" s="17" t="inlineStr">
        <is>
          <t>DEC-S21-DELI</t>
        </is>
      </c>
      <c r="C313" s="16" t="n">
        <v>21</v>
      </c>
      <c r="D313" s="17" t="inlineStr">
        <is>
          <t>DELI</t>
        </is>
      </c>
      <c r="E313" s="17" t="inlineStr">
        <is>
          <t>MEDIUM</t>
        </is>
      </c>
      <c r="F313" s="17" t="inlineStr">
        <is>
          <t>TRUNG BÌNH</t>
        </is>
      </c>
      <c r="G313" s="18" t="inlineStr">
        <is>
          <t>RISK_MEDIUM · LARGE_SERIES</t>
        </is>
      </c>
      <c r="H313" s="19" t="n">
        <v>4585.233728393555</v>
      </c>
      <c r="I313" s="19" t="n">
        <v>5747.664167358398</v>
      </c>
      <c r="J313" s="19" t="n">
        <v>7225.98240612793</v>
      </c>
      <c r="K313" s="19" t="n">
        <v>5747.664167358398</v>
      </c>
      <c r="L313" s="19" t="n">
        <v>6671.613066589355</v>
      </c>
      <c r="M313" s="19" t="n">
        <v>7225.98240612793</v>
      </c>
      <c r="N313" s="17" t="inlineStr">
        <is>
          <t>C</t>
        </is>
      </c>
      <c r="O313" s="19" t="n">
        <v>2627.85107224121</v>
      </c>
      <c r="P313" s="18" t="inlineStr">
        <is>
          <t>KHÔNG ĐỀ XUẤT TĂNG</t>
        </is>
      </c>
      <c r="Q313" s="17" t="inlineStr">
        <is>
          <t>Không</t>
        </is>
      </c>
      <c r="R313" s="20" t="n"/>
      <c r="S313" s="20" t="n"/>
      <c r="T313" s="21" t="n"/>
      <c r="U313" s="21" t="n"/>
      <c r="V313" s="22">
        <f>IF(U313="A",K313,IF(U313="B",L313,IF(U313="C",M313,IF(N313="A",K313,IF(N313="B",L313,M313)))))</f>
        <v/>
      </c>
      <c r="W313" s="22">
        <f>IF(R313="",O313,MAX(V313-R313-N(S313),0))</f>
        <v/>
      </c>
      <c r="X313" s="20" t="n"/>
      <c r="Y313" s="23">
        <f>IF(OR(X313="",W313=0),"",X313/W313-1)</f>
        <v/>
      </c>
      <c r="Z313" s="24" t="n"/>
      <c r="AA313" s="21" t="n"/>
      <c r="AB313" s="25" t="n"/>
      <c r="AC313" s="26">
        <f>IF(T313="","Chưa quyết định",IF(OR(Z313="",AA313=""),"⚠ Thiếu lý do/người duyệt",IF(AND(X313&lt;&gt;"",N(X313)+N(R313)+N(S313)&gt;M313*1.001,R313&lt;&gt;""),"⚠ Vượt mục tiêu P90",IF(AND(Y313&lt;&gt;"",ABS(N(Y313))&gt;0.3),"⚠ Lệch &gt; 30% so với nhu cầu",IF(Q313="Có","ℹ Kiểm tra ngoại suy KM","✓ Hợp lệ")))))</f>
        <v/>
      </c>
    </row>
    <row r="314">
      <c r="A314" s="16" t="n">
        <v>310</v>
      </c>
      <c r="B314" s="17" t="inlineStr">
        <is>
          <t>DEC-S52-PERSONAL_CARE</t>
        </is>
      </c>
      <c r="C314" s="16" t="n">
        <v>52</v>
      </c>
      <c r="D314" s="17" t="inlineStr">
        <is>
          <t>PERSONAL CARE</t>
        </is>
      </c>
      <c r="E314" s="17" t="inlineStr">
        <is>
          <t>MEDIUM</t>
        </is>
      </c>
      <c r="F314" s="17" t="inlineStr">
        <is>
          <t>TRUNG BÌNH</t>
        </is>
      </c>
      <c r="G314" s="18" t="inlineStr">
        <is>
          <t>RISK_MEDIUM · LARGE_SERIES</t>
        </is>
      </c>
      <c r="H314" s="19" t="n">
        <v>4584.998422607422</v>
      </c>
      <c r="I314" s="19" t="n">
        <v>5747.428861572265</v>
      </c>
      <c r="J314" s="19" t="n">
        <v>7225.747100341797</v>
      </c>
      <c r="K314" s="19" t="n">
        <v>5747.428861572265</v>
      </c>
      <c r="L314" s="19" t="n">
        <v>6671.377760803222</v>
      </c>
      <c r="M314" s="19" t="n">
        <v>7225.747100341797</v>
      </c>
      <c r="N314" s="17" t="inlineStr">
        <is>
          <t>C</t>
        </is>
      </c>
      <c r="O314" s="19" t="n">
        <v>2627.804011083985</v>
      </c>
      <c r="P314" s="18" t="inlineStr">
        <is>
          <t>KHÔNG ĐỀ XUẤT TĂNG</t>
        </is>
      </c>
      <c r="Q314" s="17" t="inlineStr">
        <is>
          <t>Không</t>
        </is>
      </c>
      <c r="R314" s="20" t="n"/>
      <c r="S314" s="20" t="n"/>
      <c r="T314" s="21" t="n"/>
      <c r="U314" s="21" t="n"/>
      <c r="V314" s="22">
        <f>IF(U314="A",K314,IF(U314="B",L314,IF(U314="C",M314,IF(N314="A",K314,IF(N314="B",L314,M314)))))</f>
        <v/>
      </c>
      <c r="W314" s="22">
        <f>IF(R314="",O314,MAX(V314-R314-N(S314),0))</f>
        <v/>
      </c>
      <c r="X314" s="20" t="n"/>
      <c r="Y314" s="23">
        <f>IF(OR(X314="",W314=0),"",X314/W314-1)</f>
        <v/>
      </c>
      <c r="Z314" s="24" t="n"/>
      <c r="AA314" s="21" t="n"/>
      <c r="AB314" s="25" t="n"/>
      <c r="AC314" s="26">
        <f>IF(T314="","Chưa quyết định",IF(OR(Z314="",AA314=""),"⚠ Thiếu lý do/người duyệt",IF(AND(X314&lt;&gt;"",N(X314)+N(R314)+N(S314)&gt;M314*1.001,R314&lt;&gt;""),"⚠ Vượt mục tiêu P90",IF(AND(Y314&lt;&gt;"",ABS(N(Y314))&gt;0.3),"⚠ Lệch &gt; 30% so với nhu cầu",IF(Q314="Có","ℹ Kiểm tra ngoại suy KM","✓ Hợp lệ")))))</f>
        <v/>
      </c>
    </row>
    <row r="315">
      <c r="A315" s="16" t="n">
        <v>311</v>
      </c>
      <c r="B315" s="17" t="inlineStr">
        <is>
          <t>DEC-S01-BREAD_BAKERY</t>
        </is>
      </c>
      <c r="C315" s="16" t="n">
        <v>1</v>
      </c>
      <c r="D315" s="17" t="inlineStr">
        <is>
          <t>BREAD/BAKERY</t>
        </is>
      </c>
      <c r="E315" s="17" t="inlineStr">
        <is>
          <t>MEDIUM</t>
        </is>
      </c>
      <c r="F315" s="17" t="inlineStr">
        <is>
          <t>TRUNG BÌNH</t>
        </is>
      </c>
      <c r="G315" s="18" t="inlineStr">
        <is>
          <t>RISK_MEDIUM · LARGE_SERIES</t>
        </is>
      </c>
      <c r="H315" s="19" t="n">
        <v>4611.634926147461</v>
      </c>
      <c r="I315" s="19" t="n">
        <v>5736.5449609375</v>
      </c>
      <c r="J315" s="19" t="n">
        <v>7158.345358520508</v>
      </c>
      <c r="K315" s="19" t="n">
        <v>5736.5449609375</v>
      </c>
      <c r="L315" s="19" t="n">
        <v>6625.17020942688</v>
      </c>
      <c r="M315" s="19" t="n">
        <v>7158.345358520508</v>
      </c>
      <c r="N315" s="17" t="inlineStr">
        <is>
          <t>C</t>
        </is>
      </c>
      <c r="O315" s="19" t="n">
        <v>2569.109389770508</v>
      </c>
      <c r="P315" s="18" t="inlineStr">
        <is>
          <t>KHÔNG ĐỀ XUẤT TĂNG</t>
        </is>
      </c>
      <c r="Q315" s="17" t="inlineStr">
        <is>
          <t>Không</t>
        </is>
      </c>
      <c r="R315" s="20" t="n"/>
      <c r="S315" s="20" t="n"/>
      <c r="T315" s="21" t="n"/>
      <c r="U315" s="21" t="n"/>
      <c r="V315" s="22">
        <f>IF(U315="A",K315,IF(U315="B",L315,IF(U315="C",M315,IF(N315="A",K315,IF(N315="B",L315,M315)))))</f>
        <v/>
      </c>
      <c r="W315" s="22">
        <f>IF(R315="",O315,MAX(V315-R315-N(S315),0))</f>
        <v/>
      </c>
      <c r="X315" s="20" t="n"/>
      <c r="Y315" s="23">
        <f>IF(OR(X315="",W315=0),"",X315/W315-1)</f>
        <v/>
      </c>
      <c r="Z315" s="24" t="n"/>
      <c r="AA315" s="21" t="n"/>
      <c r="AB315" s="25" t="n"/>
      <c r="AC315" s="26">
        <f>IF(T315="","Chưa quyết định",IF(OR(Z315="",AA315=""),"⚠ Thiếu lý do/người duyệt",IF(AND(X315&lt;&gt;"",N(X315)+N(R315)+N(S315)&gt;M315*1.001,R315&lt;&gt;""),"⚠ Vượt mục tiêu P90",IF(AND(Y315&lt;&gt;"",ABS(N(Y315))&gt;0.3),"⚠ Lệch &gt; 30% so với nhu cầu",IF(Q315="Có","ℹ Kiểm tra ngoại suy KM","✓ Hợp lệ")))))</f>
        <v/>
      </c>
    </row>
    <row r="316">
      <c r="A316" s="16" t="n">
        <v>312</v>
      </c>
      <c r="B316" s="17" t="inlineStr">
        <is>
          <t>DEC-S44-LIQUOR_WINE_BEER</t>
        </is>
      </c>
      <c r="C316" s="16" t="n">
        <v>44</v>
      </c>
      <c r="D316" s="17" t="inlineStr">
        <is>
          <t>LIQUOR,WINE,BEER</t>
        </is>
      </c>
      <c r="E316" s="17" t="inlineStr">
        <is>
          <t>MEDIUM</t>
        </is>
      </c>
      <c r="F316" s="17" t="inlineStr">
        <is>
          <t>TRUNG BÌNH</t>
        </is>
      </c>
      <c r="G316" s="18" t="inlineStr">
        <is>
          <t>RISK_MEDIUM · LARGE_SERIES</t>
        </is>
      </c>
      <c r="H316" s="19" t="n">
        <v>4564.872110351563</v>
      </c>
      <c r="I316" s="19" t="n">
        <v>5727.302549316406</v>
      </c>
      <c r="J316" s="19" t="n">
        <v>7205.620788085937</v>
      </c>
      <c r="K316" s="19" t="n">
        <v>5727.302549316406</v>
      </c>
      <c r="L316" s="19" t="n">
        <v>6651.251448547363</v>
      </c>
      <c r="M316" s="19" t="n">
        <v>7205.620788085937</v>
      </c>
      <c r="N316" s="17" t="inlineStr">
        <is>
          <t>C</t>
        </is>
      </c>
      <c r="O316" s="19" t="n">
        <v>2623.778748632812</v>
      </c>
      <c r="P316" s="18" t="inlineStr">
        <is>
          <t>KHÔNG ĐỀ XUẤT TĂNG</t>
        </is>
      </c>
      <c r="Q316" s="17" t="inlineStr">
        <is>
          <t>Không</t>
        </is>
      </c>
      <c r="R316" s="20" t="n"/>
      <c r="S316" s="20" t="n"/>
      <c r="T316" s="21" t="n"/>
      <c r="U316" s="21" t="n"/>
      <c r="V316" s="22">
        <f>IF(U316="A",K316,IF(U316="B",L316,IF(U316="C",M316,IF(N316="A",K316,IF(N316="B",L316,M316)))))</f>
        <v/>
      </c>
      <c r="W316" s="22">
        <f>IF(R316="",O316,MAX(V316-R316-N(S316),0))</f>
        <v/>
      </c>
      <c r="X316" s="20" t="n"/>
      <c r="Y316" s="23">
        <f>IF(OR(X316="",W316=0),"",X316/W316-1)</f>
        <v/>
      </c>
      <c r="Z316" s="24" t="n"/>
      <c r="AA316" s="21" t="n"/>
      <c r="AB316" s="25" t="n"/>
      <c r="AC316" s="26">
        <f>IF(T316="","Chưa quyết định",IF(OR(Z316="",AA316=""),"⚠ Thiếu lý do/người duyệt",IF(AND(X316&lt;&gt;"",N(X316)+N(R316)+N(S316)&gt;M316*1.001,R316&lt;&gt;""),"⚠ Vượt mục tiêu P90",IF(AND(Y316&lt;&gt;"",ABS(N(Y316))&gt;0.3),"⚠ Lệch &gt; 30% so với nhu cầu",IF(Q316="Có","ℹ Kiểm tra ngoại suy KM","✓ Hợp lệ")))))</f>
        <v/>
      </c>
    </row>
    <row r="317">
      <c r="A317" s="16" t="n">
        <v>313</v>
      </c>
      <c r="B317" s="17" t="inlineStr">
        <is>
          <t>DEC-S20-MEATS</t>
        </is>
      </c>
      <c r="C317" s="16" t="n">
        <v>20</v>
      </c>
      <c r="D317" s="17" t="inlineStr">
        <is>
          <t>MEATS</t>
        </is>
      </c>
      <c r="E317" s="17" t="inlineStr">
        <is>
          <t>MEDIUM</t>
        </is>
      </c>
      <c r="F317" s="17" t="inlineStr">
        <is>
          <t>TRUNG BÌNH</t>
        </is>
      </c>
      <c r="G317" s="18" t="inlineStr">
        <is>
          <t>RISK_MEDIUM · LARGE_SERIES</t>
        </is>
      </c>
      <c r="H317" s="19" t="n">
        <v>4532.843408569336</v>
      </c>
      <c r="I317" s="19" t="n">
        <v>5695.273847534179</v>
      </c>
      <c r="J317" s="19" t="n">
        <v>7173.592086303711</v>
      </c>
      <c r="K317" s="19" t="n">
        <v>5695.273847534179</v>
      </c>
      <c r="L317" s="19" t="n">
        <v>6619.222746765136</v>
      </c>
      <c r="M317" s="19" t="n">
        <v>7173.592086303711</v>
      </c>
      <c r="N317" s="17" t="inlineStr">
        <is>
          <t>C</t>
        </is>
      </c>
      <c r="O317" s="19" t="n">
        <v>2617.373008276367</v>
      </c>
      <c r="P317" s="18" t="inlineStr">
        <is>
          <t>CÂN NHẮC THỬ NGHIỆM</t>
        </is>
      </c>
      <c r="Q317" s="17" t="inlineStr">
        <is>
          <t>Không</t>
        </is>
      </c>
      <c r="R317" s="20" t="n"/>
      <c r="S317" s="20" t="n"/>
      <c r="T317" s="21" t="n"/>
      <c r="U317" s="21" t="n"/>
      <c r="V317" s="22">
        <f>IF(U317="A",K317,IF(U317="B",L317,IF(U317="C",M317,IF(N317="A",K317,IF(N317="B",L317,M317)))))</f>
        <v/>
      </c>
      <c r="W317" s="22">
        <f>IF(R317="",O317,MAX(V317-R317-N(S317),0))</f>
        <v/>
      </c>
      <c r="X317" s="20" t="n"/>
      <c r="Y317" s="23">
        <f>IF(OR(X317="",W317=0),"",X317/W317-1)</f>
        <v/>
      </c>
      <c r="Z317" s="24" t="n"/>
      <c r="AA317" s="21" t="n"/>
      <c r="AB317" s="25" t="n"/>
      <c r="AC317" s="26">
        <f>IF(T317="","Chưa quyết định",IF(OR(Z317="",AA317=""),"⚠ Thiếu lý do/người duyệt",IF(AND(X317&lt;&gt;"",N(X317)+N(R317)+N(S317)&gt;M317*1.001,R317&lt;&gt;""),"⚠ Vượt mục tiêu P90",IF(AND(Y317&lt;&gt;"",ABS(N(Y317))&gt;0.3),"⚠ Lệch &gt; 30% so với nhu cầu",IF(Q317="Có","ℹ Kiểm tra ngoại suy KM","✓ Hợp lệ")))))</f>
        <v/>
      </c>
    </row>
    <row r="318">
      <c r="A318" s="16" t="n">
        <v>314</v>
      </c>
      <c r="B318" s="17" t="inlineStr">
        <is>
          <t>DEC-S20-POULTRY</t>
        </is>
      </c>
      <c r="C318" s="16" t="n">
        <v>20</v>
      </c>
      <c r="D318" s="17" t="inlineStr">
        <is>
          <t>POULTRY</t>
        </is>
      </c>
      <c r="E318" s="17" t="inlineStr">
        <is>
          <t>MEDIUM</t>
        </is>
      </c>
      <c r="F318" s="17" t="inlineStr">
        <is>
          <t>TRUNG BÌNH</t>
        </is>
      </c>
      <c r="G318" s="18" t="inlineStr">
        <is>
          <t>RISK_MEDIUM · LARGE_SERIES</t>
        </is>
      </c>
      <c r="H318" s="19" t="n">
        <v>4359.718583251954</v>
      </c>
      <c r="I318" s="19" t="n">
        <v>5588.634799438477</v>
      </c>
      <c r="J318" s="19" t="n">
        <v>7148.962996826172</v>
      </c>
      <c r="K318" s="19" t="n">
        <v>5588.634799438477</v>
      </c>
      <c r="L318" s="19" t="n">
        <v>6563.839922805786</v>
      </c>
      <c r="M318" s="19" t="n">
        <v>7148.962996826172</v>
      </c>
      <c r="N318" s="17" t="inlineStr">
        <is>
          <t>C</t>
        </is>
      </c>
      <c r="O318" s="19" t="n">
        <v>2678.05515727539</v>
      </c>
      <c r="P318" s="18" t="inlineStr">
        <is>
          <t>CÂN NHẮC THỬ NGHIỆM</t>
        </is>
      </c>
      <c r="Q318" s="17" t="inlineStr">
        <is>
          <t>Không</t>
        </is>
      </c>
      <c r="R318" s="20" t="n"/>
      <c r="S318" s="20" t="n"/>
      <c r="T318" s="21" t="n"/>
      <c r="U318" s="21" t="n"/>
      <c r="V318" s="22">
        <f>IF(U318="A",K318,IF(U318="B",L318,IF(U318="C",M318,IF(N318="A",K318,IF(N318="B",L318,M318)))))</f>
        <v/>
      </c>
      <c r="W318" s="22">
        <f>IF(R318="",O318,MAX(V318-R318-N(S318),0))</f>
        <v/>
      </c>
      <c r="X318" s="20" t="n"/>
      <c r="Y318" s="23">
        <f>IF(OR(X318="",W318=0),"",X318/W318-1)</f>
        <v/>
      </c>
      <c r="Z318" s="24" t="n"/>
      <c r="AA318" s="21" t="n"/>
      <c r="AB318" s="25" t="n"/>
      <c r="AC318" s="26">
        <f>IF(T318="","Chưa quyết định",IF(OR(Z318="",AA318=""),"⚠ Thiếu lý do/người duyệt",IF(AND(X318&lt;&gt;"",N(X318)+N(R318)+N(S318)&gt;M318*1.001,R318&lt;&gt;""),"⚠ Vượt mục tiêu P90",IF(AND(Y318&lt;&gt;"",ABS(N(Y318))&gt;0.3),"⚠ Lệch &gt; 30% so với nhu cầu",IF(Q318="Có","ℹ Kiểm tra ngoại suy KM","✓ Hợp lệ")))))</f>
        <v/>
      </c>
    </row>
    <row r="319">
      <c r="A319" s="16" t="n">
        <v>315</v>
      </c>
      <c r="B319" s="17" t="inlineStr">
        <is>
          <t>DEC-S08-EGGS</t>
        </is>
      </c>
      <c r="C319" s="16" t="n">
        <v>8</v>
      </c>
      <c r="D319" s="17" t="inlineStr">
        <is>
          <t>EGGS</t>
        </is>
      </c>
      <c r="E319" s="17" t="inlineStr">
        <is>
          <t>MEDIUM</t>
        </is>
      </c>
      <c r="F319" s="17" t="inlineStr">
        <is>
          <t>TRUNG BÌNH</t>
        </is>
      </c>
      <c r="G319" s="18" t="inlineStr">
        <is>
          <t>RISK_MEDIUM · LARGE_SERIES</t>
        </is>
      </c>
      <c r="H319" s="19" t="n">
        <v>4358.248208984375</v>
      </c>
      <c r="I319" s="19" t="n">
        <v>5520.678647949218</v>
      </c>
      <c r="J319" s="19" t="n">
        <v>6998.99688671875</v>
      </c>
      <c r="K319" s="19" t="n">
        <v>5520.678647949218</v>
      </c>
      <c r="L319" s="19" t="n">
        <v>6444.627547180175</v>
      </c>
      <c r="M319" s="19" t="n">
        <v>6998.99688671875</v>
      </c>
      <c r="N319" s="17" t="inlineStr">
        <is>
          <t>C</t>
        </is>
      </c>
      <c r="O319" s="19" t="n">
        <v>2582.453968359375</v>
      </c>
      <c r="P319" s="18" t="inlineStr">
        <is>
          <t>CÂN NHẮC THỬ NGHIỆM</t>
        </is>
      </c>
      <c r="Q319" s="17" t="inlineStr">
        <is>
          <t>Không</t>
        </is>
      </c>
      <c r="R319" s="20" t="n"/>
      <c r="S319" s="20" t="n"/>
      <c r="T319" s="21" t="n"/>
      <c r="U319" s="21" t="n"/>
      <c r="V319" s="22">
        <f>IF(U319="A",K319,IF(U319="B",L319,IF(U319="C",M319,IF(N319="A",K319,IF(N319="B",L319,M319)))))</f>
        <v/>
      </c>
      <c r="W319" s="22">
        <f>IF(R319="",O319,MAX(V319-R319-N(S319),0))</f>
        <v/>
      </c>
      <c r="X319" s="20" t="n"/>
      <c r="Y319" s="23">
        <f>IF(OR(X319="",W319=0),"",X319/W319-1)</f>
        <v/>
      </c>
      <c r="Z319" s="24" t="n"/>
      <c r="AA319" s="21" t="n"/>
      <c r="AB319" s="25" t="n"/>
      <c r="AC319" s="26">
        <f>IF(T319="","Chưa quyết định",IF(OR(Z319="",AA319=""),"⚠ Thiếu lý do/người duyệt",IF(AND(X319&lt;&gt;"",N(X319)+N(R319)+N(S319)&gt;M319*1.001,R319&lt;&gt;""),"⚠ Vượt mục tiêu P90",IF(AND(Y319&lt;&gt;"",ABS(N(Y319))&gt;0.3),"⚠ Lệch &gt; 30% so với nhu cầu",IF(Q319="Có","ℹ Kiểm tra ngoại suy KM","✓ Hợp lệ")))))</f>
        <v/>
      </c>
    </row>
    <row r="320">
      <c r="A320" s="16" t="n">
        <v>316</v>
      </c>
      <c r="B320" s="17" t="inlineStr">
        <is>
          <t>DEC-S45-FROZEN_FOODS</t>
        </is>
      </c>
      <c r="C320" s="16" t="n">
        <v>45</v>
      </c>
      <c r="D320" s="17" t="inlineStr">
        <is>
          <t>FROZEN FOODS</t>
        </is>
      </c>
      <c r="E320" s="17" t="inlineStr">
        <is>
          <t>MEDIUM</t>
        </is>
      </c>
      <c r="F320" s="17" t="inlineStr">
        <is>
          <t>TRUNG BÌNH</t>
        </is>
      </c>
      <c r="G320" s="18" t="inlineStr">
        <is>
          <t>RISK_MEDIUM · LARGE_SERIES</t>
        </is>
      </c>
      <c r="H320" s="19" t="n">
        <v>4251.237427856445</v>
      </c>
      <c r="I320" s="19" t="n">
        <v>5480.153644042969</v>
      </c>
      <c r="J320" s="19" t="n">
        <v>7040.481841430664</v>
      </c>
      <c r="K320" s="19" t="n">
        <v>5480.153644042969</v>
      </c>
      <c r="L320" s="19" t="n">
        <v>6455.358767410278</v>
      </c>
      <c r="M320" s="19" t="n">
        <v>7040.481841430664</v>
      </c>
      <c r="N320" s="17" t="inlineStr">
        <is>
          <t>C</t>
        </is>
      </c>
      <c r="O320" s="19" t="n">
        <v>2656.358926196288</v>
      </c>
      <c r="P320" s="18" t="inlineStr">
        <is>
          <t>CÂN NHẮC THỬ NGHIỆM</t>
        </is>
      </c>
      <c r="Q320" s="17" t="inlineStr">
        <is>
          <t>Không</t>
        </is>
      </c>
      <c r="R320" s="20" t="n"/>
      <c r="S320" s="20" t="n"/>
      <c r="T320" s="21" t="n"/>
      <c r="U320" s="21" t="n"/>
      <c r="V320" s="22">
        <f>IF(U320="A",K320,IF(U320="B",L320,IF(U320="C",M320,IF(N320="A",K320,IF(N320="B",L320,M320)))))</f>
        <v/>
      </c>
      <c r="W320" s="22">
        <f>IF(R320="",O320,MAX(V320-R320-N(S320),0))</f>
        <v/>
      </c>
      <c r="X320" s="20" t="n"/>
      <c r="Y320" s="23">
        <f>IF(OR(X320="",W320=0),"",X320/W320-1)</f>
        <v/>
      </c>
      <c r="Z320" s="24" t="n"/>
      <c r="AA320" s="21" t="n"/>
      <c r="AB320" s="25" t="n"/>
      <c r="AC320" s="26">
        <f>IF(T320="","Chưa quyết định",IF(OR(Z320="",AA320=""),"⚠ Thiếu lý do/người duyệt",IF(AND(X320&lt;&gt;"",N(X320)+N(R320)+N(S320)&gt;M320*1.001,R320&lt;&gt;""),"⚠ Vượt mục tiêu P90",IF(AND(Y320&lt;&gt;"",ABS(N(Y320))&gt;0.3),"⚠ Lệch &gt; 30% so với nhu cầu",IF(Q320="Có","ℹ Kiểm tra ngoại suy KM","✓ Hợp lệ")))))</f>
        <v/>
      </c>
    </row>
    <row r="321">
      <c r="A321" s="16" t="n">
        <v>317</v>
      </c>
      <c r="B321" s="17" t="inlineStr">
        <is>
          <t>DEC-S39-PERSONAL_CARE</t>
        </is>
      </c>
      <c r="C321" s="16" t="n">
        <v>39</v>
      </c>
      <c r="D321" s="17" t="inlineStr">
        <is>
          <t>PERSONAL CARE</t>
        </is>
      </c>
      <c r="E321" s="17" t="inlineStr">
        <is>
          <t>MEDIUM</t>
        </is>
      </c>
      <c r="F321" s="17" t="inlineStr">
        <is>
          <t>TRUNG BÌNH</t>
        </is>
      </c>
      <c r="G321" s="18" t="inlineStr">
        <is>
          <t>RISK_MEDIUM · LARGE_SERIES</t>
        </is>
      </c>
      <c r="H321" s="19" t="n">
        <v>4293.728052124024</v>
      </c>
      <c r="I321" s="19" t="n">
        <v>5456.158491088867</v>
      </c>
      <c r="J321" s="19" t="n">
        <v>6934.476729858398</v>
      </c>
      <c r="K321" s="19" t="n">
        <v>5456.158491088867</v>
      </c>
      <c r="L321" s="19" t="n">
        <v>6380.107390319824</v>
      </c>
      <c r="M321" s="19" t="n">
        <v>6934.476729858398</v>
      </c>
      <c r="N321" s="17" t="inlineStr">
        <is>
          <t>C</t>
        </is>
      </c>
      <c r="O321" s="19" t="n">
        <v>2569.549936987305</v>
      </c>
      <c r="P321" s="18" t="inlineStr">
        <is>
          <t>KHÔNG ĐỀ XUẤT TĂNG</t>
        </is>
      </c>
      <c r="Q321" s="17" t="inlineStr">
        <is>
          <t>Không</t>
        </is>
      </c>
      <c r="R321" s="20" t="n"/>
      <c r="S321" s="20" t="n"/>
      <c r="T321" s="21" t="n"/>
      <c r="U321" s="21" t="n"/>
      <c r="V321" s="22">
        <f>IF(U321="A",K321,IF(U321="B",L321,IF(U321="C",M321,IF(N321="A",K321,IF(N321="B",L321,M321)))))</f>
        <v/>
      </c>
      <c r="W321" s="22">
        <f>IF(R321="",O321,MAX(V321-R321-N(S321),0))</f>
        <v/>
      </c>
      <c r="X321" s="20" t="n"/>
      <c r="Y321" s="23">
        <f>IF(OR(X321="",W321=0),"",X321/W321-1)</f>
        <v/>
      </c>
      <c r="Z321" s="24" t="n"/>
      <c r="AA321" s="21" t="n"/>
      <c r="AB321" s="25" t="n"/>
      <c r="AC321" s="26">
        <f>IF(T321="","Chưa quyết định",IF(OR(Z321="",AA321=""),"⚠ Thiếu lý do/người duyệt",IF(AND(X321&lt;&gt;"",N(X321)+N(R321)+N(S321)&gt;M321*1.001,R321&lt;&gt;""),"⚠ Vượt mục tiêu P90",IF(AND(Y321&lt;&gt;"",ABS(N(Y321))&gt;0.3),"⚠ Lệch &gt; 30% so với nhu cầu",IF(Q321="Có","ℹ Kiểm tra ngoại suy KM","✓ Hợp lệ")))))</f>
        <v/>
      </c>
    </row>
    <row r="322">
      <c r="A322" s="16" t="n">
        <v>318</v>
      </c>
      <c r="B322" s="17" t="inlineStr">
        <is>
          <t>DEC-S28-PERSONAL_CARE</t>
        </is>
      </c>
      <c r="C322" s="16" t="n">
        <v>28</v>
      </c>
      <c r="D322" s="17" t="inlineStr">
        <is>
          <t>PERSONAL CARE</t>
        </is>
      </c>
      <c r="E322" s="17" t="inlineStr">
        <is>
          <t>MEDIUM</t>
        </is>
      </c>
      <c r="F322" s="17" t="inlineStr">
        <is>
          <t>TRUNG BÌNH</t>
        </is>
      </c>
      <c r="G322" s="18" t="inlineStr">
        <is>
          <t>RISK_MEDIUM · LARGE_SERIES</t>
        </is>
      </c>
      <c r="H322" s="19" t="n">
        <v>4421.926189086914</v>
      </c>
      <c r="I322" s="19" t="n">
        <v>5451.385073608399</v>
      </c>
      <c r="J322" s="19" t="n">
        <v>6765.683395141601</v>
      </c>
      <c r="K322" s="19" t="n">
        <v>5451.385073608399</v>
      </c>
      <c r="L322" s="19" t="n">
        <v>6272.821524566651</v>
      </c>
      <c r="M322" s="19" t="n">
        <v>6765.683395141601</v>
      </c>
      <c r="N322" s="17" t="inlineStr">
        <is>
          <t>C</t>
        </is>
      </c>
      <c r="O322" s="19" t="n">
        <v>2404.575336254882</v>
      </c>
      <c r="P322" s="18" t="inlineStr">
        <is>
          <t>KHÔNG ĐỀ XUẤT TĂNG</t>
        </is>
      </c>
      <c r="Q322" s="17" t="inlineStr">
        <is>
          <t>Không</t>
        </is>
      </c>
      <c r="R322" s="20" t="n"/>
      <c r="S322" s="20" t="n"/>
      <c r="T322" s="21" t="n"/>
      <c r="U322" s="21" t="n"/>
      <c r="V322" s="22">
        <f>IF(U322="A",K322,IF(U322="B",L322,IF(U322="C",M322,IF(N322="A",K322,IF(N322="B",L322,M322)))))</f>
        <v/>
      </c>
      <c r="W322" s="22">
        <f>IF(R322="",O322,MAX(V322-R322-N(S322),0))</f>
        <v/>
      </c>
      <c r="X322" s="20" t="n"/>
      <c r="Y322" s="23">
        <f>IF(OR(X322="",W322=0),"",X322/W322-1)</f>
        <v/>
      </c>
      <c r="Z322" s="24" t="n"/>
      <c r="AA322" s="21" t="n"/>
      <c r="AB322" s="25" t="n"/>
      <c r="AC322" s="26">
        <f>IF(T322="","Chưa quyết định",IF(OR(Z322="",AA322=""),"⚠ Thiếu lý do/người duyệt",IF(AND(X322&lt;&gt;"",N(X322)+N(R322)+N(S322)&gt;M322*1.001,R322&lt;&gt;""),"⚠ Vượt mục tiêu P90",IF(AND(Y322&lt;&gt;"",ABS(N(Y322))&gt;0.3),"⚠ Lệch &gt; 30% so với nhu cầu",IF(Q322="Có","ℹ Kiểm tra ngoại suy KM","✓ Hợp lệ")))))</f>
        <v/>
      </c>
    </row>
    <row r="323">
      <c r="A323" s="16" t="n">
        <v>319</v>
      </c>
      <c r="B323" s="17" t="inlineStr">
        <is>
          <t>DEC-S01-POULTRY</t>
        </is>
      </c>
      <c r="C323" s="16" t="n">
        <v>1</v>
      </c>
      <c r="D323" s="17" t="inlineStr">
        <is>
          <t>POULTRY</t>
        </is>
      </c>
      <c r="E323" s="17" t="inlineStr">
        <is>
          <t>MEDIUM</t>
        </is>
      </c>
      <c r="F323" s="17" t="inlineStr">
        <is>
          <t>TRUNG BÌNH</t>
        </is>
      </c>
      <c r="G323" s="18" t="inlineStr">
        <is>
          <t>RISK_MEDIUM · LARGE_SERIES</t>
        </is>
      </c>
      <c r="H323" s="19" t="n">
        <v>4391.74923815918</v>
      </c>
      <c r="I323" s="19" t="n">
        <v>5450.173495727538</v>
      </c>
      <c r="J323" s="19" t="n">
        <v>6789.963934692383</v>
      </c>
      <c r="K323" s="19" t="n">
        <v>5450.173495727538</v>
      </c>
      <c r="L323" s="19" t="n">
        <v>6287.542520080567</v>
      </c>
      <c r="M323" s="19" t="n">
        <v>6789.963934692383</v>
      </c>
      <c r="N323" s="17" t="inlineStr">
        <is>
          <t>C</t>
        </is>
      </c>
      <c r="O323" s="19" t="n">
        <v>2429.825138110352</v>
      </c>
      <c r="P323" s="18" t="inlineStr">
        <is>
          <t>CÂN NHẮC THỬ NGHIỆM</t>
        </is>
      </c>
      <c r="Q323" s="17" t="inlineStr">
        <is>
          <t>Không</t>
        </is>
      </c>
      <c r="R323" s="20" t="n"/>
      <c r="S323" s="20" t="n"/>
      <c r="T323" s="21" t="n"/>
      <c r="U323" s="21" t="n"/>
      <c r="V323" s="22">
        <f>IF(U323="A",K323,IF(U323="B",L323,IF(U323="C",M323,IF(N323="A",K323,IF(N323="B",L323,M323)))))</f>
        <v/>
      </c>
      <c r="W323" s="22">
        <f>IF(R323="",O323,MAX(V323-R323-N(S323),0))</f>
        <v/>
      </c>
      <c r="X323" s="20" t="n"/>
      <c r="Y323" s="23">
        <f>IF(OR(X323="",W323=0),"",X323/W323-1)</f>
        <v/>
      </c>
      <c r="Z323" s="24" t="n"/>
      <c r="AA323" s="21" t="n"/>
      <c r="AB323" s="25" t="n"/>
      <c r="AC323" s="26">
        <f>IF(T323="","Chưa quyết định",IF(OR(Z323="",AA323=""),"⚠ Thiếu lý do/người duyệt",IF(AND(X323&lt;&gt;"",N(X323)+N(R323)+N(S323)&gt;M323*1.001,R323&lt;&gt;""),"⚠ Vượt mục tiêu P90",IF(AND(Y323&lt;&gt;"",ABS(N(Y323))&gt;0.3),"⚠ Lệch &gt; 30% so với nhu cầu",IF(Q323="Có","ℹ Kiểm tra ngoại suy KM","✓ Hợp lệ")))))</f>
        <v/>
      </c>
    </row>
    <row r="324">
      <c r="A324" s="16" t="n">
        <v>320</v>
      </c>
      <c r="B324" s="17" t="inlineStr">
        <is>
          <t>DEC-S06-PERSONAL_CARE</t>
        </is>
      </c>
      <c r="C324" s="16" t="n">
        <v>6</v>
      </c>
      <c r="D324" s="17" t="inlineStr">
        <is>
          <t>PERSONAL CARE</t>
        </is>
      </c>
      <c r="E324" s="17" t="inlineStr">
        <is>
          <t>MEDIUM</t>
        </is>
      </c>
      <c r="F324" s="17" t="inlineStr">
        <is>
          <t>TRUNG BÌNH</t>
        </is>
      </c>
      <c r="G324" s="18" t="inlineStr">
        <is>
          <t>RISK_MEDIUM · LARGE_SERIES</t>
        </is>
      </c>
      <c r="H324" s="19" t="n">
        <v>4350.682467285156</v>
      </c>
      <c r="I324" s="19" t="n">
        <v>5446.62712902832</v>
      </c>
      <c r="J324" s="19" t="n">
        <v>6842.935409179688</v>
      </c>
      <c r="K324" s="19" t="n">
        <v>5446.62712902832</v>
      </c>
      <c r="L324" s="19" t="n">
        <v>6319.319804122925</v>
      </c>
      <c r="M324" s="19" t="n">
        <v>6842.935409179688</v>
      </c>
      <c r="N324" s="17" t="inlineStr">
        <is>
          <t>C</t>
        </is>
      </c>
      <c r="O324" s="19" t="n">
        <v>2485.633705957031</v>
      </c>
      <c r="P324" s="18" t="inlineStr">
        <is>
          <t>KHÔNG ĐỀ XUẤT TĂNG</t>
        </is>
      </c>
      <c r="Q324" s="17" t="inlineStr">
        <is>
          <t>Không</t>
        </is>
      </c>
      <c r="R324" s="20" t="n"/>
      <c r="S324" s="20" t="n"/>
      <c r="T324" s="21" t="n"/>
      <c r="U324" s="21" t="n"/>
      <c r="V324" s="22">
        <f>IF(U324="A",K324,IF(U324="B",L324,IF(U324="C",M324,IF(N324="A",K324,IF(N324="B",L324,M324)))))</f>
        <v/>
      </c>
      <c r="W324" s="22">
        <f>IF(R324="",O324,MAX(V324-R324-N(S324),0))</f>
        <v/>
      </c>
      <c r="X324" s="20" t="n"/>
      <c r="Y324" s="23">
        <f>IF(OR(X324="",W324=0),"",X324/W324-1)</f>
        <v/>
      </c>
      <c r="Z324" s="24" t="n"/>
      <c r="AA324" s="21" t="n"/>
      <c r="AB324" s="25" t="n"/>
      <c r="AC324" s="26">
        <f>IF(T324="","Chưa quyết định",IF(OR(Z324="",AA324=""),"⚠ Thiếu lý do/người duyệt",IF(AND(X324&lt;&gt;"",N(X324)+N(R324)+N(S324)&gt;M324*1.001,R324&lt;&gt;""),"⚠ Vượt mục tiêu P90",IF(AND(Y324&lt;&gt;"",ABS(N(Y324))&gt;0.3),"⚠ Lệch &gt; 30% so với nhu cầu",IF(Q324="Có","ℹ Kiểm tra ngoại suy KM","✓ Hợp lệ")))))</f>
        <v/>
      </c>
    </row>
    <row r="325">
      <c r="A325" s="16" t="n">
        <v>321</v>
      </c>
      <c r="B325" s="17" t="inlineStr">
        <is>
          <t>DEC-S17-HOME_CARE</t>
        </is>
      </c>
      <c r="C325" s="16" t="n">
        <v>17</v>
      </c>
      <c r="D325" s="17" t="inlineStr">
        <is>
          <t>HOME CARE</t>
        </is>
      </c>
      <c r="E325" s="17" t="inlineStr">
        <is>
          <t>MEDIUM</t>
        </is>
      </c>
      <c r="F325" s="17" t="inlineStr">
        <is>
          <t>TRUNG BÌNH</t>
        </is>
      </c>
      <c r="G325" s="18" t="inlineStr">
        <is>
          <t>RISK_MEDIUM · LARGE_SERIES</t>
        </is>
      </c>
      <c r="H325" s="19" t="n">
        <v>4326.718181274414</v>
      </c>
      <c r="I325" s="19" t="n">
        <v>5356.177065795899</v>
      </c>
      <c r="J325" s="19" t="n">
        <v>6670.475387329101</v>
      </c>
      <c r="K325" s="19" t="n">
        <v>5356.177065795899</v>
      </c>
      <c r="L325" s="19" t="n">
        <v>6177.613516754151</v>
      </c>
      <c r="M325" s="19" t="n">
        <v>6670.475387329101</v>
      </c>
      <c r="N325" s="17" t="inlineStr">
        <is>
          <t>C</t>
        </is>
      </c>
      <c r="O325" s="19" t="n">
        <v>2385.533734692381</v>
      </c>
      <c r="P325" s="18" t="inlineStr">
        <is>
          <t>KHÔNG ĐỀ XUẤT TĂNG</t>
        </is>
      </c>
      <c r="Q325" s="17" t="inlineStr">
        <is>
          <t>Không</t>
        </is>
      </c>
      <c r="R325" s="20" t="n"/>
      <c r="S325" s="20" t="n"/>
      <c r="T325" s="21" t="n"/>
      <c r="U325" s="21" t="n"/>
      <c r="V325" s="22">
        <f>IF(U325="A",K325,IF(U325="B",L325,IF(U325="C",M325,IF(N325="A",K325,IF(N325="B",L325,M325)))))</f>
        <v/>
      </c>
      <c r="W325" s="22">
        <f>IF(R325="",O325,MAX(V325-R325-N(S325),0))</f>
        <v/>
      </c>
      <c r="X325" s="20" t="n"/>
      <c r="Y325" s="23">
        <f>IF(OR(X325="",W325=0),"",X325/W325-1)</f>
        <v/>
      </c>
      <c r="Z325" s="24" t="n"/>
      <c r="AA325" s="21" t="n"/>
      <c r="AB325" s="25" t="n"/>
      <c r="AC325" s="26">
        <f>IF(T325="","Chưa quyết định",IF(OR(Z325="",AA325=""),"⚠ Thiếu lý do/người duyệt",IF(AND(X325&lt;&gt;"",N(X325)+N(R325)+N(S325)&gt;M325*1.001,R325&lt;&gt;""),"⚠ Vượt mục tiêu P90",IF(AND(Y325&lt;&gt;"",ABS(N(Y325))&gt;0.3),"⚠ Lệch &gt; 30% so với nhu cầu",IF(Q325="Có","ℹ Kiểm tra ngoại suy KM","✓ Hợp lệ")))))</f>
        <v/>
      </c>
    </row>
    <row r="326">
      <c r="A326" s="16" t="n">
        <v>322</v>
      </c>
      <c r="B326" s="17" t="inlineStr">
        <is>
          <t>DEC-S21-HOME_CARE</t>
        </is>
      </c>
      <c r="C326" s="16" t="n">
        <v>21</v>
      </c>
      <c r="D326" s="17" t="inlineStr">
        <is>
          <t>HOME CARE</t>
        </is>
      </c>
      <c r="E326" s="17" t="inlineStr">
        <is>
          <t>MEDIUM</t>
        </is>
      </c>
      <c r="F326" s="17" t="inlineStr">
        <is>
          <t>TRUNG BÌNH</t>
        </is>
      </c>
      <c r="G326" s="18" t="inlineStr">
        <is>
          <t>RISK_MEDIUM · LARGE_SERIES</t>
        </is>
      </c>
      <c r="H326" s="19" t="n">
        <v>4273.120326660156</v>
      </c>
      <c r="I326" s="19" t="n">
        <v>5302.579211181641</v>
      </c>
      <c r="J326" s="19" t="n">
        <v>6616.877532714843</v>
      </c>
      <c r="K326" s="19" t="n">
        <v>5302.579211181641</v>
      </c>
      <c r="L326" s="19" t="n">
        <v>6124.015662139893</v>
      </c>
      <c r="M326" s="19" t="n">
        <v>6616.877532714843</v>
      </c>
      <c r="N326" s="17" t="inlineStr">
        <is>
          <t>C</t>
        </is>
      </c>
      <c r="O326" s="19" t="n">
        <v>2374.814163769531</v>
      </c>
      <c r="P326" s="18" t="inlineStr">
        <is>
          <t>KHÔNG ĐỀ XUẤT TĂNG</t>
        </is>
      </c>
      <c r="Q326" s="17" t="inlineStr">
        <is>
          <t>Không</t>
        </is>
      </c>
      <c r="R326" s="20" t="n"/>
      <c r="S326" s="20" t="n"/>
      <c r="T326" s="21" t="n"/>
      <c r="U326" s="21" t="n"/>
      <c r="V326" s="22">
        <f>IF(U326="A",K326,IF(U326="B",L326,IF(U326="C",M326,IF(N326="A",K326,IF(N326="B",L326,M326)))))</f>
        <v/>
      </c>
      <c r="W326" s="22">
        <f>IF(R326="",O326,MAX(V326-R326-N(S326),0))</f>
        <v/>
      </c>
      <c r="X326" s="20" t="n"/>
      <c r="Y326" s="23">
        <f>IF(OR(X326="",W326=0),"",X326/W326-1)</f>
        <v/>
      </c>
      <c r="Z326" s="24" t="n"/>
      <c r="AA326" s="21" t="n"/>
      <c r="AB326" s="25" t="n"/>
      <c r="AC326" s="26">
        <f>IF(T326="","Chưa quyết định",IF(OR(Z326="",AA326=""),"⚠ Thiếu lý do/người duyệt",IF(AND(X326&lt;&gt;"",N(X326)+N(R326)+N(S326)&gt;M326*1.001,R326&lt;&gt;""),"⚠ Vượt mục tiêu P90",IF(AND(Y326&lt;&gt;"",ABS(N(Y326))&gt;0.3),"⚠ Lệch &gt; 30% so với nhu cầu",IF(Q326="Có","ℹ Kiểm tra ngoại suy KM","✓ Hợp lệ")))))</f>
        <v/>
      </c>
    </row>
    <row r="327">
      <c r="A327" s="16" t="n">
        <v>323</v>
      </c>
      <c r="B327" s="17" t="inlineStr">
        <is>
          <t>DEC-S38-HOME_CARE</t>
        </is>
      </c>
      <c r="C327" s="16" t="n">
        <v>38</v>
      </c>
      <c r="D327" s="17" t="inlineStr">
        <is>
          <t>HOME CARE</t>
        </is>
      </c>
      <c r="E327" s="17" t="inlineStr">
        <is>
          <t>MEDIUM</t>
        </is>
      </c>
      <c r="F327" s="17" t="inlineStr">
        <is>
          <t>TRUNG BÌNH</t>
        </is>
      </c>
      <c r="G327" s="18" t="inlineStr">
        <is>
          <t>RISK_MEDIUM · LARGE_SERIES</t>
        </is>
      </c>
      <c r="H327" s="19" t="n">
        <v>4127.491846069336</v>
      </c>
      <c r="I327" s="19" t="n">
        <v>5289.922285034179</v>
      </c>
      <c r="J327" s="19" t="n">
        <v>6768.240523803711</v>
      </c>
      <c r="K327" s="19" t="n">
        <v>5289.922285034179</v>
      </c>
      <c r="L327" s="19" t="n">
        <v>6213.871184265136</v>
      </c>
      <c r="M327" s="19" t="n">
        <v>6768.240523803711</v>
      </c>
      <c r="N327" s="17" t="inlineStr">
        <is>
          <t>C</t>
        </is>
      </c>
      <c r="O327" s="19" t="n">
        <v>2536.302695776367</v>
      </c>
      <c r="P327" s="18" t="inlineStr">
        <is>
          <t>KHÔNG ĐỀ XUẤT TĂNG</t>
        </is>
      </c>
      <c r="Q327" s="17" t="inlineStr">
        <is>
          <t>Không</t>
        </is>
      </c>
      <c r="R327" s="20" t="n"/>
      <c r="S327" s="20" t="n"/>
      <c r="T327" s="21" t="n"/>
      <c r="U327" s="21" t="n"/>
      <c r="V327" s="22">
        <f>IF(U327="A",K327,IF(U327="B",L327,IF(U327="C",M327,IF(N327="A",K327,IF(N327="B",L327,M327)))))</f>
        <v/>
      </c>
      <c r="W327" s="22">
        <f>IF(R327="",O327,MAX(V327-R327-N(S327),0))</f>
        <v/>
      </c>
      <c r="X327" s="20" t="n"/>
      <c r="Y327" s="23">
        <f>IF(OR(X327="",W327=0),"",X327/W327-1)</f>
        <v/>
      </c>
      <c r="Z327" s="24" t="n"/>
      <c r="AA327" s="21" t="n"/>
      <c r="AB327" s="25" t="n"/>
      <c r="AC327" s="26">
        <f>IF(T327="","Chưa quyết định",IF(OR(Z327="",AA327=""),"⚠ Thiếu lý do/người duyệt",IF(AND(X327&lt;&gt;"",N(X327)+N(R327)+N(S327)&gt;M327*1.001,R327&lt;&gt;""),"⚠ Vượt mục tiêu P90",IF(AND(Y327&lt;&gt;"",ABS(N(Y327))&gt;0.3),"⚠ Lệch &gt; 30% so với nhu cầu",IF(Q327="Có","ℹ Kiểm tra ngoại suy KM","✓ Hợp lệ")))))</f>
        <v/>
      </c>
    </row>
    <row r="328">
      <c r="A328" s="16" t="n">
        <v>324</v>
      </c>
      <c r="B328" s="17" t="inlineStr">
        <is>
          <t>DEC-S40-DELI</t>
        </is>
      </c>
      <c r="C328" s="16" t="n">
        <v>40</v>
      </c>
      <c r="D328" s="17" t="inlineStr">
        <is>
          <t>DELI</t>
        </is>
      </c>
      <c r="E328" s="17" t="inlineStr">
        <is>
          <t>MEDIUM</t>
        </is>
      </c>
      <c r="F328" s="17" t="inlineStr">
        <is>
          <t>TRUNG BÌNH</t>
        </is>
      </c>
      <c r="G328" s="18" t="inlineStr">
        <is>
          <t>RISK_MEDIUM · LARGE_SERIES</t>
        </is>
      </c>
      <c r="H328" s="19" t="n">
        <v>4245.674290161133</v>
      </c>
      <c r="I328" s="19" t="n">
        <v>5208.647397460937</v>
      </c>
      <c r="J328" s="19" t="n">
        <v>6440.935760375976</v>
      </c>
      <c r="K328" s="19" t="n">
        <v>5208.647397460937</v>
      </c>
      <c r="L328" s="19" t="n">
        <v>5978.827624282837</v>
      </c>
      <c r="M328" s="19" t="n">
        <v>6440.935760375976</v>
      </c>
      <c r="N328" s="17" t="inlineStr">
        <is>
          <t>C</t>
        </is>
      </c>
      <c r="O328" s="19" t="n">
        <v>2274.017842407226</v>
      </c>
      <c r="P328" s="18" t="inlineStr">
        <is>
          <t>KHÔNG ĐỀ XUẤT TĂNG</t>
        </is>
      </c>
      <c r="Q328" s="17" t="inlineStr">
        <is>
          <t>Không</t>
        </is>
      </c>
      <c r="R328" s="20" t="n"/>
      <c r="S328" s="20" t="n"/>
      <c r="T328" s="21" t="n"/>
      <c r="U328" s="21" t="n"/>
      <c r="V328" s="22">
        <f>IF(U328="A",K328,IF(U328="B",L328,IF(U328="C",M328,IF(N328="A",K328,IF(N328="B",L328,M328)))))</f>
        <v/>
      </c>
      <c r="W328" s="22">
        <f>IF(R328="",O328,MAX(V328-R328-N(S328),0))</f>
        <v/>
      </c>
      <c r="X328" s="20" t="n"/>
      <c r="Y328" s="23">
        <f>IF(OR(X328="",W328=0),"",X328/W328-1)</f>
        <v/>
      </c>
      <c r="Z328" s="24" t="n"/>
      <c r="AA328" s="21" t="n"/>
      <c r="AB328" s="25" t="n"/>
      <c r="AC328" s="26">
        <f>IF(T328="","Chưa quyết định",IF(OR(Z328="",AA328=""),"⚠ Thiếu lý do/người duyệt",IF(AND(X328&lt;&gt;"",N(X328)+N(R328)+N(S328)&gt;M328*1.001,R328&lt;&gt;""),"⚠ Vượt mục tiêu P90",IF(AND(Y328&lt;&gt;"",ABS(N(Y328))&gt;0.3),"⚠ Lệch &gt; 30% so với nhu cầu",IF(Q328="Có","ℹ Kiểm tra ngoại suy KM","✓ Hợp lệ")))))</f>
        <v/>
      </c>
    </row>
    <row r="329">
      <c r="A329" s="16" t="n">
        <v>325</v>
      </c>
      <c r="B329" s="17" t="inlineStr">
        <is>
          <t>DEC-S40-PERSONAL_CARE</t>
        </is>
      </c>
      <c r="C329" s="16" t="n">
        <v>40</v>
      </c>
      <c r="D329" s="17" t="inlineStr">
        <is>
          <t>PERSONAL CARE</t>
        </is>
      </c>
      <c r="E329" s="17" t="inlineStr">
        <is>
          <t>MEDIUM</t>
        </is>
      </c>
      <c r="F329" s="17" t="inlineStr">
        <is>
          <t>TRUNG BÌNH</t>
        </is>
      </c>
      <c r="G329" s="18" t="inlineStr">
        <is>
          <t>RISK_MEDIUM · LARGE_SERIES</t>
        </is>
      </c>
      <c r="H329" s="19" t="n">
        <v>4293.270093261719</v>
      </c>
      <c r="I329" s="19" t="n">
        <v>5189.757423339844</v>
      </c>
      <c r="J329" s="19" t="n">
        <v>6340.035827636719</v>
      </c>
      <c r="K329" s="19" t="n">
        <v>5189.757423339844</v>
      </c>
      <c r="L329" s="19" t="n">
        <v>5908.68142602539</v>
      </c>
      <c r="M329" s="19" t="n">
        <v>6340.035827636719</v>
      </c>
      <c r="N329" s="17" t="inlineStr">
        <is>
          <t>C</t>
        </is>
      </c>
      <c r="O329" s="19" t="n">
        <v>2188.229888964844</v>
      </c>
      <c r="P329" s="18" t="inlineStr">
        <is>
          <t>KHÔNG ĐỀ XUẤT TĂNG</t>
        </is>
      </c>
      <c r="Q329" s="17" t="inlineStr">
        <is>
          <t>Không</t>
        </is>
      </c>
      <c r="R329" s="20" t="n"/>
      <c r="S329" s="20" t="n"/>
      <c r="T329" s="21" t="n"/>
      <c r="U329" s="21" t="n"/>
      <c r="V329" s="22">
        <f>IF(U329="A",K329,IF(U329="B",L329,IF(U329="C",M329,IF(N329="A",K329,IF(N329="B",L329,M329)))))</f>
        <v/>
      </c>
      <c r="W329" s="22">
        <f>IF(R329="",O329,MAX(V329-R329-N(S329),0))</f>
        <v/>
      </c>
      <c r="X329" s="20" t="n"/>
      <c r="Y329" s="23">
        <f>IF(OR(X329="",W329=0),"",X329/W329-1)</f>
        <v/>
      </c>
      <c r="Z329" s="24" t="n"/>
      <c r="AA329" s="21" t="n"/>
      <c r="AB329" s="25" t="n"/>
      <c r="AC329" s="26">
        <f>IF(T329="","Chưa quyết định",IF(OR(Z329="",AA329=""),"⚠ Thiếu lý do/người duyệt",IF(AND(X329&lt;&gt;"",N(X329)+N(R329)+N(S329)&gt;M329*1.001,R329&lt;&gt;""),"⚠ Vượt mục tiêu P90",IF(AND(Y329&lt;&gt;"",ABS(N(Y329))&gt;0.3),"⚠ Lệch &gt; 30% so với nhu cầu",IF(Q329="Có","ℹ Kiểm tra ngoại suy KM","✓ Hợp lệ")))))</f>
        <v/>
      </c>
    </row>
    <row r="330">
      <c r="A330" s="16" t="n">
        <v>326</v>
      </c>
      <c r="B330" s="17" t="inlineStr">
        <is>
          <t>DEC-S19-DELI</t>
        </is>
      </c>
      <c r="C330" s="16" t="n">
        <v>19</v>
      </c>
      <c r="D330" s="17" t="inlineStr">
        <is>
          <t>DELI</t>
        </is>
      </c>
      <c r="E330" s="17" t="inlineStr">
        <is>
          <t>MEDIUM</t>
        </is>
      </c>
      <c r="F330" s="17" t="inlineStr">
        <is>
          <t>TRUNG BÌNH</t>
        </is>
      </c>
      <c r="G330" s="18" t="inlineStr">
        <is>
          <t>RISK_MEDIUM · LARGE_SERIES</t>
        </is>
      </c>
      <c r="H330" s="19" t="n">
        <v>4147.009624145508</v>
      </c>
      <c r="I330" s="19" t="n">
        <v>5176.468508666992</v>
      </c>
      <c r="J330" s="19" t="n">
        <v>6490.766830200195</v>
      </c>
      <c r="K330" s="19" t="n">
        <v>5176.468508666992</v>
      </c>
      <c r="L330" s="19" t="n">
        <v>5997.904959625244</v>
      </c>
      <c r="M330" s="19" t="n">
        <v>6490.766830200195</v>
      </c>
      <c r="N330" s="17" t="inlineStr">
        <is>
          <t>C</t>
        </is>
      </c>
      <c r="O330" s="19" t="n">
        <v>2349.5920232666</v>
      </c>
      <c r="P330" s="18" t="inlineStr">
        <is>
          <t>KHÔNG ĐỀ XUẤT TĂNG</t>
        </is>
      </c>
      <c r="Q330" s="17" t="inlineStr">
        <is>
          <t>Không</t>
        </is>
      </c>
      <c r="R330" s="20" t="n"/>
      <c r="S330" s="20" t="n"/>
      <c r="T330" s="21" t="n"/>
      <c r="U330" s="21" t="n"/>
      <c r="V330" s="22">
        <f>IF(U330="A",K330,IF(U330="B",L330,IF(U330="C",M330,IF(N330="A",K330,IF(N330="B",L330,M330)))))</f>
        <v/>
      </c>
      <c r="W330" s="22">
        <f>IF(R330="",O330,MAX(V330-R330-N(S330),0))</f>
        <v/>
      </c>
      <c r="X330" s="20" t="n"/>
      <c r="Y330" s="23">
        <f>IF(OR(X330="",W330=0),"",X330/W330-1)</f>
        <v/>
      </c>
      <c r="Z330" s="24" t="n"/>
      <c r="AA330" s="21" t="n"/>
      <c r="AB330" s="25" t="n"/>
      <c r="AC330" s="26">
        <f>IF(T330="","Chưa quyết định",IF(OR(Z330="",AA330=""),"⚠ Thiếu lý do/người duyệt",IF(AND(X330&lt;&gt;"",N(X330)+N(R330)+N(S330)&gt;M330*1.001,R330&lt;&gt;""),"⚠ Vượt mục tiêu P90",IF(AND(Y330&lt;&gt;"",ABS(N(Y330))&gt;0.3),"⚠ Lệch &gt; 30% so với nhu cầu",IF(Q330="Có","ℹ Kiểm tra ngoại suy KM","✓ Hợp lệ")))))</f>
        <v/>
      </c>
    </row>
    <row r="331">
      <c r="A331" s="16" t="n">
        <v>327</v>
      </c>
      <c r="B331" s="17" t="inlineStr">
        <is>
          <t>DEC-S25-BREAD_BAKERY</t>
        </is>
      </c>
      <c r="C331" s="16" t="n">
        <v>25</v>
      </c>
      <c r="D331" s="17" t="inlineStr">
        <is>
          <t>BREAD/BAKERY</t>
        </is>
      </c>
      <c r="E331" s="17" t="inlineStr">
        <is>
          <t>MEDIUM</t>
        </is>
      </c>
      <c r="F331" s="17" t="inlineStr">
        <is>
          <t>TRUNG BÌNH</t>
        </is>
      </c>
      <c r="G331" s="18" t="inlineStr">
        <is>
          <t>RISK_MEDIUM · LARGE_SERIES</t>
        </is>
      </c>
      <c r="H331" s="19" t="n">
        <v>4230.556119262696</v>
      </c>
      <c r="I331" s="19" t="n">
        <v>5127.04344934082</v>
      </c>
      <c r="J331" s="19" t="n">
        <v>6277.321853637695</v>
      </c>
      <c r="K331" s="19" t="n">
        <v>5127.04344934082</v>
      </c>
      <c r="L331" s="19" t="n">
        <v>5845.967452026367</v>
      </c>
      <c r="M331" s="19" t="n">
        <v>6277.321853637695</v>
      </c>
      <c r="N331" s="17" t="inlineStr">
        <is>
          <t>C</t>
        </is>
      </c>
      <c r="O331" s="19" t="n">
        <v>2175.687094165039</v>
      </c>
      <c r="P331" s="18" t="inlineStr">
        <is>
          <t>KHÔNG ĐỀ XUẤT TĂNG</t>
        </is>
      </c>
      <c r="Q331" s="17" t="inlineStr">
        <is>
          <t>Không</t>
        </is>
      </c>
      <c r="R331" s="20" t="n"/>
      <c r="S331" s="20" t="n"/>
      <c r="T331" s="21" t="n"/>
      <c r="U331" s="21" t="n"/>
      <c r="V331" s="22">
        <f>IF(U331="A",K331,IF(U331="B",L331,IF(U331="C",M331,IF(N331="A",K331,IF(N331="B",L331,M331)))))</f>
        <v/>
      </c>
      <c r="W331" s="22">
        <f>IF(R331="",O331,MAX(V331-R331-N(S331),0))</f>
        <v/>
      </c>
      <c r="X331" s="20" t="n"/>
      <c r="Y331" s="23">
        <f>IF(OR(X331="",W331=0),"",X331/W331-1)</f>
        <v/>
      </c>
      <c r="Z331" s="24" t="n"/>
      <c r="AA331" s="21" t="n"/>
      <c r="AB331" s="25" t="n"/>
      <c r="AC331" s="26">
        <f>IF(T331="","Chưa quyết định",IF(OR(Z331="",AA331=""),"⚠ Thiếu lý do/người duyệt",IF(AND(X331&lt;&gt;"",N(X331)+N(R331)+N(S331)&gt;M331*1.001,R331&lt;&gt;""),"⚠ Vượt mục tiêu P90",IF(AND(Y331&lt;&gt;"",ABS(N(Y331))&gt;0.3),"⚠ Lệch &gt; 30% so với nhu cầu",IF(Q331="Có","ℹ Kiểm tra ngoại suy KM","✓ Hợp lệ")))))</f>
        <v/>
      </c>
    </row>
    <row r="332">
      <c r="A332" s="16" t="n">
        <v>328</v>
      </c>
      <c r="B332" s="17" t="inlineStr">
        <is>
          <t>DEC-S10-DAIRY</t>
        </is>
      </c>
      <c r="C332" s="16" t="n">
        <v>10</v>
      </c>
      <c r="D332" s="17" t="inlineStr">
        <is>
          <t>DAIRY</t>
        </is>
      </c>
      <c r="E332" s="17" t="inlineStr">
        <is>
          <t>MEDIUM</t>
        </is>
      </c>
      <c r="F332" s="17" t="inlineStr">
        <is>
          <t>TRUNG BÌNH</t>
        </is>
      </c>
      <c r="G332" s="18" t="inlineStr">
        <is>
          <t>RISK_MEDIUM · LARGE_SERIES</t>
        </is>
      </c>
      <c r="H332" s="19" t="n">
        <v>4127.749241333007</v>
      </c>
      <c r="I332" s="19" t="n">
        <v>5090.722348632812</v>
      </c>
      <c r="J332" s="19" t="n">
        <v>6323.010711547851</v>
      </c>
      <c r="K332" s="19" t="n">
        <v>5090.722348632812</v>
      </c>
      <c r="L332" s="19" t="n">
        <v>5860.902575454712</v>
      </c>
      <c r="M332" s="19" t="n">
        <v>6323.010711547851</v>
      </c>
      <c r="N332" s="17" t="inlineStr">
        <is>
          <t>C</t>
        </is>
      </c>
      <c r="O332" s="19" t="n">
        <v>2250.432832641602</v>
      </c>
      <c r="P332" s="18" t="inlineStr">
        <is>
          <t>KHÔNG ĐỀ XUẤT TĂNG</t>
        </is>
      </c>
      <c r="Q332" s="17" t="inlineStr">
        <is>
          <t>Không</t>
        </is>
      </c>
      <c r="R332" s="20" t="n"/>
      <c r="S332" s="20" t="n"/>
      <c r="T332" s="21" t="n"/>
      <c r="U332" s="21" t="n"/>
      <c r="V332" s="22">
        <f>IF(U332="A",K332,IF(U332="B",L332,IF(U332="C",M332,IF(N332="A",K332,IF(N332="B",L332,M332)))))</f>
        <v/>
      </c>
      <c r="W332" s="22">
        <f>IF(R332="",O332,MAX(V332-R332-N(S332),0))</f>
        <v/>
      </c>
      <c r="X332" s="20" t="n"/>
      <c r="Y332" s="23">
        <f>IF(OR(X332="",W332=0),"",X332/W332-1)</f>
        <v/>
      </c>
      <c r="Z332" s="24" t="n"/>
      <c r="AA332" s="21" t="n"/>
      <c r="AB332" s="25" t="n"/>
      <c r="AC332" s="26">
        <f>IF(T332="","Chưa quyết định",IF(OR(Z332="",AA332=""),"⚠ Thiếu lý do/người duyệt",IF(AND(X332&lt;&gt;"",N(X332)+N(R332)+N(S332)&gt;M332*1.001,R332&lt;&gt;""),"⚠ Vượt mục tiêu P90",IF(AND(Y332&lt;&gt;"",ABS(N(Y332))&gt;0.3),"⚠ Lệch &gt; 30% so với nhu cầu",IF(Q332="Có","ℹ Kiểm tra ngoại suy KM","✓ Hợp lệ")))))</f>
        <v/>
      </c>
    </row>
    <row r="333">
      <c r="A333" s="16" t="n">
        <v>329</v>
      </c>
      <c r="B333" s="17" t="inlineStr">
        <is>
          <t>DEC-S23-POULTRY</t>
        </is>
      </c>
      <c r="C333" s="16" t="n">
        <v>23</v>
      </c>
      <c r="D333" s="17" t="inlineStr">
        <is>
          <t>POULTRY</t>
        </is>
      </c>
      <c r="E333" s="17" t="inlineStr">
        <is>
          <t>MEDIUM</t>
        </is>
      </c>
      <c r="F333" s="17" t="inlineStr">
        <is>
          <t>TRUNG BÌNH</t>
        </is>
      </c>
      <c r="G333" s="18" t="inlineStr">
        <is>
          <t>RISK_MEDIUM · LARGE_SERIES</t>
        </is>
      </c>
      <c r="H333" s="19" t="n">
        <v>4060.406551025391</v>
      </c>
      <c r="I333" s="19" t="n">
        <v>5089.865435546875</v>
      </c>
      <c r="J333" s="19" t="n">
        <v>6404.163757080078</v>
      </c>
      <c r="K333" s="19" t="n">
        <v>5089.865435546875</v>
      </c>
      <c r="L333" s="19" t="n">
        <v>5911.301886505127</v>
      </c>
      <c r="M333" s="19" t="n">
        <v>6404.163757080078</v>
      </c>
      <c r="N333" s="17" t="inlineStr">
        <is>
          <t>C</t>
        </is>
      </c>
      <c r="O333" s="19" t="n">
        <v>2332.271408642577</v>
      </c>
      <c r="P333" s="18" t="inlineStr">
        <is>
          <t>CÂN NHẮC THỬ NGHIỆM</t>
        </is>
      </c>
      <c r="Q333" s="17" t="inlineStr">
        <is>
          <t>Không</t>
        </is>
      </c>
      <c r="R333" s="20" t="n"/>
      <c r="S333" s="20" t="n"/>
      <c r="T333" s="21" t="n"/>
      <c r="U333" s="21" t="n"/>
      <c r="V333" s="22">
        <f>IF(U333="A",K333,IF(U333="B",L333,IF(U333="C",M333,IF(N333="A",K333,IF(N333="B",L333,M333)))))</f>
        <v/>
      </c>
      <c r="W333" s="22">
        <f>IF(R333="",O333,MAX(V333-R333-N(S333),0))</f>
        <v/>
      </c>
      <c r="X333" s="20" t="n"/>
      <c r="Y333" s="23">
        <f>IF(OR(X333="",W333=0),"",X333/W333-1)</f>
        <v/>
      </c>
      <c r="Z333" s="24" t="n"/>
      <c r="AA333" s="21" t="n"/>
      <c r="AB333" s="25" t="n"/>
      <c r="AC333" s="26">
        <f>IF(T333="","Chưa quyết định",IF(OR(Z333="",AA333=""),"⚠ Thiếu lý do/người duyệt",IF(AND(X333&lt;&gt;"",N(X333)+N(R333)+N(S333)&gt;M333*1.001,R333&lt;&gt;""),"⚠ Vượt mục tiêu P90",IF(AND(Y333&lt;&gt;"",ABS(N(Y333))&gt;0.3),"⚠ Lệch &gt; 30% so với nhu cầu",IF(Q333="Có","ℹ Kiểm tra ngoại suy KM","✓ Hợp lệ")))))</f>
        <v/>
      </c>
    </row>
    <row r="334">
      <c r="A334" s="16" t="n">
        <v>330</v>
      </c>
      <c r="B334" s="17" t="inlineStr">
        <is>
          <t>DEC-S44-PREPARED_FOODS</t>
        </is>
      </c>
      <c r="C334" s="16" t="n">
        <v>44</v>
      </c>
      <c r="D334" s="17" t="inlineStr">
        <is>
          <t>PREPARED FOODS</t>
        </is>
      </c>
      <c r="E334" s="17" t="inlineStr">
        <is>
          <t>MEDIUM</t>
        </is>
      </c>
      <c r="F334" s="17" t="inlineStr">
        <is>
          <t>TRUNG BÌNH</t>
        </is>
      </c>
      <c r="G334" s="18" t="inlineStr">
        <is>
          <t>RISK_MEDIUM · LARGE_SERIES</t>
        </is>
      </c>
      <c r="H334" s="19" t="n">
        <v>4186.198590576172</v>
      </c>
      <c r="I334" s="19" t="n">
        <v>5082.685920654297</v>
      </c>
      <c r="J334" s="19" t="n">
        <v>6232.964324951172</v>
      </c>
      <c r="K334" s="19" t="n">
        <v>5082.685920654297</v>
      </c>
      <c r="L334" s="19" t="n">
        <v>5801.609923339844</v>
      </c>
      <c r="M334" s="19" t="n">
        <v>6232.964324951172</v>
      </c>
      <c r="N334" s="17" t="inlineStr">
        <is>
          <t>C</t>
        </is>
      </c>
      <c r="O334" s="19" t="n">
        <v>2166.815588427734</v>
      </c>
      <c r="P334" s="18" t="inlineStr">
        <is>
          <t>CÂN NHẮC THỬ NGHIỆM</t>
        </is>
      </c>
      <c r="Q334" s="17" t="inlineStr">
        <is>
          <t>Không</t>
        </is>
      </c>
      <c r="R334" s="20" t="n"/>
      <c r="S334" s="20" t="n"/>
      <c r="T334" s="21" t="n"/>
      <c r="U334" s="21" t="n"/>
      <c r="V334" s="22">
        <f>IF(U334="A",K334,IF(U334="B",L334,IF(U334="C",M334,IF(N334="A",K334,IF(N334="B",L334,M334)))))</f>
        <v/>
      </c>
      <c r="W334" s="22">
        <f>IF(R334="",O334,MAX(V334-R334-N(S334),0))</f>
        <v/>
      </c>
      <c r="X334" s="20" t="n"/>
      <c r="Y334" s="23">
        <f>IF(OR(X334="",W334=0),"",X334/W334-1)</f>
        <v/>
      </c>
      <c r="Z334" s="24" t="n"/>
      <c r="AA334" s="21" t="n"/>
      <c r="AB334" s="25" t="n"/>
      <c r="AC334" s="26">
        <f>IF(T334="","Chưa quyết định",IF(OR(Z334="",AA334=""),"⚠ Thiếu lý do/người duyệt",IF(AND(X334&lt;&gt;"",N(X334)+N(R334)+N(S334)&gt;M334*1.001,R334&lt;&gt;""),"⚠ Vượt mục tiêu P90",IF(AND(Y334&lt;&gt;"",ABS(N(Y334))&gt;0.3),"⚠ Lệch &gt; 30% so với nhu cầu",IF(Q334="Có","ℹ Kiểm tra ngoại suy KM","✓ Hợp lệ")))))</f>
        <v/>
      </c>
    </row>
    <row r="335">
      <c r="A335" s="16" t="n">
        <v>331</v>
      </c>
      <c r="B335" s="17" t="inlineStr">
        <is>
          <t>DEC-S31-HOME_CARE</t>
        </is>
      </c>
      <c r="C335" s="16" t="n">
        <v>31</v>
      </c>
      <c r="D335" s="17" t="inlineStr">
        <is>
          <t>HOME CARE</t>
        </is>
      </c>
      <c r="E335" s="17" t="inlineStr">
        <is>
          <t>MEDIUM</t>
        </is>
      </c>
      <c r="F335" s="17" t="inlineStr">
        <is>
          <t>TRUNG BÌNH</t>
        </is>
      </c>
      <c r="G335" s="18" t="inlineStr">
        <is>
          <t>RISK_MEDIUM · LARGE_SERIES</t>
        </is>
      </c>
      <c r="H335" s="19" t="n">
        <v>4112.309147338867</v>
      </c>
      <c r="I335" s="19" t="n">
        <v>5075.282254638672</v>
      </c>
      <c r="J335" s="19" t="n">
        <v>6307.570617553711</v>
      </c>
      <c r="K335" s="19" t="n">
        <v>5075.282254638672</v>
      </c>
      <c r="L335" s="19" t="n">
        <v>5845.462481460571</v>
      </c>
      <c r="M335" s="19" t="n">
        <v>6307.570617553711</v>
      </c>
      <c r="N335" s="17" t="inlineStr">
        <is>
          <t>C</t>
        </is>
      </c>
      <c r="O335" s="19" t="n">
        <v>2247.344813842774</v>
      </c>
      <c r="P335" s="18" t="inlineStr">
        <is>
          <t>KHÔNG ĐỀ XUẤT TĂNG</t>
        </is>
      </c>
      <c r="Q335" s="17" t="inlineStr">
        <is>
          <t>Không</t>
        </is>
      </c>
      <c r="R335" s="20" t="n"/>
      <c r="S335" s="20" t="n"/>
      <c r="T335" s="21" t="n"/>
      <c r="U335" s="21" t="n"/>
      <c r="V335" s="22">
        <f>IF(U335="A",K335,IF(U335="B",L335,IF(U335="C",M335,IF(N335="A",K335,IF(N335="B",L335,M335)))))</f>
        <v/>
      </c>
      <c r="W335" s="22">
        <f>IF(R335="",O335,MAX(V335-R335-N(S335),0))</f>
        <v/>
      </c>
      <c r="X335" s="20" t="n"/>
      <c r="Y335" s="23">
        <f>IF(OR(X335="",W335=0),"",X335/W335-1)</f>
        <v/>
      </c>
      <c r="Z335" s="24" t="n"/>
      <c r="AA335" s="21" t="n"/>
      <c r="AB335" s="25" t="n"/>
      <c r="AC335" s="26">
        <f>IF(T335="","Chưa quyết định",IF(OR(Z335="",AA335=""),"⚠ Thiếu lý do/người duyệt",IF(AND(X335&lt;&gt;"",N(X335)+N(R335)+N(S335)&gt;M335*1.001,R335&lt;&gt;""),"⚠ Vượt mục tiêu P90",IF(AND(Y335&lt;&gt;"",ABS(N(Y335))&gt;0.3),"⚠ Lệch &gt; 30% so với nhu cầu",IF(Q335="Có","ℹ Kiểm tra ngoại suy KM","✓ Hợp lệ")))))</f>
        <v/>
      </c>
    </row>
    <row r="336">
      <c r="A336" s="16" t="n">
        <v>332</v>
      </c>
      <c r="B336" s="17" t="inlineStr">
        <is>
          <t>DEC-S28-HOME_CARE</t>
        </is>
      </c>
      <c r="C336" s="16" t="n">
        <v>28</v>
      </c>
      <c r="D336" s="17" t="inlineStr">
        <is>
          <t>HOME CARE</t>
        </is>
      </c>
      <c r="E336" s="17" t="inlineStr">
        <is>
          <t>MEDIUM</t>
        </is>
      </c>
      <c r="F336" s="17" t="inlineStr">
        <is>
          <t>TRUNG BÌNH</t>
        </is>
      </c>
      <c r="G336" s="18" t="inlineStr">
        <is>
          <t>RISK_MEDIUM · LARGE_SERIES</t>
        </is>
      </c>
      <c r="H336" s="19" t="n">
        <v>4038.240901611328</v>
      </c>
      <c r="I336" s="19" t="n">
        <v>5067.699786132813</v>
      </c>
      <c r="J336" s="19" t="n">
        <v>6381.998107666015</v>
      </c>
      <c r="K336" s="19" t="n">
        <v>5067.699786132813</v>
      </c>
      <c r="L336" s="19" t="n">
        <v>5889.136237091065</v>
      </c>
      <c r="M336" s="19" t="n">
        <v>6381.998107666015</v>
      </c>
      <c r="N336" s="17" t="inlineStr">
        <is>
          <t>C</t>
        </is>
      </c>
      <c r="O336" s="19" t="n">
        <v>2327.838278759766</v>
      </c>
      <c r="P336" s="18" t="inlineStr">
        <is>
          <t>KHÔNG ĐỀ XUẤT TĂNG</t>
        </is>
      </c>
      <c r="Q336" s="17" t="inlineStr">
        <is>
          <t>Không</t>
        </is>
      </c>
      <c r="R336" s="20" t="n"/>
      <c r="S336" s="20" t="n"/>
      <c r="T336" s="21" t="n"/>
      <c r="U336" s="21" t="n"/>
      <c r="V336" s="22">
        <f>IF(U336="A",K336,IF(U336="B",L336,IF(U336="C",M336,IF(N336="A",K336,IF(N336="B",L336,M336)))))</f>
        <v/>
      </c>
      <c r="W336" s="22">
        <f>IF(R336="",O336,MAX(V336-R336-N(S336),0))</f>
        <v/>
      </c>
      <c r="X336" s="20" t="n"/>
      <c r="Y336" s="23">
        <f>IF(OR(X336="",W336=0),"",X336/W336-1)</f>
        <v/>
      </c>
      <c r="Z336" s="24" t="n"/>
      <c r="AA336" s="21" t="n"/>
      <c r="AB336" s="25" t="n"/>
      <c r="AC336" s="26">
        <f>IF(T336="","Chưa quyết định",IF(OR(Z336="",AA336=""),"⚠ Thiếu lý do/người duyệt",IF(AND(X336&lt;&gt;"",N(X336)+N(R336)+N(S336)&gt;M336*1.001,R336&lt;&gt;""),"⚠ Vượt mục tiêu P90",IF(AND(Y336&lt;&gt;"",ABS(N(Y336))&gt;0.3),"⚠ Lệch &gt; 30% so với nhu cầu",IF(Q336="Có","ℹ Kiểm tra ngoại suy KM","✓ Hợp lệ")))))</f>
        <v/>
      </c>
    </row>
    <row r="337">
      <c r="A337" s="16" t="n">
        <v>333</v>
      </c>
      <c r="B337" s="17" t="inlineStr">
        <is>
          <t>DEC-S31-EGGS</t>
        </is>
      </c>
      <c r="C337" s="16" t="n">
        <v>31</v>
      </c>
      <c r="D337" s="17" t="inlineStr">
        <is>
          <t>EGGS</t>
        </is>
      </c>
      <c r="E337" s="17" t="inlineStr">
        <is>
          <t>MEDIUM</t>
        </is>
      </c>
      <c r="F337" s="17" t="inlineStr">
        <is>
          <t>TRUNG BÌNH</t>
        </is>
      </c>
      <c r="G337" s="18" t="inlineStr">
        <is>
          <t>RISK_MEDIUM · LARGE_SERIES</t>
        </is>
      </c>
      <c r="H337" s="19" t="n">
        <v>3972.481074951172</v>
      </c>
      <c r="I337" s="19" t="n">
        <v>5001.939959472656</v>
      </c>
      <c r="J337" s="19" t="n">
        <v>6316.238281005859</v>
      </c>
      <c r="K337" s="19" t="n">
        <v>5001.939959472656</v>
      </c>
      <c r="L337" s="19" t="n">
        <v>5823.376410430908</v>
      </c>
      <c r="M337" s="19" t="n">
        <v>6316.238281005859</v>
      </c>
      <c r="N337" s="17" t="inlineStr">
        <is>
          <t>C</t>
        </is>
      </c>
      <c r="O337" s="19" t="n">
        <v>2314.686313427734</v>
      </c>
      <c r="P337" s="18" t="inlineStr">
        <is>
          <t>CÂN NHẮC THỬ NGHIỆM</t>
        </is>
      </c>
      <c r="Q337" s="17" t="inlineStr">
        <is>
          <t>Không</t>
        </is>
      </c>
      <c r="R337" s="20" t="n"/>
      <c r="S337" s="20" t="n"/>
      <c r="T337" s="21" t="n"/>
      <c r="U337" s="21" t="n"/>
      <c r="V337" s="22">
        <f>IF(U337="A",K337,IF(U337="B",L337,IF(U337="C",M337,IF(N337="A",K337,IF(N337="B",L337,M337)))))</f>
        <v/>
      </c>
      <c r="W337" s="22">
        <f>IF(R337="",O337,MAX(V337-R337-N(S337),0))</f>
        <v/>
      </c>
      <c r="X337" s="20" t="n"/>
      <c r="Y337" s="23">
        <f>IF(OR(X337="",W337=0),"",X337/W337-1)</f>
        <v/>
      </c>
      <c r="Z337" s="24" t="n"/>
      <c r="AA337" s="21" t="n"/>
      <c r="AB337" s="25" t="n"/>
      <c r="AC337" s="26">
        <f>IF(T337="","Chưa quyết định",IF(OR(Z337="",AA337=""),"⚠ Thiếu lý do/người duyệt",IF(AND(X337&lt;&gt;"",N(X337)+N(R337)+N(S337)&gt;M337*1.001,R337&lt;&gt;""),"⚠ Vượt mục tiêu P90",IF(AND(Y337&lt;&gt;"",ABS(N(Y337))&gt;0.3),"⚠ Lệch &gt; 30% so với nhu cầu",IF(Q337="Có","ℹ Kiểm tra ngoại suy KM","✓ Hợp lệ")))))</f>
        <v/>
      </c>
    </row>
    <row r="338">
      <c r="A338" s="16" t="n">
        <v>334</v>
      </c>
      <c r="B338" s="17" t="inlineStr">
        <is>
          <t>DEC-S21-EGGS</t>
        </is>
      </c>
      <c r="C338" s="16" t="n">
        <v>21</v>
      </c>
      <c r="D338" s="17" t="inlineStr">
        <is>
          <t>EGGS</t>
        </is>
      </c>
      <c r="E338" s="17" t="inlineStr">
        <is>
          <t>MEDIUM</t>
        </is>
      </c>
      <c r="F338" s="17" t="inlineStr">
        <is>
          <t>TRUNG BÌNH</t>
        </is>
      </c>
      <c r="G338" s="18" t="inlineStr">
        <is>
          <t>RISK_MEDIUM · LARGE_SERIES</t>
        </is>
      </c>
      <c r="H338" s="19" t="n">
        <v>3865.266517944336</v>
      </c>
      <c r="I338" s="19" t="n">
        <v>4990.176552734375</v>
      </c>
      <c r="J338" s="19" t="n">
        <v>6411.976950317383</v>
      </c>
      <c r="K338" s="19" t="n">
        <v>4990.176552734375</v>
      </c>
      <c r="L338" s="19" t="n">
        <v>5878.801801223755</v>
      </c>
      <c r="M338" s="19" t="n">
        <v>6411.976950317383</v>
      </c>
      <c r="N338" s="17" t="inlineStr">
        <is>
          <t>C</t>
        </is>
      </c>
      <c r="O338" s="19" t="n">
        <v>2419.835708129883</v>
      </c>
      <c r="P338" s="18" t="inlineStr">
        <is>
          <t>CÂN NHẮC THỬ NGHIỆM</t>
        </is>
      </c>
      <c r="Q338" s="17" t="inlineStr">
        <is>
          <t>Không</t>
        </is>
      </c>
      <c r="R338" s="20" t="n"/>
      <c r="S338" s="20" t="n"/>
      <c r="T338" s="21" t="n"/>
      <c r="U338" s="21" t="n"/>
      <c r="V338" s="22">
        <f>IF(U338="A",K338,IF(U338="B",L338,IF(U338="C",M338,IF(N338="A",K338,IF(N338="B",L338,M338)))))</f>
        <v/>
      </c>
      <c r="W338" s="22">
        <f>IF(R338="",O338,MAX(V338-R338-N(S338),0))</f>
        <v/>
      </c>
      <c r="X338" s="20" t="n"/>
      <c r="Y338" s="23">
        <f>IF(OR(X338="",W338=0),"",X338/W338-1)</f>
        <v/>
      </c>
      <c r="Z338" s="24" t="n"/>
      <c r="AA338" s="21" t="n"/>
      <c r="AB338" s="25" t="n"/>
      <c r="AC338" s="26">
        <f>IF(T338="","Chưa quyết định",IF(OR(Z338="",AA338=""),"⚠ Thiếu lý do/người duyệt",IF(AND(X338&lt;&gt;"",N(X338)+N(R338)+N(S338)&gt;M338*1.001,R338&lt;&gt;""),"⚠ Vượt mục tiêu P90",IF(AND(Y338&lt;&gt;"",ABS(N(Y338))&gt;0.3),"⚠ Lệch &gt; 30% so với nhu cầu",IF(Q338="Có","ℹ Kiểm tra ngoại suy KM","✓ Hợp lệ")))))</f>
        <v/>
      </c>
    </row>
    <row r="339">
      <c r="A339" s="16" t="n">
        <v>335</v>
      </c>
      <c r="B339" s="17" t="inlineStr">
        <is>
          <t>DEC-S30-DAIRY</t>
        </is>
      </c>
      <c r="C339" s="16" t="n">
        <v>30</v>
      </c>
      <c r="D339" s="17" t="inlineStr">
        <is>
          <t>DAIRY</t>
        </is>
      </c>
      <c r="E339" s="17" t="inlineStr">
        <is>
          <t>MEDIUM</t>
        </is>
      </c>
      <c r="F339" s="17" t="inlineStr">
        <is>
          <t>TRUNG BÌNH</t>
        </is>
      </c>
      <c r="G339" s="18" t="inlineStr">
        <is>
          <t>RISK_MEDIUM · LARGE_SERIES</t>
        </is>
      </c>
      <c r="H339" s="19" t="n">
        <v>4090.289395629883</v>
      </c>
      <c r="I339" s="19" t="n">
        <v>4986.776725708008</v>
      </c>
      <c r="J339" s="19" t="n">
        <v>6137.055130004883</v>
      </c>
      <c r="K339" s="19" t="n">
        <v>4986.776725708008</v>
      </c>
      <c r="L339" s="19" t="n">
        <v>5705.700728393555</v>
      </c>
      <c r="M339" s="19" t="n">
        <v>6137.055130004883</v>
      </c>
      <c r="N339" s="17" t="inlineStr">
        <is>
          <t>C</t>
        </is>
      </c>
      <c r="O339" s="19" t="n">
        <v>2147.633749438477</v>
      </c>
      <c r="P339" s="18" t="inlineStr">
        <is>
          <t>KHÔNG ĐỀ XUẤT TĂNG</t>
        </is>
      </c>
      <c r="Q339" s="17" t="inlineStr">
        <is>
          <t>Không</t>
        </is>
      </c>
      <c r="R339" s="20" t="n"/>
      <c r="S339" s="20" t="n"/>
      <c r="T339" s="21" t="n"/>
      <c r="U339" s="21" t="n"/>
      <c r="V339" s="22">
        <f>IF(U339="A",K339,IF(U339="B",L339,IF(U339="C",M339,IF(N339="A",K339,IF(N339="B",L339,M339)))))</f>
        <v/>
      </c>
      <c r="W339" s="22">
        <f>IF(R339="",O339,MAX(V339-R339-N(S339),0))</f>
        <v/>
      </c>
      <c r="X339" s="20" t="n"/>
      <c r="Y339" s="23">
        <f>IF(OR(X339="",W339=0),"",X339/W339-1)</f>
        <v/>
      </c>
      <c r="Z339" s="24" t="n"/>
      <c r="AA339" s="21" t="n"/>
      <c r="AB339" s="25" t="n"/>
      <c r="AC339" s="26">
        <f>IF(T339="","Chưa quyết định",IF(OR(Z339="",AA339=""),"⚠ Thiếu lý do/người duyệt",IF(AND(X339&lt;&gt;"",N(X339)+N(R339)+N(S339)&gt;M339*1.001,R339&lt;&gt;""),"⚠ Vượt mục tiêu P90",IF(AND(Y339&lt;&gt;"",ABS(N(Y339))&gt;0.3),"⚠ Lệch &gt; 30% so với nhu cầu",IF(Q339="Có","ℹ Kiểm tra ngoại suy KM","✓ Hợp lệ")))))</f>
        <v/>
      </c>
    </row>
    <row r="340">
      <c r="A340" s="16" t="n">
        <v>336</v>
      </c>
      <c r="B340" s="17" t="inlineStr">
        <is>
          <t>DEC-S08-DELI</t>
        </is>
      </c>
      <c r="C340" s="16" t="n">
        <v>8</v>
      </c>
      <c r="D340" s="17" t="inlineStr">
        <is>
          <t>DELI</t>
        </is>
      </c>
      <c r="E340" s="17" t="inlineStr">
        <is>
          <t>MEDIUM</t>
        </is>
      </c>
      <c r="F340" s="17" t="inlineStr">
        <is>
          <t>TRUNG BÌNH</t>
        </is>
      </c>
      <c r="G340" s="18" t="inlineStr">
        <is>
          <t>RISK_MEDIUM · LARGE_SERIES</t>
        </is>
      </c>
      <c r="H340" s="19" t="n">
        <v>3998.216190795898</v>
      </c>
      <c r="I340" s="19" t="n">
        <v>4961.189298095703</v>
      </c>
      <c r="J340" s="19" t="n">
        <v>6193.477661010742</v>
      </c>
      <c r="K340" s="19" t="n">
        <v>4961.189298095703</v>
      </c>
      <c r="L340" s="19" t="n">
        <v>5731.369524917603</v>
      </c>
      <c r="M340" s="19" t="n">
        <v>6193.477661010742</v>
      </c>
      <c r="N340" s="17" t="inlineStr">
        <is>
          <t>C</t>
        </is>
      </c>
      <c r="O340" s="19" t="n">
        <v>2224.526222534179</v>
      </c>
      <c r="P340" s="18" t="inlineStr">
        <is>
          <t>KHÔNG ĐỀ XUẤT TĂNG</t>
        </is>
      </c>
      <c r="Q340" s="17" t="inlineStr">
        <is>
          <t>Không</t>
        </is>
      </c>
      <c r="R340" s="20" t="n"/>
      <c r="S340" s="20" t="n"/>
      <c r="T340" s="21" t="n"/>
      <c r="U340" s="21" t="n"/>
      <c r="V340" s="22">
        <f>IF(U340="A",K340,IF(U340="B",L340,IF(U340="C",M340,IF(N340="A",K340,IF(N340="B",L340,M340)))))</f>
        <v/>
      </c>
      <c r="W340" s="22">
        <f>IF(R340="",O340,MAX(V340-R340-N(S340),0))</f>
        <v/>
      </c>
      <c r="X340" s="20" t="n"/>
      <c r="Y340" s="23">
        <f>IF(OR(X340="",W340=0),"",X340/W340-1)</f>
        <v/>
      </c>
      <c r="Z340" s="24" t="n"/>
      <c r="AA340" s="21" t="n"/>
      <c r="AB340" s="25" t="n"/>
      <c r="AC340" s="26">
        <f>IF(T340="","Chưa quyết định",IF(OR(Z340="",AA340=""),"⚠ Thiếu lý do/người duyệt",IF(AND(X340&lt;&gt;"",N(X340)+N(R340)+N(S340)&gt;M340*1.001,R340&lt;&gt;""),"⚠ Vượt mục tiêu P90",IF(AND(Y340&lt;&gt;"",ABS(N(Y340))&gt;0.3),"⚠ Lệch &gt; 30% so với nhu cầu",IF(Q340="Có","ℹ Kiểm tra ngoại suy KM","✓ Hợp lệ")))))</f>
        <v/>
      </c>
    </row>
    <row r="341">
      <c r="A341" s="16" t="n">
        <v>337</v>
      </c>
      <c r="B341" s="17" t="inlineStr">
        <is>
          <t>DEC-S51-PERSONAL_CARE</t>
        </is>
      </c>
      <c r="C341" s="16" t="n">
        <v>51</v>
      </c>
      <c r="D341" s="17" t="inlineStr">
        <is>
          <t>PERSONAL CARE</t>
        </is>
      </c>
      <c r="E341" s="17" t="inlineStr">
        <is>
          <t>MEDIUM</t>
        </is>
      </c>
      <c r="F341" s="17" t="inlineStr">
        <is>
          <t>TRUNG BÌNH</t>
        </is>
      </c>
      <c r="G341" s="18" t="inlineStr">
        <is>
          <t>RISK_MEDIUM · LARGE_SERIES</t>
        </is>
      </c>
      <c r="H341" s="19" t="n">
        <v>3990.757404785156</v>
      </c>
      <c r="I341" s="19" t="n">
        <v>4953.730512084961</v>
      </c>
      <c r="J341" s="19" t="n">
        <v>6186.018875</v>
      </c>
      <c r="K341" s="19" t="n">
        <v>4953.730512084961</v>
      </c>
      <c r="L341" s="19" t="n">
        <v>5723.91073890686</v>
      </c>
      <c r="M341" s="19" t="n">
        <v>6186.018875</v>
      </c>
      <c r="N341" s="17" t="inlineStr">
        <is>
          <t>C</t>
        </is>
      </c>
      <c r="O341" s="19" t="n">
        <v>2223.034465332031</v>
      </c>
      <c r="P341" s="18" t="inlineStr">
        <is>
          <t>KHÔNG ĐỀ XUẤT TĂNG</t>
        </is>
      </c>
      <c r="Q341" s="17" t="inlineStr">
        <is>
          <t>Không</t>
        </is>
      </c>
      <c r="R341" s="20" t="n"/>
      <c r="S341" s="20" t="n"/>
      <c r="T341" s="21" t="n"/>
      <c r="U341" s="21" t="n"/>
      <c r="V341" s="22">
        <f>IF(U341="A",K341,IF(U341="B",L341,IF(U341="C",M341,IF(N341="A",K341,IF(N341="B",L341,M341)))))</f>
        <v/>
      </c>
      <c r="W341" s="22">
        <f>IF(R341="",O341,MAX(V341-R341-N(S341),0))</f>
        <v/>
      </c>
      <c r="X341" s="20" t="n"/>
      <c r="Y341" s="23">
        <f>IF(OR(X341="",W341=0),"",X341/W341-1)</f>
        <v/>
      </c>
      <c r="Z341" s="24" t="n"/>
      <c r="AA341" s="21" t="n"/>
      <c r="AB341" s="25" t="n"/>
      <c r="AC341" s="26">
        <f>IF(T341="","Chưa quyết định",IF(OR(Z341="",AA341=""),"⚠ Thiếu lý do/người duyệt",IF(AND(X341&lt;&gt;"",N(X341)+N(R341)+N(S341)&gt;M341*1.001,R341&lt;&gt;""),"⚠ Vượt mục tiêu P90",IF(AND(Y341&lt;&gt;"",ABS(N(Y341))&gt;0.3),"⚠ Lệch &gt; 30% so với nhu cầu",IF(Q341="Có","ℹ Kiểm tra ngoại suy KM","✓ Hợp lệ")))))</f>
        <v/>
      </c>
    </row>
    <row r="342">
      <c r="A342" s="16" t="n">
        <v>338</v>
      </c>
      <c r="B342" s="17" t="inlineStr">
        <is>
          <t>DEC-S27-MEATS</t>
        </is>
      </c>
      <c r="C342" s="16" t="n">
        <v>27</v>
      </c>
      <c r="D342" s="17" t="inlineStr">
        <is>
          <t>MEATS</t>
        </is>
      </c>
      <c r="E342" s="17" t="inlineStr">
        <is>
          <t>MEDIUM</t>
        </is>
      </c>
      <c r="F342" s="17" t="inlineStr">
        <is>
          <t>TRUNG BÌNH</t>
        </is>
      </c>
      <c r="G342" s="18" t="inlineStr">
        <is>
          <t>RISK_MEDIUM · LARGE_SERIES</t>
        </is>
      </c>
      <c r="H342" s="19" t="n">
        <v>3900.829890869141</v>
      </c>
      <c r="I342" s="19" t="n">
        <v>4930.288775390625</v>
      </c>
      <c r="J342" s="19" t="n">
        <v>6244.587096923828</v>
      </c>
      <c r="K342" s="19" t="n">
        <v>4930.288775390625</v>
      </c>
      <c r="L342" s="19" t="n">
        <v>5751.725226348877</v>
      </c>
      <c r="M342" s="19" t="n">
        <v>6244.587096923828</v>
      </c>
      <c r="N342" s="17" t="inlineStr">
        <is>
          <t>C</t>
        </is>
      </c>
      <c r="O342" s="19" t="n">
        <v>2300.356076611328</v>
      </c>
      <c r="P342" s="18" t="inlineStr">
        <is>
          <t>CÂN NHẮC THỬ NGHIỆM</t>
        </is>
      </c>
      <c r="Q342" s="17" t="inlineStr">
        <is>
          <t>Không</t>
        </is>
      </c>
      <c r="R342" s="20" t="n"/>
      <c r="S342" s="20" t="n"/>
      <c r="T342" s="21" t="n"/>
      <c r="U342" s="21" t="n"/>
      <c r="V342" s="22">
        <f>IF(U342="A",K342,IF(U342="B",L342,IF(U342="C",M342,IF(N342="A",K342,IF(N342="B",L342,M342)))))</f>
        <v/>
      </c>
      <c r="W342" s="22">
        <f>IF(R342="",O342,MAX(V342-R342-N(S342),0))</f>
        <v/>
      </c>
      <c r="X342" s="20" t="n"/>
      <c r="Y342" s="23">
        <f>IF(OR(X342="",W342=0),"",X342/W342-1)</f>
        <v/>
      </c>
      <c r="Z342" s="24" t="n"/>
      <c r="AA342" s="21" t="n"/>
      <c r="AB342" s="25" t="n"/>
      <c r="AC342" s="26">
        <f>IF(T342="","Chưa quyết định",IF(OR(Z342="",AA342=""),"⚠ Thiếu lý do/người duyệt",IF(AND(X342&lt;&gt;"",N(X342)+N(R342)+N(S342)&gt;M342*1.001,R342&lt;&gt;""),"⚠ Vượt mục tiêu P90",IF(AND(Y342&lt;&gt;"",ABS(N(Y342))&gt;0.3),"⚠ Lệch &gt; 30% so với nhu cầu",IF(Q342="Có","ℹ Kiểm tra ngoại suy KM","✓ Hợp lệ")))))</f>
        <v/>
      </c>
    </row>
    <row r="343">
      <c r="A343" s="16" t="n">
        <v>339</v>
      </c>
      <c r="B343" s="17" t="inlineStr">
        <is>
          <t>DEC-S52-FROZEN_FOODS</t>
        </is>
      </c>
      <c r="C343" s="16" t="n">
        <v>52</v>
      </c>
      <c r="D343" s="17" t="inlineStr">
        <is>
          <t>FROZEN FOODS</t>
        </is>
      </c>
      <c r="E343" s="17" t="inlineStr">
        <is>
          <t>MEDIUM</t>
        </is>
      </c>
      <c r="F343" s="17" t="inlineStr">
        <is>
          <t>TRUNG BÌNH</t>
        </is>
      </c>
      <c r="G343" s="18" t="inlineStr">
        <is>
          <t>RISK_MEDIUM · LARGE_SERIES</t>
        </is>
      </c>
      <c r="H343" s="19" t="n">
        <v>3762.407434448242</v>
      </c>
      <c r="I343" s="19" t="n">
        <v>4924.837873413086</v>
      </c>
      <c r="J343" s="19" t="n">
        <v>6403.156112182617</v>
      </c>
      <c r="K343" s="19" t="n">
        <v>4924.837873413086</v>
      </c>
      <c r="L343" s="19" t="n">
        <v>5848.786772644043</v>
      </c>
      <c r="M343" s="19" t="n">
        <v>6403.156112182617</v>
      </c>
      <c r="N343" s="17" t="inlineStr">
        <is>
          <t>C</t>
        </is>
      </c>
      <c r="O343" s="19" t="n">
        <v>2463.285813452148</v>
      </c>
      <c r="P343" s="18" t="inlineStr">
        <is>
          <t>CÂN NHẮC THỬ NGHIỆM</t>
        </is>
      </c>
      <c r="Q343" s="17" t="inlineStr">
        <is>
          <t>Không</t>
        </is>
      </c>
      <c r="R343" s="20" t="n"/>
      <c r="S343" s="20" t="n"/>
      <c r="T343" s="21" t="n"/>
      <c r="U343" s="21" t="n"/>
      <c r="V343" s="22">
        <f>IF(U343="A",K343,IF(U343="B",L343,IF(U343="C",M343,IF(N343="A",K343,IF(N343="B",L343,M343)))))</f>
        <v/>
      </c>
      <c r="W343" s="22">
        <f>IF(R343="",O343,MAX(V343-R343-N(S343),0))</f>
        <v/>
      </c>
      <c r="X343" s="20" t="n"/>
      <c r="Y343" s="23">
        <f>IF(OR(X343="",W343=0),"",X343/W343-1)</f>
        <v/>
      </c>
      <c r="Z343" s="24" t="n"/>
      <c r="AA343" s="21" t="n"/>
      <c r="AB343" s="25" t="n"/>
      <c r="AC343" s="26">
        <f>IF(T343="","Chưa quyết định",IF(OR(Z343="",AA343=""),"⚠ Thiếu lý do/người duyệt",IF(AND(X343&lt;&gt;"",N(X343)+N(R343)+N(S343)&gt;M343*1.001,R343&lt;&gt;""),"⚠ Vượt mục tiêu P90",IF(AND(Y343&lt;&gt;"",ABS(N(Y343))&gt;0.3),"⚠ Lệch &gt; 30% so với nhu cầu",IF(Q343="Có","ℹ Kiểm tra ngoại suy KM","✓ Hợp lệ")))))</f>
        <v/>
      </c>
    </row>
    <row r="344">
      <c r="A344" s="16" t="n">
        <v>340</v>
      </c>
      <c r="B344" s="17" t="inlineStr">
        <is>
          <t>DEC-S27-DELI</t>
        </is>
      </c>
      <c r="C344" s="16" t="n">
        <v>27</v>
      </c>
      <c r="D344" s="17" t="inlineStr">
        <is>
          <t>DELI</t>
        </is>
      </c>
      <c r="E344" s="17" t="inlineStr">
        <is>
          <t>MEDIUM</t>
        </is>
      </c>
      <c r="F344" s="17" t="inlineStr">
        <is>
          <t>TRUNG BÌNH</t>
        </is>
      </c>
      <c r="G344" s="18" t="inlineStr">
        <is>
          <t>RISK_MEDIUM · LARGE_SERIES</t>
        </is>
      </c>
      <c r="H344" s="19" t="n">
        <v>3941.418278198242</v>
      </c>
      <c r="I344" s="19" t="n">
        <v>4904.391385498047</v>
      </c>
      <c r="J344" s="19" t="n">
        <v>6136.679748413086</v>
      </c>
      <c r="K344" s="19" t="n">
        <v>4904.391385498047</v>
      </c>
      <c r="L344" s="19" t="n">
        <v>5674.571612319946</v>
      </c>
      <c r="M344" s="19" t="n">
        <v>6136.679748413086</v>
      </c>
      <c r="N344" s="17" t="inlineStr">
        <is>
          <t>C</t>
        </is>
      </c>
      <c r="O344" s="19" t="n">
        <v>2213.166640014648</v>
      </c>
      <c r="P344" s="18" t="inlineStr">
        <is>
          <t>KHÔNG ĐỀ XUẤT TĂNG</t>
        </is>
      </c>
      <c r="Q344" s="17" t="inlineStr">
        <is>
          <t>Không</t>
        </is>
      </c>
      <c r="R344" s="20" t="n"/>
      <c r="S344" s="20" t="n"/>
      <c r="T344" s="21" t="n"/>
      <c r="U344" s="21" t="n"/>
      <c r="V344" s="22">
        <f>IF(U344="A",K344,IF(U344="B",L344,IF(U344="C",M344,IF(N344="A",K344,IF(N344="B",L344,M344)))))</f>
        <v/>
      </c>
      <c r="W344" s="22">
        <f>IF(R344="",O344,MAX(V344-R344-N(S344),0))</f>
        <v/>
      </c>
      <c r="X344" s="20" t="n"/>
      <c r="Y344" s="23">
        <f>IF(OR(X344="",W344=0),"",X344/W344-1)</f>
        <v/>
      </c>
      <c r="Z344" s="24" t="n"/>
      <c r="AA344" s="21" t="n"/>
      <c r="AB344" s="25" t="n"/>
      <c r="AC344" s="26">
        <f>IF(T344="","Chưa quyết định",IF(OR(Z344="",AA344=""),"⚠ Thiếu lý do/người duyệt",IF(AND(X344&lt;&gt;"",N(X344)+N(R344)+N(S344)&gt;M344*1.001,R344&lt;&gt;""),"⚠ Vượt mục tiêu P90",IF(AND(Y344&lt;&gt;"",ABS(N(Y344))&gt;0.3),"⚠ Lệch &gt; 30% so với nhu cầu",IF(Q344="Có","ℹ Kiểm tra ngoại suy KM","✓ Hợp lệ")))))</f>
        <v/>
      </c>
    </row>
    <row r="345">
      <c r="A345" s="16" t="n">
        <v>341</v>
      </c>
      <c r="B345" s="17" t="inlineStr">
        <is>
          <t>DEC-S21-PERSONAL_CARE</t>
        </is>
      </c>
      <c r="C345" s="16" t="n">
        <v>21</v>
      </c>
      <c r="D345" s="17" t="inlineStr">
        <is>
          <t>PERSONAL CARE</t>
        </is>
      </c>
      <c r="E345" s="17" t="inlineStr">
        <is>
          <t>MEDIUM</t>
        </is>
      </c>
      <c r="F345" s="17" t="inlineStr">
        <is>
          <t>TRUNG BÌNH</t>
        </is>
      </c>
      <c r="G345" s="18" t="inlineStr">
        <is>
          <t>RISK_MEDIUM · LARGE_SERIES</t>
        </is>
      </c>
      <c r="H345" s="19" t="n">
        <v>3849.95299798584</v>
      </c>
      <c r="I345" s="19" t="n">
        <v>4860.651680419922</v>
      </c>
      <c r="J345" s="19" t="n">
        <v>6146.691081359863</v>
      </c>
      <c r="K345" s="19" t="n">
        <v>4860.651680419922</v>
      </c>
      <c r="L345" s="19" t="n">
        <v>5664.426306007385</v>
      </c>
      <c r="M345" s="19" t="n">
        <v>6146.691081359863</v>
      </c>
      <c r="N345" s="17" t="inlineStr">
        <is>
          <t>C</t>
        </is>
      </c>
      <c r="O345" s="19" t="n">
        <v>2258.169737023926</v>
      </c>
      <c r="P345" s="18" t="inlineStr">
        <is>
          <t>KHÔNG ĐỀ XUẤT TĂNG</t>
        </is>
      </c>
      <c r="Q345" s="17" t="inlineStr">
        <is>
          <t>Không</t>
        </is>
      </c>
      <c r="R345" s="20" t="n"/>
      <c r="S345" s="20" t="n"/>
      <c r="T345" s="21" t="n"/>
      <c r="U345" s="21" t="n"/>
      <c r="V345" s="22">
        <f>IF(U345="A",K345,IF(U345="B",L345,IF(U345="C",M345,IF(N345="A",K345,IF(N345="B",L345,M345)))))</f>
        <v/>
      </c>
      <c r="W345" s="22">
        <f>IF(R345="",O345,MAX(V345-R345-N(S345),0))</f>
        <v/>
      </c>
      <c r="X345" s="20" t="n"/>
      <c r="Y345" s="23">
        <f>IF(OR(X345="",W345=0),"",X345/W345-1)</f>
        <v/>
      </c>
      <c r="Z345" s="24" t="n"/>
      <c r="AA345" s="21" t="n"/>
      <c r="AB345" s="25" t="n"/>
      <c r="AC345" s="26">
        <f>IF(T345="","Chưa quyết định",IF(OR(Z345="",AA345=""),"⚠ Thiếu lý do/người duyệt",IF(AND(X345&lt;&gt;"",N(X345)+N(R345)+N(S345)&gt;M345*1.001,R345&lt;&gt;""),"⚠ Vượt mục tiêu P90",IF(AND(Y345&lt;&gt;"",ABS(N(Y345))&gt;0.3),"⚠ Lệch &gt; 30% so với nhu cầu",IF(Q345="Có","ℹ Kiểm tra ngoại suy KM","✓ Hợp lệ")))))</f>
        <v/>
      </c>
    </row>
    <row r="346">
      <c r="A346" s="16" t="n">
        <v>342</v>
      </c>
      <c r="B346" s="17" t="inlineStr">
        <is>
          <t>DEC-S13-DAIRY</t>
        </is>
      </c>
      <c r="C346" s="16" t="n">
        <v>13</v>
      </c>
      <c r="D346" s="17" t="inlineStr">
        <is>
          <t>DAIRY</t>
        </is>
      </c>
      <c r="E346" s="17" t="inlineStr">
        <is>
          <t>MEDIUM</t>
        </is>
      </c>
      <c r="F346" s="17" t="inlineStr">
        <is>
          <t>TRUNG BÌNH</t>
        </is>
      </c>
      <c r="G346" s="18" t="inlineStr">
        <is>
          <t>RISK_MEDIUM · LARGE_SERIES</t>
        </is>
      </c>
      <c r="H346" s="19" t="n">
        <v>3870.19499633789</v>
      </c>
      <c r="I346" s="19" t="n">
        <v>4833.168103637695</v>
      </c>
      <c r="J346" s="19" t="n">
        <v>6065.456466552734</v>
      </c>
      <c r="K346" s="19" t="n">
        <v>4833.168103637695</v>
      </c>
      <c r="L346" s="19" t="n">
        <v>5603.348330459595</v>
      </c>
      <c r="M346" s="19" t="n">
        <v>6065.456466552734</v>
      </c>
      <c r="N346" s="17" t="inlineStr">
        <is>
          <t>C</t>
        </is>
      </c>
      <c r="O346" s="19" t="n">
        <v>2198.921983642578</v>
      </c>
      <c r="P346" s="18" t="inlineStr">
        <is>
          <t>KHÔNG ĐỀ XUẤT TĂNG</t>
        </is>
      </c>
      <c r="Q346" s="17" t="inlineStr">
        <is>
          <t>Không</t>
        </is>
      </c>
      <c r="R346" s="20" t="n"/>
      <c r="S346" s="20" t="n"/>
      <c r="T346" s="21" t="n"/>
      <c r="U346" s="21" t="n"/>
      <c r="V346" s="22">
        <f>IF(U346="A",K346,IF(U346="B",L346,IF(U346="C",M346,IF(N346="A",K346,IF(N346="B",L346,M346)))))</f>
        <v/>
      </c>
      <c r="W346" s="22">
        <f>IF(R346="",O346,MAX(V346-R346-N(S346),0))</f>
        <v/>
      </c>
      <c r="X346" s="20" t="n"/>
      <c r="Y346" s="23">
        <f>IF(OR(X346="",W346=0),"",X346/W346-1)</f>
        <v/>
      </c>
      <c r="Z346" s="24" t="n"/>
      <c r="AA346" s="21" t="n"/>
      <c r="AB346" s="25" t="n"/>
      <c r="AC346" s="26">
        <f>IF(T346="","Chưa quyết định",IF(OR(Z346="",AA346=""),"⚠ Thiếu lý do/người duyệt",IF(AND(X346&lt;&gt;"",N(X346)+N(R346)+N(S346)&gt;M346*1.001,R346&lt;&gt;""),"⚠ Vượt mục tiêu P90",IF(AND(Y346&lt;&gt;"",ABS(N(Y346))&gt;0.3),"⚠ Lệch &gt; 30% so với nhu cầu",IF(Q346="Có","ℹ Kiểm tra ngoại suy KM","✓ Hợp lệ")))))</f>
        <v/>
      </c>
    </row>
    <row r="347">
      <c r="A347" s="16" t="n">
        <v>343</v>
      </c>
      <c r="B347" s="17" t="inlineStr">
        <is>
          <t>DEC-S53-MEATS</t>
        </is>
      </c>
      <c r="C347" s="16" t="n">
        <v>53</v>
      </c>
      <c r="D347" s="17" t="inlineStr">
        <is>
          <t>MEATS</t>
        </is>
      </c>
      <c r="E347" s="17" t="inlineStr">
        <is>
          <t>MEDIUM</t>
        </is>
      </c>
      <c r="F347" s="17" t="inlineStr">
        <is>
          <t>TRUNG BÌNH</t>
        </is>
      </c>
      <c r="G347" s="18" t="inlineStr">
        <is>
          <t>RISK_MEDIUM · LARGE_SERIES</t>
        </is>
      </c>
      <c r="H347" s="19" t="n">
        <v>3764.348628662109</v>
      </c>
      <c r="I347" s="19" t="n">
        <v>4793.807513183594</v>
      </c>
      <c r="J347" s="19" t="n">
        <v>6108.105834716796</v>
      </c>
      <c r="K347" s="19" t="n">
        <v>4793.807513183594</v>
      </c>
      <c r="L347" s="19" t="n">
        <v>5615.243964141846</v>
      </c>
      <c r="M347" s="19" t="n">
        <v>6108.105834716796</v>
      </c>
      <c r="N347" s="17" t="inlineStr">
        <is>
          <t>C</t>
        </is>
      </c>
      <c r="O347" s="19" t="n">
        <v>2273.05982416992</v>
      </c>
      <c r="P347" s="18" t="inlineStr">
        <is>
          <t>CÂN NHẮC THỬ NGHIỆM</t>
        </is>
      </c>
      <c r="Q347" s="17" t="inlineStr">
        <is>
          <t>Không</t>
        </is>
      </c>
      <c r="R347" s="20" t="n"/>
      <c r="S347" s="20" t="n"/>
      <c r="T347" s="21" t="n"/>
      <c r="U347" s="21" t="n"/>
      <c r="V347" s="22">
        <f>IF(U347="A",K347,IF(U347="B",L347,IF(U347="C",M347,IF(N347="A",K347,IF(N347="B",L347,M347)))))</f>
        <v/>
      </c>
      <c r="W347" s="22">
        <f>IF(R347="",O347,MAX(V347-R347-N(S347),0))</f>
        <v/>
      </c>
      <c r="X347" s="20" t="n"/>
      <c r="Y347" s="23">
        <f>IF(OR(X347="",W347=0),"",X347/W347-1)</f>
        <v/>
      </c>
      <c r="Z347" s="24" t="n"/>
      <c r="AA347" s="21" t="n"/>
      <c r="AB347" s="25" t="n"/>
      <c r="AC347" s="26">
        <f>IF(T347="","Chưa quyết định",IF(OR(Z347="",AA347=""),"⚠ Thiếu lý do/người duyệt",IF(AND(X347&lt;&gt;"",N(X347)+N(R347)+N(S347)&gt;M347*1.001,R347&lt;&gt;""),"⚠ Vượt mục tiêu P90",IF(AND(Y347&lt;&gt;"",ABS(N(Y347))&gt;0.3),"⚠ Lệch &gt; 30% so với nhu cầu",IF(Q347="Có","ℹ Kiểm tra ngoại suy KM","✓ Hợp lệ")))))</f>
        <v/>
      </c>
    </row>
    <row r="348">
      <c r="A348" s="16" t="n">
        <v>344</v>
      </c>
      <c r="B348" s="17" t="inlineStr">
        <is>
          <t>DEC-S29-DELI</t>
        </is>
      </c>
      <c r="C348" s="16" t="n">
        <v>29</v>
      </c>
      <c r="D348" s="17" t="inlineStr">
        <is>
          <t>DELI</t>
        </is>
      </c>
      <c r="E348" s="17" t="inlineStr">
        <is>
          <t>MEDIUM</t>
        </is>
      </c>
      <c r="F348" s="17" t="inlineStr">
        <is>
          <t>TRUNG BÌNH</t>
        </is>
      </c>
      <c r="G348" s="18" t="inlineStr">
        <is>
          <t>RISK_MEDIUM · LARGE_SERIES</t>
        </is>
      </c>
      <c r="H348" s="19" t="n">
        <v>3741.234004638672</v>
      </c>
      <c r="I348" s="19" t="n">
        <v>4770.692889160156</v>
      </c>
      <c r="J348" s="19" t="n">
        <v>6084.991210693359</v>
      </c>
      <c r="K348" s="19" t="n">
        <v>4770.692889160156</v>
      </c>
      <c r="L348" s="19" t="n">
        <v>5592.129340118408</v>
      </c>
      <c r="M348" s="19" t="n">
        <v>6084.991210693359</v>
      </c>
      <c r="N348" s="17" t="inlineStr">
        <is>
          <t>C</t>
        </is>
      </c>
      <c r="O348" s="19" t="n">
        <v>2268.436899365233</v>
      </c>
      <c r="P348" s="18" t="inlineStr">
        <is>
          <t>KHÔNG ĐỀ XUẤT TĂNG</t>
        </is>
      </c>
      <c r="Q348" s="17" t="inlineStr">
        <is>
          <t>Không</t>
        </is>
      </c>
      <c r="R348" s="20" t="n"/>
      <c r="S348" s="20" t="n"/>
      <c r="T348" s="21" t="n"/>
      <c r="U348" s="21" t="n"/>
      <c r="V348" s="22">
        <f>IF(U348="A",K348,IF(U348="B",L348,IF(U348="C",M348,IF(N348="A",K348,IF(N348="B",L348,M348)))))</f>
        <v/>
      </c>
      <c r="W348" s="22">
        <f>IF(R348="",O348,MAX(V348-R348-N(S348),0))</f>
        <v/>
      </c>
      <c r="X348" s="20" t="n"/>
      <c r="Y348" s="23">
        <f>IF(OR(X348="",W348=0),"",X348/W348-1)</f>
        <v/>
      </c>
      <c r="Z348" s="24" t="n"/>
      <c r="AA348" s="21" t="n"/>
      <c r="AB348" s="25" t="n"/>
      <c r="AC348" s="26">
        <f>IF(T348="","Chưa quyết định",IF(OR(Z348="",AA348=""),"⚠ Thiếu lý do/người duyệt",IF(AND(X348&lt;&gt;"",N(X348)+N(R348)+N(S348)&gt;M348*1.001,R348&lt;&gt;""),"⚠ Vượt mục tiêu P90",IF(AND(Y348&lt;&gt;"",ABS(N(Y348))&gt;0.3),"⚠ Lệch &gt; 30% so với nhu cầu",IF(Q348="Có","ℹ Kiểm tra ngoại suy KM","✓ Hợp lệ")))))</f>
        <v/>
      </c>
    </row>
    <row r="349">
      <c r="A349" s="16" t="n">
        <v>345</v>
      </c>
      <c r="B349" s="17" t="inlineStr">
        <is>
          <t>DEC-S07-EGGS</t>
        </is>
      </c>
      <c r="C349" s="16" t="n">
        <v>7</v>
      </c>
      <c r="D349" s="17" t="inlineStr">
        <is>
          <t>EGGS</t>
        </is>
      </c>
      <c r="E349" s="17" t="inlineStr">
        <is>
          <t>MEDIUM</t>
        </is>
      </c>
      <c r="F349" s="17" t="inlineStr">
        <is>
          <t>TRUNG BÌNH</t>
        </is>
      </c>
      <c r="G349" s="18" t="inlineStr">
        <is>
          <t>RISK_MEDIUM · LARGE_SERIES</t>
        </is>
      </c>
      <c r="H349" s="19" t="n">
        <v>3873.053555786133</v>
      </c>
      <c r="I349" s="19" t="n">
        <v>4769.540885864258</v>
      </c>
      <c r="J349" s="19" t="n">
        <v>5919.819290161133</v>
      </c>
      <c r="K349" s="19" t="n">
        <v>4769.540885864258</v>
      </c>
      <c r="L349" s="19" t="n">
        <v>5488.464888549805</v>
      </c>
      <c r="M349" s="19" t="n">
        <v>5919.819290161133</v>
      </c>
      <c r="N349" s="17" t="inlineStr">
        <is>
          <t>C</t>
        </is>
      </c>
      <c r="O349" s="19" t="n">
        <v>2104.186581469727</v>
      </c>
      <c r="P349" s="18" t="inlineStr">
        <is>
          <t>CÂN NHẮC THỬ NGHIỆM</t>
        </is>
      </c>
      <c r="Q349" s="17" t="inlineStr">
        <is>
          <t>Không</t>
        </is>
      </c>
      <c r="R349" s="20" t="n"/>
      <c r="S349" s="20" t="n"/>
      <c r="T349" s="21" t="n"/>
      <c r="U349" s="21" t="n"/>
      <c r="V349" s="22">
        <f>IF(U349="A",K349,IF(U349="B",L349,IF(U349="C",M349,IF(N349="A",K349,IF(N349="B",L349,M349)))))</f>
        <v/>
      </c>
      <c r="W349" s="22">
        <f>IF(R349="",O349,MAX(V349-R349-N(S349),0))</f>
        <v/>
      </c>
      <c r="X349" s="20" t="n"/>
      <c r="Y349" s="23">
        <f>IF(OR(X349="",W349=0),"",X349/W349-1)</f>
        <v/>
      </c>
      <c r="Z349" s="24" t="n"/>
      <c r="AA349" s="21" t="n"/>
      <c r="AB349" s="25" t="n"/>
      <c r="AC349" s="26">
        <f>IF(T349="","Chưa quyết định",IF(OR(Z349="",AA349=""),"⚠ Thiếu lý do/người duyệt",IF(AND(X349&lt;&gt;"",N(X349)+N(R349)+N(S349)&gt;M349*1.001,R349&lt;&gt;""),"⚠ Vượt mục tiêu P90",IF(AND(Y349&lt;&gt;"",ABS(N(Y349))&gt;0.3),"⚠ Lệch &gt; 30% so với nhu cầu",IF(Q349="Có","ℹ Kiểm tra ngoại suy KM","✓ Hợp lệ")))))</f>
        <v/>
      </c>
    </row>
    <row r="350">
      <c r="A350" s="16" t="n">
        <v>346</v>
      </c>
      <c r="B350" s="17" t="inlineStr">
        <is>
          <t>DEC-S28-EGGS</t>
        </is>
      </c>
      <c r="C350" s="16" t="n">
        <v>28</v>
      </c>
      <c r="D350" s="17" t="inlineStr">
        <is>
          <t>EGGS</t>
        </is>
      </c>
      <c r="E350" s="17" t="inlineStr">
        <is>
          <t>MEDIUM</t>
        </is>
      </c>
      <c r="F350" s="17" t="inlineStr">
        <is>
          <t>TRUNG BÌNH</t>
        </is>
      </c>
      <c r="G350" s="18" t="inlineStr">
        <is>
          <t>RISK_MEDIUM · LARGE_SERIES</t>
        </is>
      </c>
      <c r="H350" s="19" t="n">
        <v>3791.068516235352</v>
      </c>
      <c r="I350" s="19" t="n">
        <v>4754.041623535156</v>
      </c>
      <c r="J350" s="19" t="n">
        <v>5986.329986450195</v>
      </c>
      <c r="K350" s="19" t="n">
        <v>4754.041623535156</v>
      </c>
      <c r="L350" s="19" t="n">
        <v>5524.221850357056</v>
      </c>
      <c r="M350" s="19" t="n">
        <v>5986.329986450195</v>
      </c>
      <c r="N350" s="17" t="inlineStr">
        <is>
          <t>C</t>
        </is>
      </c>
      <c r="O350" s="19" t="n">
        <v>2183.09668762207</v>
      </c>
      <c r="P350" s="18" t="inlineStr">
        <is>
          <t>CÂN NHẮC THỬ NGHIỆM</t>
        </is>
      </c>
      <c r="Q350" s="17" t="inlineStr">
        <is>
          <t>Không</t>
        </is>
      </c>
      <c r="R350" s="20" t="n"/>
      <c r="S350" s="20" t="n"/>
      <c r="T350" s="21" t="n"/>
      <c r="U350" s="21" t="n"/>
      <c r="V350" s="22">
        <f>IF(U350="A",K350,IF(U350="B",L350,IF(U350="C",M350,IF(N350="A",K350,IF(N350="B",L350,M350)))))</f>
        <v/>
      </c>
      <c r="W350" s="22">
        <f>IF(R350="",O350,MAX(V350-R350-N(S350),0))</f>
        <v/>
      </c>
      <c r="X350" s="20" t="n"/>
      <c r="Y350" s="23">
        <f>IF(OR(X350="",W350=0),"",X350/W350-1)</f>
        <v/>
      </c>
      <c r="Z350" s="24" t="n"/>
      <c r="AA350" s="21" t="n"/>
      <c r="AB350" s="25" t="n"/>
      <c r="AC350" s="26">
        <f>IF(T350="","Chưa quyết định",IF(OR(Z350="",AA350=""),"⚠ Thiếu lý do/người duyệt",IF(AND(X350&lt;&gt;"",N(X350)+N(R350)+N(S350)&gt;M350*1.001,R350&lt;&gt;""),"⚠ Vượt mục tiêu P90",IF(AND(Y350&lt;&gt;"",ABS(N(Y350))&gt;0.3),"⚠ Lệch &gt; 30% so với nhu cầu",IF(Q350="Có","ℹ Kiểm tra ngoại suy KM","✓ Hợp lệ")))))</f>
        <v/>
      </c>
    </row>
    <row r="351">
      <c r="A351" s="16" t="n">
        <v>347</v>
      </c>
      <c r="B351" s="17" t="inlineStr">
        <is>
          <t>DEC-S31-PERSONAL_CARE</t>
        </is>
      </c>
      <c r="C351" s="16" t="n">
        <v>31</v>
      </c>
      <c r="D351" s="17" t="inlineStr">
        <is>
          <t>PERSONAL CARE</t>
        </is>
      </c>
      <c r="E351" s="17" t="inlineStr">
        <is>
          <t>MEDIUM</t>
        </is>
      </c>
      <c r="F351" s="17" t="inlineStr">
        <is>
          <t>TRUNG BÌNH</t>
        </is>
      </c>
      <c r="G351" s="18" t="inlineStr">
        <is>
          <t>RISK_MEDIUM · LARGE_SERIES</t>
        </is>
      </c>
      <c r="H351" s="19" t="n">
        <v>3782.173679809569</v>
      </c>
      <c r="I351" s="19" t="n">
        <v>4745.146787109375</v>
      </c>
      <c r="J351" s="19" t="n">
        <v>5977.435150024414</v>
      </c>
      <c r="K351" s="19" t="n">
        <v>4745.146787109375</v>
      </c>
      <c r="L351" s="19" t="n">
        <v>5515.327013931274</v>
      </c>
      <c r="M351" s="19" t="n">
        <v>5977.435150024414</v>
      </c>
      <c r="N351" s="17" t="inlineStr">
        <is>
          <t>C</t>
        </is>
      </c>
      <c r="O351" s="19" t="n">
        <v>2181.317720336914</v>
      </c>
      <c r="P351" s="18" t="inlineStr">
        <is>
          <t>KHÔNG ĐỀ XUẤT TĂNG</t>
        </is>
      </c>
      <c r="Q351" s="17" t="inlineStr">
        <is>
          <t>Không</t>
        </is>
      </c>
      <c r="R351" s="20" t="n"/>
      <c r="S351" s="20" t="n"/>
      <c r="T351" s="21" t="n"/>
      <c r="U351" s="21" t="n"/>
      <c r="V351" s="22">
        <f>IF(U351="A",K351,IF(U351="B",L351,IF(U351="C",M351,IF(N351="A",K351,IF(N351="B",L351,M351)))))</f>
        <v/>
      </c>
      <c r="W351" s="22">
        <f>IF(R351="",O351,MAX(V351-R351-N(S351),0))</f>
        <v/>
      </c>
      <c r="X351" s="20" t="n"/>
      <c r="Y351" s="23">
        <f>IF(OR(X351="",W351=0),"",X351/W351-1)</f>
        <v/>
      </c>
      <c r="Z351" s="24" t="n"/>
      <c r="AA351" s="21" t="n"/>
      <c r="AB351" s="25" t="n"/>
      <c r="AC351" s="26">
        <f>IF(T351="","Chưa quyết định",IF(OR(Z351="",AA351=""),"⚠ Thiếu lý do/người duyệt",IF(AND(X351&lt;&gt;"",N(X351)+N(R351)+N(S351)&gt;M351*1.001,R351&lt;&gt;""),"⚠ Vượt mục tiêu P90",IF(AND(Y351&lt;&gt;"",ABS(N(Y351))&gt;0.3),"⚠ Lệch &gt; 30% so với nhu cầu",IF(Q351="Có","ℹ Kiểm tra ngoại suy KM","✓ Hợp lệ")))))</f>
        <v/>
      </c>
    </row>
    <row r="352">
      <c r="A352" s="16" t="n">
        <v>348</v>
      </c>
      <c r="B352" s="17" t="inlineStr">
        <is>
          <t>DEC-S43-PERSONAL_CARE</t>
        </is>
      </c>
      <c r="C352" s="16" t="n">
        <v>43</v>
      </c>
      <c r="D352" s="17" t="inlineStr">
        <is>
          <t>PERSONAL CARE</t>
        </is>
      </c>
      <c r="E352" s="17" t="inlineStr">
        <is>
          <t>MEDIUM</t>
        </is>
      </c>
      <c r="F352" s="17" t="inlineStr">
        <is>
          <t>TRUNG BÌNH</t>
        </is>
      </c>
      <c r="G352" s="18" t="inlineStr">
        <is>
          <t>RISK_MEDIUM · LARGE_SERIES</t>
        </is>
      </c>
      <c r="H352" s="19" t="n">
        <v>3773.624454956055</v>
      </c>
      <c r="I352" s="19" t="n">
        <v>4736.597562255859</v>
      </c>
      <c r="J352" s="19" t="n">
        <v>5968.885925170898</v>
      </c>
      <c r="K352" s="19" t="n">
        <v>4736.597562255859</v>
      </c>
      <c r="L352" s="19" t="n">
        <v>5506.777789077759</v>
      </c>
      <c r="M352" s="19" t="n">
        <v>5968.885925170898</v>
      </c>
      <c r="N352" s="17" t="inlineStr">
        <is>
          <t>C</t>
        </is>
      </c>
      <c r="O352" s="19" t="n">
        <v>2179.607875366211</v>
      </c>
      <c r="P352" s="18" t="inlineStr">
        <is>
          <t>KHÔNG ĐỀ XUẤT TĂNG</t>
        </is>
      </c>
      <c r="Q352" s="17" t="inlineStr">
        <is>
          <t>Không</t>
        </is>
      </c>
      <c r="R352" s="20" t="n"/>
      <c r="S352" s="20" t="n"/>
      <c r="T352" s="21" t="n"/>
      <c r="U352" s="21" t="n"/>
      <c r="V352" s="22">
        <f>IF(U352="A",K352,IF(U352="B",L352,IF(U352="C",M352,IF(N352="A",K352,IF(N352="B",L352,M352)))))</f>
        <v/>
      </c>
      <c r="W352" s="22">
        <f>IF(R352="",O352,MAX(V352-R352-N(S352),0))</f>
        <v/>
      </c>
      <c r="X352" s="20" t="n"/>
      <c r="Y352" s="23">
        <f>IF(OR(X352="",W352=0),"",X352/W352-1)</f>
        <v/>
      </c>
      <c r="Z352" s="24" t="n"/>
      <c r="AA352" s="21" t="n"/>
      <c r="AB352" s="25" t="n"/>
      <c r="AC352" s="26">
        <f>IF(T352="","Chưa quyết định",IF(OR(Z352="",AA352=""),"⚠ Thiếu lý do/người duyệt",IF(AND(X352&lt;&gt;"",N(X352)+N(R352)+N(S352)&gt;M352*1.001,R352&lt;&gt;""),"⚠ Vượt mục tiêu P90",IF(AND(Y352&lt;&gt;"",ABS(N(Y352))&gt;0.3),"⚠ Lệch &gt; 30% so với nhu cầu",IF(Q352="Có","ℹ Kiểm tra ngoại suy KM","✓ Hợp lệ")))))</f>
        <v/>
      </c>
    </row>
    <row r="353">
      <c r="A353" s="16" t="n">
        <v>349</v>
      </c>
      <c r="B353" s="17" t="inlineStr">
        <is>
          <t>DEC-S01-MEATS</t>
        </is>
      </c>
      <c r="C353" s="16" t="n">
        <v>1</v>
      </c>
      <c r="D353" s="17" t="inlineStr">
        <is>
          <t>MEATS</t>
        </is>
      </c>
      <c r="E353" s="17" t="inlineStr">
        <is>
          <t>MEDIUM</t>
        </is>
      </c>
      <c r="F353" s="17" t="inlineStr">
        <is>
          <t>TRUNG BÌNH</t>
        </is>
      </c>
      <c r="G353" s="18" t="inlineStr">
        <is>
          <t>RISK_MEDIUM · LARGE_SERIES</t>
        </is>
      </c>
      <c r="H353" s="19" t="n">
        <v>3731.778482421873</v>
      </c>
      <c r="I353" s="19" t="n">
        <v>4723.716962768554</v>
      </c>
      <c r="J353" s="19" t="n">
        <v>5981.497443115234</v>
      </c>
      <c r="K353" s="19" t="n">
        <v>4723.716962768554</v>
      </c>
      <c r="L353" s="19" t="n">
        <v>5509.82976298523</v>
      </c>
      <c r="M353" s="19" t="n">
        <v>5981.497443115234</v>
      </c>
      <c r="N353" s="17" t="inlineStr">
        <is>
          <t>C</t>
        </is>
      </c>
      <c r="O353" s="19" t="n">
        <v>2202.52387290039</v>
      </c>
      <c r="P353" s="18" t="inlineStr">
        <is>
          <t>CÂN NHẮC THỬ NGHIỆM</t>
        </is>
      </c>
      <c r="Q353" s="17" t="inlineStr">
        <is>
          <t>Không</t>
        </is>
      </c>
      <c r="R353" s="20" t="n"/>
      <c r="S353" s="20" t="n"/>
      <c r="T353" s="21" t="n"/>
      <c r="U353" s="21" t="n"/>
      <c r="V353" s="22">
        <f>IF(U353="A",K353,IF(U353="B",L353,IF(U353="C",M353,IF(N353="A",K353,IF(N353="B",L353,M353)))))</f>
        <v/>
      </c>
      <c r="W353" s="22">
        <f>IF(R353="",O353,MAX(V353-R353-N(S353),0))</f>
        <v/>
      </c>
      <c r="X353" s="20" t="n"/>
      <c r="Y353" s="23">
        <f>IF(OR(X353="",W353=0),"",X353/W353-1)</f>
        <v/>
      </c>
      <c r="Z353" s="24" t="n"/>
      <c r="AA353" s="21" t="n"/>
      <c r="AB353" s="25" t="n"/>
      <c r="AC353" s="26">
        <f>IF(T353="","Chưa quyết định",IF(OR(Z353="",AA353=""),"⚠ Thiếu lý do/người duyệt",IF(AND(X353&lt;&gt;"",N(X353)+N(R353)+N(S353)&gt;M353*1.001,R353&lt;&gt;""),"⚠ Vượt mục tiêu P90",IF(AND(Y353&lt;&gt;"",ABS(N(Y353))&gt;0.3),"⚠ Lệch &gt; 30% so với nhu cầu",IF(Q353="Có","ℹ Kiểm tra ngoại suy KM","✓ Hợp lệ")))))</f>
        <v/>
      </c>
    </row>
    <row r="354">
      <c r="A354" s="16" t="n">
        <v>350</v>
      </c>
      <c r="B354" s="17" t="inlineStr">
        <is>
          <t>DEC-S43-DELI</t>
        </is>
      </c>
      <c r="C354" s="16" t="n">
        <v>43</v>
      </c>
      <c r="D354" s="17" t="inlineStr">
        <is>
          <t>DELI</t>
        </is>
      </c>
      <c r="E354" s="17" t="inlineStr">
        <is>
          <t>MEDIUM</t>
        </is>
      </c>
      <c r="F354" s="17" t="inlineStr">
        <is>
          <t>TRUNG BÌNH</t>
        </is>
      </c>
      <c r="G354" s="18" t="inlineStr">
        <is>
          <t>RISK_MEDIUM · LARGE_SERIES</t>
        </is>
      </c>
      <c r="H354" s="19" t="n">
        <v>3810.693112670898</v>
      </c>
      <c r="I354" s="19" t="n">
        <v>4707.180442749023</v>
      </c>
      <c r="J354" s="19" t="n">
        <v>5857.458847045898</v>
      </c>
      <c r="K354" s="19" t="n">
        <v>4707.180442749023</v>
      </c>
      <c r="L354" s="19" t="n">
        <v>5426.10444543457</v>
      </c>
      <c r="M354" s="19" t="n">
        <v>5857.458847045898</v>
      </c>
      <c r="N354" s="17" t="inlineStr">
        <is>
          <t>C</t>
        </is>
      </c>
      <c r="O354" s="19" t="n">
        <v>2091.71449284668</v>
      </c>
      <c r="P354" s="18" t="inlineStr">
        <is>
          <t>KHÔNG ĐỀ XUẤT TĂNG</t>
        </is>
      </c>
      <c r="Q354" s="17" t="inlineStr">
        <is>
          <t>Không</t>
        </is>
      </c>
      <c r="R354" s="20" t="n"/>
      <c r="S354" s="20" t="n"/>
      <c r="T354" s="21" t="n"/>
      <c r="U354" s="21" t="n"/>
      <c r="V354" s="22">
        <f>IF(U354="A",K354,IF(U354="B",L354,IF(U354="C",M354,IF(N354="A",K354,IF(N354="B",L354,M354)))))</f>
        <v/>
      </c>
      <c r="W354" s="22">
        <f>IF(R354="",O354,MAX(V354-R354-N(S354),0))</f>
        <v/>
      </c>
      <c r="X354" s="20" t="n"/>
      <c r="Y354" s="23">
        <f>IF(OR(X354="",W354=0),"",X354/W354-1)</f>
        <v/>
      </c>
      <c r="Z354" s="24" t="n"/>
      <c r="AA354" s="21" t="n"/>
      <c r="AB354" s="25" t="n"/>
      <c r="AC354" s="26">
        <f>IF(T354="","Chưa quyết định",IF(OR(Z354="",AA354=""),"⚠ Thiếu lý do/người duyệt",IF(AND(X354&lt;&gt;"",N(X354)+N(R354)+N(S354)&gt;M354*1.001,R354&lt;&gt;""),"⚠ Vượt mục tiêu P90",IF(AND(Y354&lt;&gt;"",ABS(N(Y354))&gt;0.3),"⚠ Lệch &gt; 30% so với nhu cầu",IF(Q354="Có","ℹ Kiểm tra ngoại suy KM","✓ Hợp lệ")))))</f>
        <v/>
      </c>
    </row>
    <row r="355">
      <c r="A355" s="16" t="n">
        <v>351</v>
      </c>
      <c r="B355" s="17" t="inlineStr">
        <is>
          <t>DEC-S15-DELI</t>
        </is>
      </c>
      <c r="C355" s="16" t="n">
        <v>15</v>
      </c>
      <c r="D355" s="17" t="inlineStr">
        <is>
          <t>DELI</t>
        </is>
      </c>
      <c r="E355" s="17" t="inlineStr">
        <is>
          <t>MEDIUM</t>
        </is>
      </c>
      <c r="F355" s="17" t="inlineStr">
        <is>
          <t>TRUNG BÌNH</t>
        </is>
      </c>
      <c r="G355" s="18" t="inlineStr">
        <is>
          <t>RISK_MEDIUM · LARGE_SERIES</t>
        </is>
      </c>
      <c r="H355" s="19" t="n">
        <v>3807.624234497071</v>
      </c>
      <c r="I355" s="19" t="n">
        <v>4704.111564575195</v>
      </c>
      <c r="J355" s="19" t="n">
        <v>5854.38996887207</v>
      </c>
      <c r="K355" s="19" t="n">
        <v>4704.111564575195</v>
      </c>
      <c r="L355" s="19" t="n">
        <v>5423.035567260742</v>
      </c>
      <c r="M355" s="19" t="n">
        <v>5854.38996887207</v>
      </c>
      <c r="N355" s="17" t="inlineStr">
        <is>
          <t>C</t>
        </is>
      </c>
      <c r="O355" s="19" t="n">
        <v>2091.100717211913</v>
      </c>
      <c r="P355" s="18" t="inlineStr">
        <is>
          <t>KHÔNG ĐỀ XUẤT TĂNG</t>
        </is>
      </c>
      <c r="Q355" s="17" t="inlineStr">
        <is>
          <t>Không</t>
        </is>
      </c>
      <c r="R355" s="20" t="n"/>
      <c r="S355" s="20" t="n"/>
      <c r="T355" s="21" t="n"/>
      <c r="U355" s="21" t="n"/>
      <c r="V355" s="22">
        <f>IF(U355="A",K355,IF(U355="B",L355,IF(U355="C",M355,IF(N355="A",K355,IF(N355="B",L355,M355)))))</f>
        <v/>
      </c>
      <c r="W355" s="22">
        <f>IF(R355="",O355,MAX(V355-R355-N(S355),0))</f>
        <v/>
      </c>
      <c r="X355" s="20" t="n"/>
      <c r="Y355" s="23">
        <f>IF(OR(X355="",W355=0),"",X355/W355-1)</f>
        <v/>
      </c>
      <c r="Z355" s="24" t="n"/>
      <c r="AA355" s="21" t="n"/>
      <c r="AB355" s="25" t="n"/>
      <c r="AC355" s="26">
        <f>IF(T355="","Chưa quyết định",IF(OR(Z355="",AA355=""),"⚠ Thiếu lý do/người duyệt",IF(AND(X355&lt;&gt;"",N(X355)+N(R355)+N(S355)&gt;M355*1.001,R355&lt;&gt;""),"⚠ Vượt mục tiêu P90",IF(AND(Y355&lt;&gt;"",ABS(N(Y355))&gt;0.3),"⚠ Lệch &gt; 30% so với nhu cầu",IF(Q355="Có","ℹ Kiểm tra ngoại suy KM","✓ Hợp lệ")))))</f>
        <v/>
      </c>
    </row>
    <row r="356">
      <c r="A356" s="16" t="n">
        <v>352</v>
      </c>
      <c r="B356" s="17" t="inlineStr">
        <is>
          <t>DEC-S24-DELI</t>
        </is>
      </c>
      <c r="C356" s="16" t="n">
        <v>24</v>
      </c>
      <c r="D356" s="17" t="inlineStr">
        <is>
          <t>DELI</t>
        </is>
      </c>
      <c r="E356" s="17" t="inlineStr">
        <is>
          <t>MEDIUM</t>
        </is>
      </c>
      <c r="F356" s="17" t="inlineStr">
        <is>
          <t>TRUNG BÌNH</t>
        </is>
      </c>
      <c r="G356" s="18" t="inlineStr">
        <is>
          <t>RISK_MEDIUM · LARGE_SERIES</t>
        </is>
      </c>
      <c r="H356" s="19" t="n">
        <v>3775.382962524414</v>
      </c>
      <c r="I356" s="19" t="n">
        <v>4671.870292602539</v>
      </c>
      <c r="J356" s="19" t="n">
        <v>5822.148696899414</v>
      </c>
      <c r="K356" s="19" t="n">
        <v>4671.870292602539</v>
      </c>
      <c r="L356" s="19" t="n">
        <v>5390.794295288086</v>
      </c>
      <c r="M356" s="19" t="n">
        <v>5822.148696899414</v>
      </c>
      <c r="N356" s="17" t="inlineStr">
        <is>
          <t>C</t>
        </is>
      </c>
      <c r="O356" s="19" t="n">
        <v>2084.652462817383</v>
      </c>
      <c r="P356" s="18" t="inlineStr">
        <is>
          <t>KHÔNG ĐỀ XUẤT TĂNG</t>
        </is>
      </c>
      <c r="Q356" s="17" t="inlineStr">
        <is>
          <t>Không</t>
        </is>
      </c>
      <c r="R356" s="20" t="n"/>
      <c r="S356" s="20" t="n"/>
      <c r="T356" s="21" t="n"/>
      <c r="U356" s="21" t="n"/>
      <c r="V356" s="22">
        <f>IF(U356="A",K356,IF(U356="B",L356,IF(U356="C",M356,IF(N356="A",K356,IF(N356="B",L356,M356)))))</f>
        <v/>
      </c>
      <c r="W356" s="22">
        <f>IF(R356="",O356,MAX(V356-R356-N(S356),0))</f>
        <v/>
      </c>
      <c r="X356" s="20" t="n"/>
      <c r="Y356" s="23">
        <f>IF(OR(X356="",W356=0),"",X356/W356-1)</f>
        <v/>
      </c>
      <c r="Z356" s="24" t="n"/>
      <c r="AA356" s="21" t="n"/>
      <c r="AB356" s="25" t="n"/>
      <c r="AC356" s="26">
        <f>IF(T356="","Chưa quyết định",IF(OR(Z356="",AA356=""),"⚠ Thiếu lý do/người duyệt",IF(AND(X356&lt;&gt;"",N(X356)+N(R356)+N(S356)&gt;M356*1.001,R356&lt;&gt;""),"⚠ Vượt mục tiêu P90",IF(AND(Y356&lt;&gt;"",ABS(N(Y356))&gt;0.3),"⚠ Lệch &gt; 30% so với nhu cầu",IF(Q356="Có","ℹ Kiểm tra ngoại suy KM","✓ Hợp lệ")))))</f>
        <v/>
      </c>
    </row>
    <row r="357">
      <c r="A357" s="16" t="n">
        <v>353</v>
      </c>
      <c r="B357" s="17" t="inlineStr">
        <is>
          <t>DEC-S17-PERSONAL_CARE</t>
        </is>
      </c>
      <c r="C357" s="16" t="n">
        <v>17</v>
      </c>
      <c r="D357" s="17" t="inlineStr">
        <is>
          <t>PERSONAL CARE</t>
        </is>
      </c>
      <c r="E357" s="17" t="inlineStr">
        <is>
          <t>MEDIUM</t>
        </is>
      </c>
      <c r="F357" s="17" t="inlineStr">
        <is>
          <t>TRUNG BÌNH</t>
        </is>
      </c>
      <c r="G357" s="18" t="inlineStr">
        <is>
          <t>RISK_MEDIUM · LARGE_SERIES</t>
        </is>
      </c>
      <c r="H357" s="19" t="n">
        <v>3680.342655639649</v>
      </c>
      <c r="I357" s="19" t="n">
        <v>4643.315762939453</v>
      </c>
      <c r="J357" s="19" t="n">
        <v>5875.604125854492</v>
      </c>
      <c r="K357" s="19" t="n">
        <v>4643.315762939453</v>
      </c>
      <c r="L357" s="19" t="n">
        <v>5413.495989761353</v>
      </c>
      <c r="M357" s="19" t="n">
        <v>5875.604125854492</v>
      </c>
      <c r="N357" s="17" t="inlineStr">
        <is>
          <t>C</t>
        </is>
      </c>
      <c r="O357" s="19" t="n">
        <v>2160.951515502929</v>
      </c>
      <c r="P357" s="18" t="inlineStr">
        <is>
          <t>KHÔNG ĐỀ XUẤT TĂNG</t>
        </is>
      </c>
      <c r="Q357" s="17" t="inlineStr">
        <is>
          <t>Không</t>
        </is>
      </c>
      <c r="R357" s="20" t="n"/>
      <c r="S357" s="20" t="n"/>
      <c r="T357" s="21" t="n"/>
      <c r="U357" s="21" t="n"/>
      <c r="V357" s="22">
        <f>IF(U357="A",K357,IF(U357="B",L357,IF(U357="C",M357,IF(N357="A",K357,IF(N357="B",L357,M357)))))</f>
        <v/>
      </c>
      <c r="W357" s="22">
        <f>IF(R357="",O357,MAX(V357-R357-N(S357),0))</f>
        <v/>
      </c>
      <c r="X357" s="20" t="n"/>
      <c r="Y357" s="23">
        <f>IF(OR(X357="",W357=0),"",X357/W357-1)</f>
        <v/>
      </c>
      <c r="Z357" s="24" t="n"/>
      <c r="AA357" s="21" t="n"/>
      <c r="AB357" s="25" t="n"/>
      <c r="AC357" s="26">
        <f>IF(T357="","Chưa quyết định",IF(OR(Z357="",AA357=""),"⚠ Thiếu lý do/người duyệt",IF(AND(X357&lt;&gt;"",N(X357)+N(R357)+N(S357)&gt;M357*1.001,R357&lt;&gt;""),"⚠ Vượt mục tiêu P90",IF(AND(Y357&lt;&gt;"",ABS(N(Y357))&gt;0.3),"⚠ Lệch &gt; 30% so với nhu cầu",IF(Q357="Có","ℹ Kiểm tra ngoại suy KM","✓ Hợp lệ")))))</f>
        <v/>
      </c>
    </row>
    <row r="358">
      <c r="A358" s="16" t="n">
        <v>354</v>
      </c>
      <c r="B358" s="17" t="inlineStr">
        <is>
          <t>DEC-S24-PERSONAL_CARE</t>
        </is>
      </c>
      <c r="C358" s="16" t="n">
        <v>24</v>
      </c>
      <c r="D358" s="17" t="inlineStr">
        <is>
          <t>PERSONAL CARE</t>
        </is>
      </c>
      <c r="E358" s="17" t="inlineStr">
        <is>
          <t>MEDIUM</t>
        </is>
      </c>
      <c r="F358" s="17" t="inlineStr">
        <is>
          <t>TRUNG BÌNH</t>
        </is>
      </c>
      <c r="G358" s="18" t="inlineStr">
        <is>
          <t>RISK_MEDIUM · LARGE_SERIES</t>
        </is>
      </c>
      <c r="H358" s="19" t="n">
        <v>3737.924969970703</v>
      </c>
      <c r="I358" s="19" t="n">
        <v>4634.412300048828</v>
      </c>
      <c r="J358" s="19" t="n">
        <v>5784.690704345703</v>
      </c>
      <c r="K358" s="19" t="n">
        <v>4634.412300048828</v>
      </c>
      <c r="L358" s="19" t="n">
        <v>5353.336302734375</v>
      </c>
      <c r="M358" s="19" t="n">
        <v>5784.690704345703</v>
      </c>
      <c r="N358" s="17" t="inlineStr">
        <is>
          <t>C</t>
        </is>
      </c>
      <c r="O358" s="19" t="n">
        <v>2077.16086430664</v>
      </c>
      <c r="P358" s="18" t="inlineStr">
        <is>
          <t>KHÔNG ĐỀ XUẤT TĂNG</t>
        </is>
      </c>
      <c r="Q358" s="17" t="inlineStr">
        <is>
          <t>Không</t>
        </is>
      </c>
      <c r="R358" s="20" t="n"/>
      <c r="S358" s="20" t="n"/>
      <c r="T358" s="21" t="n"/>
      <c r="U358" s="21" t="n"/>
      <c r="V358" s="22">
        <f>IF(U358="A",K358,IF(U358="B",L358,IF(U358="C",M358,IF(N358="A",K358,IF(N358="B",L358,M358)))))</f>
        <v/>
      </c>
      <c r="W358" s="22">
        <f>IF(R358="",O358,MAX(V358-R358-N(S358),0))</f>
        <v/>
      </c>
      <c r="X358" s="20" t="n"/>
      <c r="Y358" s="23">
        <f>IF(OR(X358="",W358=0),"",X358/W358-1)</f>
        <v/>
      </c>
      <c r="Z358" s="24" t="n"/>
      <c r="AA358" s="21" t="n"/>
      <c r="AB358" s="25" t="n"/>
      <c r="AC358" s="26">
        <f>IF(T358="","Chưa quyết định",IF(OR(Z358="",AA358=""),"⚠ Thiếu lý do/người duyệt",IF(AND(X358&lt;&gt;"",N(X358)+N(R358)+N(S358)&gt;M358*1.001,R358&lt;&gt;""),"⚠ Vượt mục tiêu P90",IF(AND(Y358&lt;&gt;"",ABS(N(Y358))&gt;0.3),"⚠ Lệch &gt; 30% so với nhu cầu",IF(Q358="Có","ℹ Kiểm tra ngoại suy KM","✓ Hợp lệ")))))</f>
        <v/>
      </c>
    </row>
    <row r="359">
      <c r="A359" s="16" t="n">
        <v>355</v>
      </c>
      <c r="B359" s="17" t="inlineStr">
        <is>
          <t>DEC-S33-MEATS</t>
        </is>
      </c>
      <c r="C359" s="16" t="n">
        <v>33</v>
      </c>
      <c r="D359" s="17" t="inlineStr">
        <is>
          <t>MEATS</t>
        </is>
      </c>
      <c r="E359" s="17" t="inlineStr">
        <is>
          <t>MEDIUM</t>
        </is>
      </c>
      <c r="F359" s="17" t="inlineStr">
        <is>
          <t>TRUNG BÌNH</t>
        </is>
      </c>
      <c r="G359" s="18" t="inlineStr">
        <is>
          <t>RISK_MEDIUM · LARGE_SERIES</t>
        </is>
      </c>
      <c r="H359" s="19" t="n">
        <v>3662.80861328125</v>
      </c>
      <c r="I359" s="19" t="n">
        <v>4625.781720581054</v>
      </c>
      <c r="J359" s="19" t="n">
        <v>5858.070083496094</v>
      </c>
      <c r="K359" s="19" t="n">
        <v>4625.781720581054</v>
      </c>
      <c r="L359" s="19" t="n">
        <v>5395.961947402954</v>
      </c>
      <c r="M359" s="19" t="n">
        <v>5858.070083496094</v>
      </c>
      <c r="N359" s="17" t="inlineStr">
        <is>
          <t>C</t>
        </is>
      </c>
      <c r="O359" s="19" t="n">
        <v>2157.444707031249</v>
      </c>
      <c r="P359" s="18" t="inlineStr">
        <is>
          <t>CÂN NHẮC THỬ NGHIỆM</t>
        </is>
      </c>
      <c r="Q359" s="17" t="inlineStr">
        <is>
          <t>Không</t>
        </is>
      </c>
      <c r="R359" s="20" t="n"/>
      <c r="S359" s="20" t="n"/>
      <c r="T359" s="21" t="n"/>
      <c r="U359" s="21" t="n"/>
      <c r="V359" s="22">
        <f>IF(U359="A",K359,IF(U359="B",L359,IF(U359="C",M359,IF(N359="A",K359,IF(N359="B",L359,M359)))))</f>
        <v/>
      </c>
      <c r="W359" s="22">
        <f>IF(R359="",O359,MAX(V359-R359-N(S359),0))</f>
        <v/>
      </c>
      <c r="X359" s="20" t="n"/>
      <c r="Y359" s="23">
        <f>IF(OR(X359="",W359=0),"",X359/W359-1)</f>
        <v/>
      </c>
      <c r="Z359" s="24" t="n"/>
      <c r="AA359" s="21" t="n"/>
      <c r="AB359" s="25" t="n"/>
      <c r="AC359" s="26">
        <f>IF(T359="","Chưa quyết định",IF(OR(Z359="",AA359=""),"⚠ Thiếu lý do/người duyệt",IF(AND(X359&lt;&gt;"",N(X359)+N(R359)+N(S359)&gt;M359*1.001,R359&lt;&gt;""),"⚠ Vượt mục tiêu P90",IF(AND(Y359&lt;&gt;"",ABS(N(Y359))&gt;0.3),"⚠ Lệch &gt; 30% so với nhu cầu",IF(Q359="Có","ℹ Kiểm tra ngoại suy KM","✓ Hợp lệ")))))</f>
        <v/>
      </c>
    </row>
    <row r="360">
      <c r="A360" s="16" t="n">
        <v>356</v>
      </c>
      <c r="B360" s="17" t="inlineStr">
        <is>
          <t>DEC-S24-HOME_CARE</t>
        </is>
      </c>
      <c r="C360" s="16" t="n">
        <v>24</v>
      </c>
      <c r="D360" s="17" t="inlineStr">
        <is>
          <t>HOME CARE</t>
        </is>
      </c>
      <c r="E360" s="17" t="inlineStr">
        <is>
          <t>MEDIUM</t>
        </is>
      </c>
      <c r="F360" s="17" t="inlineStr">
        <is>
          <t>TRUNG BÌNH</t>
        </is>
      </c>
      <c r="G360" s="18" t="inlineStr">
        <is>
          <t>RISK_MEDIUM · LARGE_SERIES</t>
        </is>
      </c>
      <c r="H360" s="19" t="n">
        <v>3703.158826171875</v>
      </c>
      <c r="I360" s="19" t="n">
        <v>4599.64615625</v>
      </c>
      <c r="J360" s="19" t="n">
        <v>5749.924560546875</v>
      </c>
      <c r="K360" s="19" t="n">
        <v>4599.64615625</v>
      </c>
      <c r="L360" s="19" t="n">
        <v>5318.570158935547</v>
      </c>
      <c r="M360" s="19" t="n">
        <v>5749.924560546875</v>
      </c>
      <c r="N360" s="17" t="inlineStr">
        <is>
          <t>C</t>
        </is>
      </c>
      <c r="O360" s="19" t="n">
        <v>2070.207635546875</v>
      </c>
      <c r="P360" s="18" t="inlineStr">
        <is>
          <t>KHÔNG ĐỀ XUẤT TĂNG</t>
        </is>
      </c>
      <c r="Q360" s="17" t="inlineStr">
        <is>
          <t>Không</t>
        </is>
      </c>
      <c r="R360" s="20" t="n"/>
      <c r="S360" s="20" t="n"/>
      <c r="T360" s="21" t="n"/>
      <c r="U360" s="21" t="n"/>
      <c r="V360" s="22">
        <f>IF(U360="A",K360,IF(U360="B",L360,IF(U360="C",M360,IF(N360="A",K360,IF(N360="B",L360,M360)))))</f>
        <v/>
      </c>
      <c r="W360" s="22">
        <f>IF(R360="",O360,MAX(V360-R360-N(S360),0))</f>
        <v/>
      </c>
      <c r="X360" s="20" t="n"/>
      <c r="Y360" s="23">
        <f>IF(OR(X360="",W360=0),"",X360/W360-1)</f>
        <v/>
      </c>
      <c r="Z360" s="24" t="n"/>
      <c r="AA360" s="21" t="n"/>
      <c r="AB360" s="25" t="n"/>
      <c r="AC360" s="26">
        <f>IF(T360="","Chưa quyết định",IF(OR(Z360="",AA360=""),"⚠ Thiếu lý do/người duyệt",IF(AND(X360&lt;&gt;"",N(X360)+N(R360)+N(S360)&gt;M360*1.001,R360&lt;&gt;""),"⚠ Vượt mục tiêu P90",IF(AND(Y360&lt;&gt;"",ABS(N(Y360))&gt;0.3),"⚠ Lệch &gt; 30% so với nhu cầu",IF(Q360="Có","ℹ Kiểm tra ngoại suy KM","✓ Hợp lệ")))))</f>
        <v/>
      </c>
    </row>
    <row r="361">
      <c r="A361" s="16" t="n">
        <v>357</v>
      </c>
      <c r="B361" s="17" t="inlineStr">
        <is>
          <t>DEC-S02-HOME_CARE</t>
        </is>
      </c>
      <c r="C361" s="16" t="n">
        <v>2</v>
      </c>
      <c r="D361" s="17" t="inlineStr">
        <is>
          <t>HOME CARE</t>
        </is>
      </c>
      <c r="E361" s="17" t="inlineStr">
        <is>
          <t>MEDIUM</t>
        </is>
      </c>
      <c r="F361" s="17" t="inlineStr">
        <is>
          <t>TRUNG BÌNH</t>
        </is>
      </c>
      <c r="G361" s="18" t="inlineStr">
        <is>
          <t>RISK_MEDIUM · LARGE_SERIES</t>
        </is>
      </c>
      <c r="H361" s="19" t="n">
        <v>3684.184583007812</v>
      </c>
      <c r="I361" s="19" t="n">
        <v>4580.671913085937</v>
      </c>
      <c r="J361" s="19" t="n">
        <v>5730.950317382812</v>
      </c>
      <c r="K361" s="19" t="n">
        <v>4580.671913085937</v>
      </c>
      <c r="L361" s="19" t="n">
        <v>5299.595915771484</v>
      </c>
      <c r="M361" s="19" t="n">
        <v>5730.950317382812</v>
      </c>
      <c r="N361" s="17" t="inlineStr">
        <is>
          <t>C</t>
        </is>
      </c>
      <c r="O361" s="19" t="n">
        <v>2066.412786914063</v>
      </c>
      <c r="P361" s="18" t="inlineStr">
        <is>
          <t>KHÔNG ĐỀ XUẤT TĂNG</t>
        </is>
      </c>
      <c r="Q361" s="17" t="inlineStr">
        <is>
          <t>Không</t>
        </is>
      </c>
      <c r="R361" s="20" t="n"/>
      <c r="S361" s="20" t="n"/>
      <c r="T361" s="21" t="n"/>
      <c r="U361" s="21" t="n"/>
      <c r="V361" s="22">
        <f>IF(U361="A",K361,IF(U361="B",L361,IF(U361="C",M361,IF(N361="A",K361,IF(N361="B",L361,M361)))))</f>
        <v/>
      </c>
      <c r="W361" s="22">
        <f>IF(R361="",O361,MAX(V361-R361-N(S361),0))</f>
        <v/>
      </c>
      <c r="X361" s="20" t="n"/>
      <c r="Y361" s="23">
        <f>IF(OR(X361="",W361=0),"",X361/W361-1)</f>
        <v/>
      </c>
      <c r="Z361" s="24" t="n"/>
      <c r="AA361" s="21" t="n"/>
      <c r="AB361" s="25" t="n"/>
      <c r="AC361" s="26">
        <f>IF(T361="","Chưa quyết định",IF(OR(Z361="",AA361=""),"⚠ Thiếu lý do/người duyệt",IF(AND(X361&lt;&gt;"",N(X361)+N(R361)+N(S361)&gt;M361*1.001,R361&lt;&gt;""),"⚠ Vượt mục tiêu P90",IF(AND(Y361&lt;&gt;"",ABS(N(Y361))&gt;0.3),"⚠ Lệch &gt; 30% so với nhu cầu",IF(Q361="Có","ℹ Kiểm tra ngoại suy KM","✓ Hợp lệ")))))</f>
        <v/>
      </c>
    </row>
    <row r="362">
      <c r="A362" s="16" t="n">
        <v>358</v>
      </c>
      <c r="B362" s="17" t="inlineStr">
        <is>
          <t>DEC-S47-FROZEN_FOODS</t>
        </is>
      </c>
      <c r="C362" s="16" t="n">
        <v>47</v>
      </c>
      <c r="D362" s="17" t="inlineStr">
        <is>
          <t>FROZEN FOODS</t>
        </is>
      </c>
      <c r="E362" s="17" t="inlineStr">
        <is>
          <t>MEDIUM</t>
        </is>
      </c>
      <c r="F362" s="17" t="inlineStr">
        <is>
          <t>TRUNG BÌNH</t>
        </is>
      </c>
      <c r="G362" s="18" t="inlineStr">
        <is>
          <t>RISK_MEDIUM · LARGE_SERIES</t>
        </is>
      </c>
      <c r="H362" s="19" t="n">
        <v>3579.425373535156</v>
      </c>
      <c r="I362" s="19" t="n">
        <v>4542.398480834961</v>
      </c>
      <c r="J362" s="19" t="n">
        <v>5774.68684375</v>
      </c>
      <c r="K362" s="19" t="n">
        <v>4542.398480834961</v>
      </c>
      <c r="L362" s="19" t="n">
        <v>5312.57870765686</v>
      </c>
      <c r="M362" s="19" t="n">
        <v>5774.68684375</v>
      </c>
      <c r="N362" s="17" t="inlineStr">
        <is>
          <t>C</t>
        </is>
      </c>
      <c r="O362" s="19" t="n">
        <v>2140.768059082031</v>
      </c>
      <c r="P362" s="18" t="inlineStr">
        <is>
          <t>CÂN NHẮC THỬ NGHIỆM</t>
        </is>
      </c>
      <c r="Q362" s="17" t="inlineStr">
        <is>
          <t>Không</t>
        </is>
      </c>
      <c r="R362" s="20" t="n"/>
      <c r="S362" s="20" t="n"/>
      <c r="T362" s="21" t="n"/>
      <c r="U362" s="21" t="n"/>
      <c r="V362" s="22">
        <f>IF(U362="A",K362,IF(U362="B",L362,IF(U362="C",M362,IF(N362="A",K362,IF(N362="B",L362,M362)))))</f>
        <v/>
      </c>
      <c r="W362" s="22">
        <f>IF(R362="",O362,MAX(V362-R362-N(S362),0))</f>
        <v/>
      </c>
      <c r="X362" s="20" t="n"/>
      <c r="Y362" s="23">
        <f>IF(OR(X362="",W362=0),"",X362/W362-1)</f>
        <v/>
      </c>
      <c r="Z362" s="24" t="n"/>
      <c r="AA362" s="21" t="n"/>
      <c r="AB362" s="25" t="n"/>
      <c r="AC362" s="26">
        <f>IF(T362="","Chưa quyết định",IF(OR(Z362="",AA362=""),"⚠ Thiếu lý do/người duyệt",IF(AND(X362&lt;&gt;"",N(X362)+N(R362)+N(S362)&gt;M362*1.001,R362&lt;&gt;""),"⚠ Vượt mục tiêu P90",IF(AND(Y362&lt;&gt;"",ABS(N(Y362))&gt;0.3),"⚠ Lệch &gt; 30% so với nhu cầu",IF(Q362="Có","ℹ Kiểm tra ngoại suy KM","✓ Hợp lệ")))))</f>
        <v/>
      </c>
    </row>
    <row r="363">
      <c r="A363" s="16" t="n">
        <v>359</v>
      </c>
      <c r="B363" s="17" t="inlineStr">
        <is>
          <t>DEC-S14-DELI</t>
        </is>
      </c>
      <c r="C363" s="16" t="n">
        <v>14</v>
      </c>
      <c r="D363" s="17" t="inlineStr">
        <is>
          <t>DELI</t>
        </is>
      </c>
      <c r="E363" s="17" t="inlineStr">
        <is>
          <t>MEDIUM</t>
        </is>
      </c>
      <c r="F363" s="17" t="inlineStr">
        <is>
          <t>TRUNG BÌNH</t>
        </is>
      </c>
      <c r="G363" s="18" t="inlineStr">
        <is>
          <t>RISK_MEDIUM · LARGE_SERIES</t>
        </is>
      </c>
      <c r="H363" s="19" t="n">
        <v>3634.695798217773</v>
      </c>
      <c r="I363" s="19" t="n">
        <v>4531.183128295898</v>
      </c>
      <c r="J363" s="19" t="n">
        <v>5681.461532592773</v>
      </c>
      <c r="K363" s="19" t="n">
        <v>4531.183128295898</v>
      </c>
      <c r="L363" s="19" t="n">
        <v>5250.107130981445</v>
      </c>
      <c r="M363" s="19" t="n">
        <v>5681.461532592773</v>
      </c>
      <c r="N363" s="17" t="inlineStr">
        <is>
          <t>C</t>
        </is>
      </c>
      <c r="O363" s="19" t="n">
        <v>2056.515029956055</v>
      </c>
      <c r="P363" s="18" t="inlineStr">
        <is>
          <t>KHÔNG ĐỀ XUẤT TĂNG</t>
        </is>
      </c>
      <c r="Q363" s="17" t="inlineStr">
        <is>
          <t>Không</t>
        </is>
      </c>
      <c r="R363" s="20" t="n"/>
      <c r="S363" s="20" t="n"/>
      <c r="T363" s="21" t="n"/>
      <c r="U363" s="21" t="n"/>
      <c r="V363" s="22">
        <f>IF(U363="A",K363,IF(U363="B",L363,IF(U363="C",M363,IF(N363="A",K363,IF(N363="B",L363,M363)))))</f>
        <v/>
      </c>
      <c r="W363" s="22">
        <f>IF(R363="",O363,MAX(V363-R363-N(S363),0))</f>
        <v/>
      </c>
      <c r="X363" s="20" t="n"/>
      <c r="Y363" s="23">
        <f>IF(OR(X363="",W363=0),"",X363/W363-1)</f>
        <v/>
      </c>
      <c r="Z363" s="24" t="n"/>
      <c r="AA363" s="21" t="n"/>
      <c r="AB363" s="25" t="n"/>
      <c r="AC363" s="26">
        <f>IF(T363="","Chưa quyết định",IF(OR(Z363="",AA363=""),"⚠ Thiếu lý do/người duyệt",IF(AND(X363&lt;&gt;"",N(X363)+N(R363)+N(S363)&gt;M363*1.001,R363&lt;&gt;""),"⚠ Vượt mục tiêu P90",IF(AND(Y363&lt;&gt;"",ABS(N(Y363))&gt;0.3),"⚠ Lệch &gt; 30% so với nhu cầu",IF(Q363="Có","ℹ Kiểm tra ngoại suy KM","✓ Hợp lệ")))))</f>
        <v/>
      </c>
    </row>
    <row r="364">
      <c r="A364" s="16" t="n">
        <v>360</v>
      </c>
      <c r="B364" s="17" t="inlineStr">
        <is>
          <t>DEC-S23-BREAD_BAKERY</t>
        </is>
      </c>
      <c r="C364" s="16" t="n">
        <v>23</v>
      </c>
      <c r="D364" s="17" t="inlineStr">
        <is>
          <t>BREAD/BAKERY</t>
        </is>
      </c>
      <c r="E364" s="17" t="inlineStr">
        <is>
          <t>MEDIUM</t>
        </is>
      </c>
      <c r="F364" s="17" t="inlineStr">
        <is>
          <t>TRUNG BÌNH</t>
        </is>
      </c>
      <c r="G364" s="18" t="inlineStr">
        <is>
          <t>RISK_MEDIUM · LARGE_SERIES</t>
        </is>
      </c>
      <c r="H364" s="19" t="n">
        <v>3631.970135986328</v>
      </c>
      <c r="I364" s="19" t="n">
        <v>4528.457466064453</v>
      </c>
      <c r="J364" s="19" t="n">
        <v>5678.735870361328</v>
      </c>
      <c r="K364" s="19" t="n">
        <v>4528.457466064453</v>
      </c>
      <c r="L364" s="19" t="n">
        <v>5247.38146875</v>
      </c>
      <c r="M364" s="19" t="n">
        <v>5678.735870361328</v>
      </c>
      <c r="N364" s="17" t="inlineStr">
        <is>
          <t>C</t>
        </is>
      </c>
      <c r="O364" s="19" t="n">
        <v>2055.969897509766</v>
      </c>
      <c r="P364" s="18" t="inlineStr">
        <is>
          <t>KHÔNG ĐỀ XUẤT TĂNG</t>
        </is>
      </c>
      <c r="Q364" s="17" t="inlineStr">
        <is>
          <t>Không</t>
        </is>
      </c>
      <c r="R364" s="20" t="n"/>
      <c r="S364" s="20" t="n"/>
      <c r="T364" s="21" t="n"/>
      <c r="U364" s="21" t="n"/>
      <c r="V364" s="22">
        <f>IF(U364="A",K364,IF(U364="B",L364,IF(U364="C",M364,IF(N364="A",K364,IF(N364="B",L364,M364)))))</f>
        <v/>
      </c>
      <c r="W364" s="22">
        <f>IF(R364="",O364,MAX(V364-R364-N(S364),0))</f>
        <v/>
      </c>
      <c r="X364" s="20" t="n"/>
      <c r="Y364" s="23">
        <f>IF(OR(X364="",W364=0),"",X364/W364-1)</f>
        <v/>
      </c>
      <c r="Z364" s="24" t="n"/>
      <c r="AA364" s="21" t="n"/>
      <c r="AB364" s="25" t="n"/>
      <c r="AC364" s="26">
        <f>IF(T364="","Chưa quyết định",IF(OR(Z364="",AA364=""),"⚠ Thiếu lý do/người duyệt",IF(AND(X364&lt;&gt;"",N(X364)+N(R364)+N(S364)&gt;M364*1.001,R364&lt;&gt;""),"⚠ Vượt mục tiêu P90",IF(AND(Y364&lt;&gt;"",ABS(N(Y364))&gt;0.3),"⚠ Lệch &gt; 30% so với nhu cầu",IF(Q364="Có","ℹ Kiểm tra ngoại suy KM","✓ Hợp lệ")))))</f>
        <v/>
      </c>
    </row>
    <row r="365">
      <c r="A365" s="16" t="n">
        <v>361</v>
      </c>
      <c r="B365" s="17" t="inlineStr">
        <is>
          <t>DEC-S45-GROCERY_I</t>
        </is>
      </c>
      <c r="C365" s="16" t="n">
        <v>45</v>
      </c>
      <c r="D365" s="17" t="inlineStr">
        <is>
          <t>GROCERY I</t>
        </is>
      </c>
      <c r="E365" s="17" t="inlineStr">
        <is>
          <t>LOW</t>
        </is>
      </c>
      <c r="F365" s="17" t="inlineStr">
        <is>
          <t>TRUNG BÌNH</t>
        </is>
      </c>
      <c r="G365" s="18" t="inlineStr">
        <is>
          <t>RISK_LOW · LARGE_SERIES</t>
        </is>
      </c>
      <c r="H365" s="19" t="n">
        <v>173776.5666046875</v>
      </c>
      <c r="I365" s="19" t="n">
        <v>180456.3017578125</v>
      </c>
      <c r="J365" s="19" t="n">
        <v>192591.9462890625</v>
      </c>
      <c r="K365" s="19" t="n">
        <v>180456.3017578125</v>
      </c>
      <c r="L365" s="19" t="n">
        <v>188041.0795898438</v>
      </c>
      <c r="M365" s="19" t="n">
        <v>192591.9462890625</v>
      </c>
      <c r="N365" s="17" t="inlineStr">
        <is>
          <t>C</t>
        </is>
      </c>
      <c r="O365" s="19" t="n">
        <v>48226.90488281249</v>
      </c>
      <c r="P365" s="18" t="inlineStr">
        <is>
          <t>KHÔNG ĐỀ XUẤT TĂNG</t>
        </is>
      </c>
      <c r="Q365" s="17" t="inlineStr">
        <is>
          <t>Không</t>
        </is>
      </c>
      <c r="R365" s="20" t="n"/>
      <c r="S365" s="20" t="n"/>
      <c r="T365" s="21" t="n"/>
      <c r="U365" s="21" t="n"/>
      <c r="V365" s="22">
        <f>IF(U365="A",K365,IF(U365="B",L365,IF(U365="C",M365,IF(N365="A",K365,IF(N365="B",L365,M365)))))</f>
        <v/>
      </c>
      <c r="W365" s="22">
        <f>IF(R365="",O365,MAX(V365-R365-N(S365),0))</f>
        <v/>
      </c>
      <c r="X365" s="20" t="n"/>
      <c r="Y365" s="23">
        <f>IF(OR(X365="",W365=0),"",X365/W365-1)</f>
        <v/>
      </c>
      <c r="Z365" s="24" t="n"/>
      <c r="AA365" s="21" t="n"/>
      <c r="AB365" s="25" t="n"/>
      <c r="AC365" s="26">
        <f>IF(T365="","Chưa quyết định",IF(OR(Z365="",AA365=""),"⚠ Thiếu lý do/người duyệt",IF(AND(X365&lt;&gt;"",N(X365)+N(R365)+N(S365)&gt;M365*1.001,R365&lt;&gt;""),"⚠ Vượt mục tiêu P90",IF(AND(Y365&lt;&gt;"",ABS(N(Y365))&gt;0.3),"⚠ Lệch &gt; 30% so với nhu cầu",IF(Q365="Có","ℹ Kiểm tra ngoại suy KM","✓ Hợp lệ")))))</f>
        <v/>
      </c>
    </row>
    <row r="366">
      <c r="A366" s="16" t="n">
        <v>362</v>
      </c>
      <c r="B366" s="17" t="inlineStr">
        <is>
          <t>DEC-S44-GROCERY_I</t>
        </is>
      </c>
      <c r="C366" s="16" t="n">
        <v>44</v>
      </c>
      <c r="D366" s="17" t="inlineStr">
        <is>
          <t>GROCERY I</t>
        </is>
      </c>
      <c r="E366" s="17" t="inlineStr">
        <is>
          <t>LOW</t>
        </is>
      </c>
      <c r="F366" s="17" t="inlineStr">
        <is>
          <t>TRUNG BÌNH</t>
        </is>
      </c>
      <c r="G366" s="18" t="inlineStr">
        <is>
          <t>RISK_LOW · LARGE_SERIES</t>
        </is>
      </c>
      <c r="H366" s="19" t="n">
        <v>166314.0402375</v>
      </c>
      <c r="I366" s="19" t="n">
        <v>172993.775390625</v>
      </c>
      <c r="J366" s="19" t="n">
        <v>185129.419921875</v>
      </c>
      <c r="K366" s="19" t="n">
        <v>172993.775390625</v>
      </c>
      <c r="L366" s="19" t="n">
        <v>180578.5532226562</v>
      </c>
      <c r="M366" s="19" t="n">
        <v>185129.419921875</v>
      </c>
      <c r="N366" s="17" t="inlineStr">
        <is>
          <t>C</t>
        </is>
      </c>
      <c r="O366" s="19" t="n">
        <v>46734.39960937499</v>
      </c>
      <c r="P366" s="18" t="inlineStr">
        <is>
          <t>KHÔNG ĐỀ XUẤT TĂNG</t>
        </is>
      </c>
      <c r="Q366" s="17" t="inlineStr">
        <is>
          <t>Không</t>
        </is>
      </c>
      <c r="R366" s="20" t="n"/>
      <c r="S366" s="20" t="n"/>
      <c r="T366" s="21" t="n"/>
      <c r="U366" s="21" t="n"/>
      <c r="V366" s="22">
        <f>IF(U366="A",K366,IF(U366="B",L366,IF(U366="C",M366,IF(N366="A",K366,IF(N366="B",L366,M366)))))</f>
        <v/>
      </c>
      <c r="W366" s="22">
        <f>IF(R366="",O366,MAX(V366-R366-N(S366),0))</f>
        <v/>
      </c>
      <c r="X366" s="20" t="n"/>
      <c r="Y366" s="23">
        <f>IF(OR(X366="",W366=0),"",X366/W366-1)</f>
        <v/>
      </c>
      <c r="Z366" s="24" t="n"/>
      <c r="AA366" s="21" t="n"/>
      <c r="AB366" s="25" t="n"/>
      <c r="AC366" s="26">
        <f>IF(T366="","Chưa quyết định",IF(OR(Z366="",AA366=""),"⚠ Thiếu lý do/người duyệt",IF(AND(X366&lt;&gt;"",N(X366)+N(R366)+N(S366)&gt;M366*1.001,R366&lt;&gt;""),"⚠ Vượt mục tiêu P90",IF(AND(Y366&lt;&gt;"",ABS(N(Y366))&gt;0.3),"⚠ Lệch &gt; 30% so với nhu cầu",IF(Q366="Có","ℹ Kiểm tra ngoại suy KM","✓ Hợp lệ")))))</f>
        <v/>
      </c>
    </row>
    <row r="367">
      <c r="A367" s="16" t="n">
        <v>363</v>
      </c>
      <c r="B367" s="17" t="inlineStr">
        <is>
          <t>DEC-S47-GROCERY_I</t>
        </is>
      </c>
      <c r="C367" s="16" t="n">
        <v>47</v>
      </c>
      <c r="D367" s="17" t="inlineStr">
        <is>
          <t>GROCERY I</t>
        </is>
      </c>
      <c r="E367" s="17" t="inlineStr">
        <is>
          <t>LOW</t>
        </is>
      </c>
      <c r="F367" s="17" t="inlineStr">
        <is>
          <t>TRUNG BÌNH</t>
        </is>
      </c>
      <c r="G367" s="18" t="inlineStr">
        <is>
          <t>RISK_LOW · LARGE_SERIES</t>
        </is>
      </c>
      <c r="H367" s="19" t="n">
        <v>164741.9543</v>
      </c>
      <c r="I367" s="19" t="n">
        <v>171421.689453125</v>
      </c>
      <c r="J367" s="19" t="n">
        <v>183557.333984375</v>
      </c>
      <c r="K367" s="19" t="n">
        <v>171421.689453125</v>
      </c>
      <c r="L367" s="19" t="n">
        <v>179006.4672851562</v>
      </c>
      <c r="M367" s="19" t="n">
        <v>183557.333984375</v>
      </c>
      <c r="N367" s="17" t="inlineStr">
        <is>
          <t>C</t>
        </is>
      </c>
      <c r="O367" s="19" t="n">
        <v>46419.982421875</v>
      </c>
      <c r="P367" s="18" t="inlineStr">
        <is>
          <t>KHÔNG ĐỀ XUẤT TĂNG</t>
        </is>
      </c>
      <c r="Q367" s="17" t="inlineStr">
        <is>
          <t>Không</t>
        </is>
      </c>
      <c r="R367" s="20" t="n"/>
      <c r="S367" s="20" t="n"/>
      <c r="T367" s="21" t="n"/>
      <c r="U367" s="21" t="n"/>
      <c r="V367" s="22">
        <f>IF(U367="A",K367,IF(U367="B",L367,IF(U367="C",M367,IF(N367="A",K367,IF(N367="B",L367,M367)))))</f>
        <v/>
      </c>
      <c r="W367" s="22">
        <f>IF(R367="",O367,MAX(V367-R367-N(S367),0))</f>
        <v/>
      </c>
      <c r="X367" s="20" t="n"/>
      <c r="Y367" s="23">
        <f>IF(OR(X367="",W367=0),"",X367/W367-1)</f>
        <v/>
      </c>
      <c r="Z367" s="24" t="n"/>
      <c r="AA367" s="21" t="n"/>
      <c r="AB367" s="25" t="n"/>
      <c r="AC367" s="26">
        <f>IF(T367="","Chưa quyết định",IF(OR(Z367="",AA367=""),"⚠ Thiếu lý do/người duyệt",IF(AND(X367&lt;&gt;"",N(X367)+N(R367)+N(S367)&gt;M367*1.001,R367&lt;&gt;""),"⚠ Vượt mục tiêu P90",IF(AND(Y367&lt;&gt;"",ABS(N(Y367))&gt;0.3),"⚠ Lệch &gt; 30% so với nhu cầu",IF(Q367="Có","ℹ Kiểm tra ngoại suy KM","✓ Hợp lệ")))))</f>
        <v/>
      </c>
    </row>
    <row r="368">
      <c r="A368" s="16" t="n">
        <v>364</v>
      </c>
      <c r="B368" s="17" t="inlineStr">
        <is>
          <t>DEC-S46-GROCERY_I</t>
        </is>
      </c>
      <c r="C368" s="16" t="n">
        <v>46</v>
      </c>
      <c r="D368" s="17" t="inlineStr">
        <is>
          <t>GROCERY I</t>
        </is>
      </c>
      <c r="E368" s="17" t="inlineStr">
        <is>
          <t>LOW</t>
        </is>
      </c>
      <c r="F368" s="17" t="inlineStr">
        <is>
          <t>TRUNG BÌNH</t>
        </is>
      </c>
      <c r="G368" s="18" t="inlineStr">
        <is>
          <t>RISK_LOW · LARGE_SERIES</t>
        </is>
      </c>
      <c r="H368" s="19" t="n">
        <v>160250.1120148438</v>
      </c>
      <c r="I368" s="19" t="n">
        <v>166929.8471679688</v>
      </c>
      <c r="J368" s="19" t="n">
        <v>179065.4916992188</v>
      </c>
      <c r="K368" s="19" t="n">
        <v>166929.8471679688</v>
      </c>
      <c r="L368" s="19" t="n">
        <v>174514.625</v>
      </c>
      <c r="M368" s="19" t="n">
        <v>179065.4916992188</v>
      </c>
      <c r="N368" s="17" t="inlineStr">
        <is>
          <t>C</t>
        </is>
      </c>
      <c r="O368" s="19" t="n">
        <v>45521.61396484374</v>
      </c>
      <c r="P368" s="18" t="inlineStr">
        <is>
          <t>KHÔNG ĐỀ XUẤT TĂNG</t>
        </is>
      </c>
      <c r="Q368" s="17" t="inlineStr">
        <is>
          <t>Không</t>
        </is>
      </c>
      <c r="R368" s="20" t="n"/>
      <c r="S368" s="20" t="n"/>
      <c r="T368" s="21" t="n"/>
      <c r="U368" s="21" t="n"/>
      <c r="V368" s="22">
        <f>IF(U368="A",K368,IF(U368="B",L368,IF(U368="C",M368,IF(N368="A",K368,IF(N368="B",L368,M368)))))</f>
        <v/>
      </c>
      <c r="W368" s="22">
        <f>IF(R368="",O368,MAX(V368-R368-N(S368),0))</f>
        <v/>
      </c>
      <c r="X368" s="20" t="n"/>
      <c r="Y368" s="23">
        <f>IF(OR(X368="",W368=0),"",X368/W368-1)</f>
        <v/>
      </c>
      <c r="Z368" s="24" t="n"/>
      <c r="AA368" s="21" t="n"/>
      <c r="AB368" s="25" t="n"/>
      <c r="AC368" s="26">
        <f>IF(T368="","Chưa quyết định",IF(OR(Z368="",AA368=""),"⚠ Thiếu lý do/người duyệt",IF(AND(X368&lt;&gt;"",N(X368)+N(R368)+N(S368)&gt;M368*1.001,R368&lt;&gt;""),"⚠ Vượt mục tiêu P90",IF(AND(Y368&lt;&gt;"",ABS(N(Y368))&gt;0.3),"⚠ Lệch &gt; 30% so với nhu cầu",IF(Q368="Có","ℹ Kiểm tra ngoại suy KM","✓ Hợp lệ")))))</f>
        <v/>
      </c>
    </row>
    <row r="369">
      <c r="A369" s="16" t="n">
        <v>365</v>
      </c>
      <c r="B369" s="17" t="inlineStr">
        <is>
          <t>DEC-S44-BEVERAGES</t>
        </is>
      </c>
      <c r="C369" s="16" t="n">
        <v>44</v>
      </c>
      <c r="D369" s="17" t="inlineStr">
        <is>
          <t>BEVERAGES</t>
        </is>
      </c>
      <c r="E369" s="17" t="inlineStr">
        <is>
          <t>LOW</t>
        </is>
      </c>
      <c r="F369" s="17" t="inlineStr">
        <is>
          <t>TRUNG BÌNH</t>
        </is>
      </c>
      <c r="G369" s="18" t="inlineStr">
        <is>
          <t>RISK_LOW · LARGE_SERIES</t>
        </is>
      </c>
      <c r="H369" s="19" t="n">
        <v>158311.76289375</v>
      </c>
      <c r="I369" s="19" t="n">
        <v>164991.498046875</v>
      </c>
      <c r="J369" s="19" t="n">
        <v>177127.142578125</v>
      </c>
      <c r="K369" s="19" t="n">
        <v>164991.498046875</v>
      </c>
      <c r="L369" s="19" t="n">
        <v>172576.2758789062</v>
      </c>
      <c r="M369" s="19" t="n">
        <v>177127.142578125</v>
      </c>
      <c r="N369" s="17" t="inlineStr">
        <is>
          <t>C</t>
        </is>
      </c>
      <c r="O369" s="19" t="n">
        <v>45133.94414062498</v>
      </c>
      <c r="P369" s="18" t="inlineStr">
        <is>
          <t>KHÔNG ĐỀ XUẤT TĂNG</t>
        </is>
      </c>
      <c r="Q369" s="17" t="inlineStr">
        <is>
          <t>Không</t>
        </is>
      </c>
      <c r="R369" s="20" t="n"/>
      <c r="S369" s="20" t="n"/>
      <c r="T369" s="21" t="n"/>
      <c r="U369" s="21" t="n"/>
      <c r="V369" s="22">
        <f>IF(U369="A",K369,IF(U369="B",L369,IF(U369="C",M369,IF(N369="A",K369,IF(N369="B",L369,M369)))))</f>
        <v/>
      </c>
      <c r="W369" s="22">
        <f>IF(R369="",O369,MAX(V369-R369-N(S369),0))</f>
        <v/>
      </c>
      <c r="X369" s="20" t="n"/>
      <c r="Y369" s="23">
        <f>IF(OR(X369="",W369=0),"",X369/W369-1)</f>
        <v/>
      </c>
      <c r="Z369" s="24" t="n"/>
      <c r="AA369" s="21" t="n"/>
      <c r="AB369" s="25" t="n"/>
      <c r="AC369" s="26">
        <f>IF(T369="","Chưa quyết định",IF(OR(Z369="",AA369=""),"⚠ Thiếu lý do/người duyệt",IF(AND(X369&lt;&gt;"",N(X369)+N(R369)+N(S369)&gt;M369*1.001,R369&lt;&gt;""),"⚠ Vượt mục tiêu P90",IF(AND(Y369&lt;&gt;"",ABS(N(Y369))&gt;0.3),"⚠ Lệch &gt; 30% so với nhu cầu",IF(Q369="Có","ℹ Kiểm tra ngoại suy KM","✓ Hợp lệ")))))</f>
        <v/>
      </c>
    </row>
    <row r="370">
      <c r="A370" s="16" t="n">
        <v>366</v>
      </c>
      <c r="B370" s="17" t="inlineStr">
        <is>
          <t>DEC-S45-BEVERAGES</t>
        </is>
      </c>
      <c r="C370" s="16" t="n">
        <v>45</v>
      </c>
      <c r="D370" s="17" t="inlineStr">
        <is>
          <t>BEVERAGES</t>
        </is>
      </c>
      <c r="E370" s="17" t="inlineStr">
        <is>
          <t>LOW</t>
        </is>
      </c>
      <c r="F370" s="17" t="inlineStr">
        <is>
          <t>TRUNG BÌNH</t>
        </is>
      </c>
      <c r="G370" s="18" t="inlineStr">
        <is>
          <t>RISK_LOW · LARGE_SERIES</t>
        </is>
      </c>
      <c r="H370" s="19" t="n">
        <v>155715.6374054688</v>
      </c>
      <c r="I370" s="19" t="n">
        <v>162395.3725585938</v>
      </c>
      <c r="J370" s="19" t="n">
        <v>174531.0170898438</v>
      </c>
      <c r="K370" s="19" t="n">
        <v>162395.3725585938</v>
      </c>
      <c r="L370" s="19" t="n">
        <v>169980.150390625</v>
      </c>
      <c r="M370" s="19" t="n">
        <v>174531.0170898438</v>
      </c>
      <c r="N370" s="17" t="inlineStr">
        <is>
          <t>C</t>
        </is>
      </c>
      <c r="O370" s="19" t="n">
        <v>44614.71904296875</v>
      </c>
      <c r="P370" s="18" t="inlineStr">
        <is>
          <t>KHÔNG ĐỀ XUẤT TĂNG</t>
        </is>
      </c>
      <c r="Q370" s="17" t="inlineStr">
        <is>
          <t>Không</t>
        </is>
      </c>
      <c r="R370" s="20" t="n"/>
      <c r="S370" s="20" t="n"/>
      <c r="T370" s="21" t="n"/>
      <c r="U370" s="21" t="n"/>
      <c r="V370" s="22">
        <f>IF(U370="A",K370,IF(U370="B",L370,IF(U370="C",M370,IF(N370="A",K370,IF(N370="B",L370,M370)))))</f>
        <v/>
      </c>
      <c r="W370" s="22">
        <f>IF(R370="",O370,MAX(V370-R370-N(S370),0))</f>
        <v/>
      </c>
      <c r="X370" s="20" t="n"/>
      <c r="Y370" s="23">
        <f>IF(OR(X370="",W370=0),"",X370/W370-1)</f>
        <v/>
      </c>
      <c r="Z370" s="24" t="n"/>
      <c r="AA370" s="21" t="n"/>
      <c r="AB370" s="25" t="n"/>
      <c r="AC370" s="26">
        <f>IF(T370="","Chưa quyết định",IF(OR(Z370="",AA370=""),"⚠ Thiếu lý do/người duyệt",IF(AND(X370&lt;&gt;"",N(X370)+N(R370)+N(S370)&gt;M370*1.001,R370&lt;&gt;""),"⚠ Vượt mục tiêu P90",IF(AND(Y370&lt;&gt;"",ABS(N(Y370))&gt;0.3),"⚠ Lệch &gt; 30% so với nhu cầu",IF(Q370="Có","ℹ Kiểm tra ngoại suy KM","✓ Hợp lệ")))))</f>
        <v/>
      </c>
    </row>
    <row r="371">
      <c r="A371" s="16" t="n">
        <v>367</v>
      </c>
      <c r="B371" s="17" t="inlineStr">
        <is>
          <t>DEC-S44-PRODUCE</t>
        </is>
      </c>
      <c r="C371" s="16" t="n">
        <v>44</v>
      </c>
      <c r="D371" s="17" t="inlineStr">
        <is>
          <t>PRODUCE</t>
        </is>
      </c>
      <c r="E371" s="17" t="inlineStr">
        <is>
          <t>LOW</t>
        </is>
      </c>
      <c r="F371" s="17" t="inlineStr">
        <is>
          <t>TRUNG BÌNH</t>
        </is>
      </c>
      <c r="G371" s="18" t="inlineStr">
        <is>
          <t>RISK_LOW · LARGE_SERIES</t>
        </is>
      </c>
      <c r="H371" s="19" t="n">
        <v>152887.8839875</v>
      </c>
      <c r="I371" s="19" t="n">
        <v>159567.619140625</v>
      </c>
      <c r="J371" s="19" t="n">
        <v>171703.263671875</v>
      </c>
      <c r="K371" s="19" t="n">
        <v>159567.619140625</v>
      </c>
      <c r="L371" s="19" t="n">
        <v>167152.3969726562</v>
      </c>
      <c r="M371" s="19" t="n">
        <v>171703.263671875</v>
      </c>
      <c r="N371" s="17" t="inlineStr">
        <is>
          <t>C</t>
        </is>
      </c>
      <c r="O371" s="19" t="n">
        <v>44049.16835937501</v>
      </c>
      <c r="P371" s="18" t="inlineStr">
        <is>
          <t>KHÔNG ĐỀ XUẤT TĂNG</t>
        </is>
      </c>
      <c r="Q371" s="17" t="inlineStr">
        <is>
          <t>Không</t>
        </is>
      </c>
      <c r="R371" s="20" t="n"/>
      <c r="S371" s="20" t="n"/>
      <c r="T371" s="21" t="n"/>
      <c r="U371" s="21" t="n"/>
      <c r="V371" s="22">
        <f>IF(U371="A",K371,IF(U371="B",L371,IF(U371="C",M371,IF(N371="A",K371,IF(N371="B",L371,M371)))))</f>
        <v/>
      </c>
      <c r="W371" s="22">
        <f>IF(R371="",O371,MAX(V371-R371-N(S371),0))</f>
        <v/>
      </c>
      <c r="X371" s="20" t="n"/>
      <c r="Y371" s="23">
        <f>IF(OR(X371="",W371=0),"",X371/W371-1)</f>
        <v/>
      </c>
      <c r="Z371" s="24" t="n"/>
      <c r="AA371" s="21" t="n"/>
      <c r="AB371" s="25" t="n"/>
      <c r="AC371" s="26">
        <f>IF(T371="","Chưa quyết định",IF(OR(Z371="",AA371=""),"⚠ Thiếu lý do/người duyệt",IF(AND(X371&lt;&gt;"",N(X371)+N(R371)+N(S371)&gt;M371*1.001,R371&lt;&gt;""),"⚠ Vượt mục tiêu P90",IF(AND(Y371&lt;&gt;"",ABS(N(Y371))&gt;0.3),"⚠ Lệch &gt; 30% so với nhu cầu",IF(Q371="Có","ℹ Kiểm tra ngoại suy KM","✓ Hợp lệ")))))</f>
        <v/>
      </c>
    </row>
    <row r="372">
      <c r="A372" s="16" t="n">
        <v>368</v>
      </c>
      <c r="B372" s="17" t="inlineStr">
        <is>
          <t>DEC-S47-BEVERAGES</t>
        </is>
      </c>
      <c r="C372" s="16" t="n">
        <v>47</v>
      </c>
      <c r="D372" s="17" t="inlineStr">
        <is>
          <t>BEVERAGES</t>
        </is>
      </c>
      <c r="E372" s="17" t="inlineStr">
        <is>
          <t>LOW</t>
        </is>
      </c>
      <c r="F372" s="17" t="inlineStr">
        <is>
          <t>TRUNG BÌNH</t>
        </is>
      </c>
      <c r="G372" s="18" t="inlineStr">
        <is>
          <t>RISK_LOW · LARGE_SERIES</t>
        </is>
      </c>
      <c r="H372" s="19" t="n">
        <v>143637.1974640625</v>
      </c>
      <c r="I372" s="19" t="n">
        <v>150316.9326171875</v>
      </c>
      <c r="J372" s="19" t="n">
        <v>162452.5771484375</v>
      </c>
      <c r="K372" s="19" t="n">
        <v>150316.9326171875</v>
      </c>
      <c r="L372" s="19" t="n">
        <v>157901.7104492188</v>
      </c>
      <c r="M372" s="19" t="n">
        <v>162452.5771484375</v>
      </c>
      <c r="N372" s="17" t="inlineStr">
        <is>
          <t>C</t>
        </is>
      </c>
      <c r="O372" s="19" t="n">
        <v>42199.0310546875</v>
      </c>
      <c r="P372" s="18" t="inlineStr">
        <is>
          <t>KHÔNG ĐỀ XUẤT TĂNG</t>
        </is>
      </c>
      <c r="Q372" s="17" t="inlineStr">
        <is>
          <t>Không</t>
        </is>
      </c>
      <c r="R372" s="20" t="n"/>
      <c r="S372" s="20" t="n"/>
      <c r="T372" s="21" t="n"/>
      <c r="U372" s="21" t="n"/>
      <c r="V372" s="22">
        <f>IF(U372="A",K372,IF(U372="B",L372,IF(U372="C",M372,IF(N372="A",K372,IF(N372="B",L372,M372)))))</f>
        <v/>
      </c>
      <c r="W372" s="22">
        <f>IF(R372="",O372,MAX(V372-R372-N(S372),0))</f>
        <v/>
      </c>
      <c r="X372" s="20" t="n"/>
      <c r="Y372" s="23">
        <f>IF(OR(X372="",W372=0),"",X372/W372-1)</f>
        <v/>
      </c>
      <c r="Z372" s="24" t="n"/>
      <c r="AA372" s="21" t="n"/>
      <c r="AB372" s="25" t="n"/>
      <c r="AC372" s="26">
        <f>IF(T372="","Chưa quyết định",IF(OR(Z372="",AA372=""),"⚠ Thiếu lý do/người duyệt",IF(AND(X372&lt;&gt;"",N(X372)+N(R372)+N(S372)&gt;M372*1.001,R372&lt;&gt;""),"⚠ Vượt mục tiêu P90",IF(AND(Y372&lt;&gt;"",ABS(N(Y372))&gt;0.3),"⚠ Lệch &gt; 30% so với nhu cầu",IF(Q372="Có","ℹ Kiểm tra ngoại suy KM","✓ Hợp lệ")))))</f>
        <v/>
      </c>
    </row>
    <row r="373">
      <c r="A373" s="16" t="n">
        <v>369</v>
      </c>
      <c r="B373" s="17" t="inlineStr">
        <is>
          <t>DEC-S48-GROCERY_I</t>
        </is>
      </c>
      <c r="C373" s="16" t="n">
        <v>48</v>
      </c>
      <c r="D373" s="17" t="inlineStr">
        <is>
          <t>GROCERY I</t>
        </is>
      </c>
      <c r="E373" s="17" t="inlineStr">
        <is>
          <t>LOW</t>
        </is>
      </c>
      <c r="F373" s="17" t="inlineStr">
        <is>
          <t>TRUNG BÌNH</t>
        </is>
      </c>
      <c r="G373" s="18" t="inlineStr">
        <is>
          <t>RISK_LOW · LARGE_SERIES</t>
        </is>
      </c>
      <c r="H373" s="19" t="n">
        <v>135064.5783234375</v>
      </c>
      <c r="I373" s="19" t="n">
        <v>141744.3134765625</v>
      </c>
      <c r="J373" s="19" t="n">
        <v>153879.9580078125</v>
      </c>
      <c r="K373" s="19" t="n">
        <v>141744.3134765625</v>
      </c>
      <c r="L373" s="19" t="n">
        <v>149329.0913085938</v>
      </c>
      <c r="M373" s="19" t="n">
        <v>153879.9580078125</v>
      </c>
      <c r="N373" s="17" t="inlineStr">
        <is>
          <t>C</t>
        </is>
      </c>
      <c r="O373" s="19" t="n">
        <v>40484.50722656251</v>
      </c>
      <c r="P373" s="18" t="inlineStr">
        <is>
          <t>KHÔNG ĐỀ XUẤT TĂNG</t>
        </is>
      </c>
      <c r="Q373" s="17" t="inlineStr">
        <is>
          <t>Không</t>
        </is>
      </c>
      <c r="R373" s="20" t="n"/>
      <c r="S373" s="20" t="n"/>
      <c r="T373" s="21" t="n"/>
      <c r="U373" s="21" t="n"/>
      <c r="V373" s="22">
        <f>IF(U373="A",K373,IF(U373="B",L373,IF(U373="C",M373,IF(N373="A",K373,IF(N373="B",L373,M373)))))</f>
        <v/>
      </c>
      <c r="W373" s="22">
        <f>IF(R373="",O373,MAX(V373-R373-N(S373),0))</f>
        <v/>
      </c>
      <c r="X373" s="20" t="n"/>
      <c r="Y373" s="23">
        <f>IF(OR(X373="",W373=0),"",X373/W373-1)</f>
        <v/>
      </c>
      <c r="Z373" s="24" t="n"/>
      <c r="AA373" s="21" t="n"/>
      <c r="AB373" s="25" t="n"/>
      <c r="AC373" s="26">
        <f>IF(T373="","Chưa quyết định",IF(OR(Z373="",AA373=""),"⚠ Thiếu lý do/người duyệt",IF(AND(X373&lt;&gt;"",N(X373)+N(R373)+N(S373)&gt;M373*1.001,R373&lt;&gt;""),"⚠ Vượt mục tiêu P90",IF(AND(Y373&lt;&gt;"",ABS(N(Y373))&gt;0.3),"⚠ Lệch &gt; 30% so với nhu cầu",IF(Q373="Có","ℹ Kiểm tra ngoại suy KM","✓ Hợp lệ")))))</f>
        <v/>
      </c>
    </row>
    <row r="374">
      <c r="A374" s="16" t="n">
        <v>370</v>
      </c>
      <c r="B374" s="17" t="inlineStr">
        <is>
          <t>DEC-S03-BEVERAGES</t>
        </is>
      </c>
      <c r="C374" s="16" t="n">
        <v>3</v>
      </c>
      <c r="D374" s="17" t="inlineStr">
        <is>
          <t>BEVERAGES</t>
        </is>
      </c>
      <c r="E374" s="17" t="inlineStr">
        <is>
          <t>LOW</t>
        </is>
      </c>
      <c r="F374" s="17" t="inlineStr">
        <is>
          <t>TRUNG BÌNH</t>
        </is>
      </c>
      <c r="G374" s="18" t="inlineStr">
        <is>
          <t>RISK_LOW · LARGE_SERIES</t>
        </is>
      </c>
      <c r="H374" s="19" t="n">
        <v>134289.1491242188</v>
      </c>
      <c r="I374" s="19" t="n">
        <v>140968.8842773438</v>
      </c>
      <c r="J374" s="19" t="n">
        <v>153104.5288085938</v>
      </c>
      <c r="K374" s="19" t="n">
        <v>140968.8842773438</v>
      </c>
      <c r="L374" s="19" t="n">
        <v>148553.662109375</v>
      </c>
      <c r="M374" s="19" t="n">
        <v>153104.5288085938</v>
      </c>
      <c r="N374" s="17" t="inlineStr">
        <is>
          <t>C</t>
        </is>
      </c>
      <c r="O374" s="19" t="n">
        <v>40329.42138671875</v>
      </c>
      <c r="P374" s="18" t="inlineStr">
        <is>
          <t>KHÔNG ĐỀ XUẤT TĂNG</t>
        </is>
      </c>
      <c r="Q374" s="17" t="inlineStr">
        <is>
          <t>Không</t>
        </is>
      </c>
      <c r="R374" s="20" t="n"/>
      <c r="S374" s="20" t="n"/>
      <c r="T374" s="21" t="n"/>
      <c r="U374" s="21" t="n"/>
      <c r="V374" s="22">
        <f>IF(U374="A",K374,IF(U374="B",L374,IF(U374="C",M374,IF(N374="A",K374,IF(N374="B",L374,M374)))))</f>
        <v/>
      </c>
      <c r="W374" s="22">
        <f>IF(R374="",O374,MAX(V374-R374-N(S374),0))</f>
        <v/>
      </c>
      <c r="X374" s="20" t="n"/>
      <c r="Y374" s="23">
        <f>IF(OR(X374="",W374=0),"",X374/W374-1)</f>
        <v/>
      </c>
      <c r="Z374" s="24" t="n"/>
      <c r="AA374" s="21" t="n"/>
      <c r="AB374" s="25" t="n"/>
      <c r="AC374" s="26">
        <f>IF(T374="","Chưa quyết định",IF(OR(Z374="",AA374=""),"⚠ Thiếu lý do/người duyệt",IF(AND(X374&lt;&gt;"",N(X374)+N(R374)+N(S374)&gt;M374*1.001,R374&lt;&gt;""),"⚠ Vượt mục tiêu P90",IF(AND(Y374&lt;&gt;"",ABS(N(Y374))&gt;0.3),"⚠ Lệch &gt; 30% so với nhu cầu",IF(Q374="Có","ℹ Kiểm tra ngoại suy KM","✓ Hợp lệ")))))</f>
        <v/>
      </c>
    </row>
    <row r="375">
      <c r="A375" s="16" t="n">
        <v>371</v>
      </c>
      <c r="B375" s="17" t="inlineStr">
        <is>
          <t>DEC-S49-GROCERY_I</t>
        </is>
      </c>
      <c r="C375" s="16" t="n">
        <v>49</v>
      </c>
      <c r="D375" s="17" t="inlineStr">
        <is>
          <t>GROCERY I</t>
        </is>
      </c>
      <c r="E375" s="17" t="inlineStr">
        <is>
          <t>LOW</t>
        </is>
      </c>
      <c r="F375" s="17" t="inlineStr">
        <is>
          <t>TRUNG BÌNH</t>
        </is>
      </c>
      <c r="G375" s="18" t="inlineStr">
        <is>
          <t>RISK_LOW · LARGE_SERIES</t>
        </is>
      </c>
      <c r="H375" s="19" t="n">
        <v>127240.4792023438</v>
      </c>
      <c r="I375" s="19" t="n">
        <v>133920.2143554688</v>
      </c>
      <c r="J375" s="19" t="n">
        <v>146055.8588867188</v>
      </c>
      <c r="K375" s="19" t="n">
        <v>133920.2143554688</v>
      </c>
      <c r="L375" s="19" t="n">
        <v>141504.9921875</v>
      </c>
      <c r="M375" s="19" t="n">
        <v>146055.8588867188</v>
      </c>
      <c r="N375" s="17" t="inlineStr">
        <is>
          <t>C</t>
        </is>
      </c>
      <c r="O375" s="19" t="n">
        <v>38919.68740234376</v>
      </c>
      <c r="P375" s="18" t="inlineStr">
        <is>
          <t>KHÔNG ĐỀ XUẤT TĂNG</t>
        </is>
      </c>
      <c r="Q375" s="17" t="inlineStr">
        <is>
          <t>Không</t>
        </is>
      </c>
      <c r="R375" s="20" t="n"/>
      <c r="S375" s="20" t="n"/>
      <c r="T375" s="21" t="n"/>
      <c r="U375" s="21" t="n"/>
      <c r="V375" s="22">
        <f>IF(U375="A",K375,IF(U375="B",L375,IF(U375="C",M375,IF(N375="A",K375,IF(N375="B",L375,M375)))))</f>
        <v/>
      </c>
      <c r="W375" s="22">
        <f>IF(R375="",O375,MAX(V375-R375-N(S375),0))</f>
        <v/>
      </c>
      <c r="X375" s="20" t="n"/>
      <c r="Y375" s="23">
        <f>IF(OR(X375="",W375=0),"",X375/W375-1)</f>
        <v/>
      </c>
      <c r="Z375" s="24" t="n"/>
      <c r="AA375" s="21" t="n"/>
      <c r="AB375" s="25" t="n"/>
      <c r="AC375" s="26">
        <f>IF(T375="","Chưa quyết định",IF(OR(Z375="",AA375=""),"⚠ Thiếu lý do/người duyệt",IF(AND(X375&lt;&gt;"",N(X375)+N(R375)+N(S375)&gt;M375*1.001,R375&lt;&gt;""),"⚠ Vượt mục tiêu P90",IF(AND(Y375&lt;&gt;"",ABS(N(Y375))&gt;0.3),"⚠ Lệch &gt; 30% so với nhu cầu",IF(Q375="Có","ℹ Kiểm tra ngoại suy KM","✓ Hợp lệ")))))</f>
        <v/>
      </c>
    </row>
    <row r="376">
      <c r="A376" s="16" t="n">
        <v>372</v>
      </c>
      <c r="B376" s="17" t="inlineStr">
        <is>
          <t>DEC-S03-GROCERY_I</t>
        </is>
      </c>
      <c r="C376" s="16" t="n">
        <v>3</v>
      </c>
      <c r="D376" s="17" t="inlineStr">
        <is>
          <t>GROCERY I</t>
        </is>
      </c>
      <c r="E376" s="17" t="inlineStr">
        <is>
          <t>LOW</t>
        </is>
      </c>
      <c r="F376" s="17" t="inlineStr">
        <is>
          <t>TRUNG BÌNH</t>
        </is>
      </c>
      <c r="G376" s="18" t="inlineStr">
        <is>
          <t>RISK_LOW · LARGE_SERIES</t>
        </is>
      </c>
      <c r="H376" s="19" t="n">
        <v>126128.460159375</v>
      </c>
      <c r="I376" s="19" t="n">
        <v>132808.1953125</v>
      </c>
      <c r="J376" s="19" t="n">
        <v>144943.83984375</v>
      </c>
      <c r="K376" s="19" t="n">
        <v>132808.1953125</v>
      </c>
      <c r="L376" s="19" t="n">
        <v>140392.9731445312</v>
      </c>
      <c r="M376" s="19" t="n">
        <v>144943.83984375</v>
      </c>
      <c r="N376" s="17" t="inlineStr">
        <is>
          <t>C</t>
        </is>
      </c>
      <c r="O376" s="19" t="n">
        <v>38697.28359375001</v>
      </c>
      <c r="P376" s="18" t="inlineStr">
        <is>
          <t>KHÔNG ĐỀ XUẤT TĂNG</t>
        </is>
      </c>
      <c r="Q376" s="17" t="inlineStr">
        <is>
          <t>Không</t>
        </is>
      </c>
      <c r="R376" s="20" t="n"/>
      <c r="S376" s="20" t="n"/>
      <c r="T376" s="21" t="n"/>
      <c r="U376" s="21" t="n"/>
      <c r="V376" s="22">
        <f>IF(U376="A",K376,IF(U376="B",L376,IF(U376="C",M376,IF(N376="A",K376,IF(N376="B",L376,M376)))))</f>
        <v/>
      </c>
      <c r="W376" s="22">
        <f>IF(R376="",O376,MAX(V376-R376-N(S376),0))</f>
        <v/>
      </c>
      <c r="X376" s="20" t="n"/>
      <c r="Y376" s="23">
        <f>IF(OR(X376="",W376=0),"",X376/W376-1)</f>
        <v/>
      </c>
      <c r="Z376" s="24" t="n"/>
      <c r="AA376" s="21" t="n"/>
      <c r="AB376" s="25" t="n"/>
      <c r="AC376" s="26">
        <f>IF(T376="","Chưa quyết định",IF(OR(Z376="",AA376=""),"⚠ Thiếu lý do/người duyệt",IF(AND(X376&lt;&gt;"",N(X376)+N(R376)+N(S376)&gt;M376*1.001,R376&lt;&gt;""),"⚠ Vượt mục tiêu P90",IF(AND(Y376&lt;&gt;"",ABS(N(Y376))&gt;0.3),"⚠ Lệch &gt; 30% so với nhu cầu",IF(Q376="Có","ℹ Kiểm tra ngoại suy KM","✓ Hợp lệ")))))</f>
        <v/>
      </c>
    </row>
    <row r="377">
      <c r="A377" s="16" t="n">
        <v>373</v>
      </c>
      <c r="B377" s="17" t="inlineStr">
        <is>
          <t>DEC-S49-PRODUCE</t>
        </is>
      </c>
      <c r="C377" s="16" t="n">
        <v>49</v>
      </c>
      <c r="D377" s="17" t="inlineStr">
        <is>
          <t>PRODUCE</t>
        </is>
      </c>
      <c r="E377" s="17" t="inlineStr">
        <is>
          <t>LOW</t>
        </is>
      </c>
      <c r="F377" s="17" t="inlineStr">
        <is>
          <t>TRUNG BÌNH</t>
        </is>
      </c>
      <c r="G377" s="18" t="inlineStr">
        <is>
          <t>RISK_LOW · LARGE_SERIES</t>
        </is>
      </c>
      <c r="H377" s="19" t="n">
        <v>123749.3839875</v>
      </c>
      <c r="I377" s="19" t="n">
        <v>130429.119140625</v>
      </c>
      <c r="J377" s="19" t="n">
        <v>142564.763671875</v>
      </c>
      <c r="K377" s="19" t="n">
        <v>130429.119140625</v>
      </c>
      <c r="L377" s="19" t="n">
        <v>138013.8969726562</v>
      </c>
      <c r="M377" s="19" t="n">
        <v>142564.763671875</v>
      </c>
      <c r="N377" s="17" t="inlineStr">
        <is>
          <t>C</t>
        </is>
      </c>
      <c r="O377" s="19" t="n">
        <v>38221.46835937499</v>
      </c>
      <c r="P377" s="18" t="inlineStr">
        <is>
          <t>KHÔNG ĐỀ XUẤT TĂNG</t>
        </is>
      </c>
      <c r="Q377" s="17" t="inlineStr">
        <is>
          <t>Không</t>
        </is>
      </c>
      <c r="R377" s="20" t="n"/>
      <c r="S377" s="20" t="n"/>
      <c r="T377" s="21" t="n"/>
      <c r="U377" s="21" t="n"/>
      <c r="V377" s="22">
        <f>IF(U377="A",K377,IF(U377="B",L377,IF(U377="C",M377,IF(N377="A",K377,IF(N377="B",L377,M377)))))</f>
        <v/>
      </c>
      <c r="W377" s="22">
        <f>IF(R377="",O377,MAX(V377-R377-N(S377),0))</f>
        <v/>
      </c>
      <c r="X377" s="20" t="n"/>
      <c r="Y377" s="23">
        <f>IF(OR(X377="",W377=0),"",X377/W377-1)</f>
        <v/>
      </c>
      <c r="Z377" s="24" t="n"/>
      <c r="AA377" s="21" t="n"/>
      <c r="AB377" s="25" t="n"/>
      <c r="AC377" s="26">
        <f>IF(T377="","Chưa quyết định",IF(OR(Z377="",AA377=""),"⚠ Thiếu lý do/người duyệt",IF(AND(X377&lt;&gt;"",N(X377)+N(R377)+N(S377)&gt;M377*1.001,R377&lt;&gt;""),"⚠ Vượt mục tiêu P90",IF(AND(Y377&lt;&gt;"",ABS(N(Y377))&gt;0.3),"⚠ Lệch &gt; 30% so với nhu cầu",IF(Q377="Có","ℹ Kiểm tra ngoại suy KM","✓ Hợp lệ")))))</f>
        <v/>
      </c>
    </row>
    <row r="378">
      <c r="A378" s="16" t="n">
        <v>374</v>
      </c>
      <c r="B378" s="17" t="inlineStr">
        <is>
          <t>DEC-S03-PRODUCE</t>
        </is>
      </c>
      <c r="C378" s="16" t="n">
        <v>3</v>
      </c>
      <c r="D378" s="17" t="inlineStr">
        <is>
          <t>PRODUCE</t>
        </is>
      </c>
      <c r="E378" s="17" t="inlineStr">
        <is>
          <t>LOW</t>
        </is>
      </c>
      <c r="F378" s="17" t="inlineStr">
        <is>
          <t>TRUNG BÌNH</t>
        </is>
      </c>
      <c r="G378" s="18" t="inlineStr">
        <is>
          <t>RISK_LOW · LARGE_SERIES</t>
        </is>
      </c>
      <c r="H378" s="19" t="n">
        <v>121858.08320625</v>
      </c>
      <c r="I378" s="19" t="n">
        <v>128537.818359375</v>
      </c>
      <c r="J378" s="19" t="n">
        <v>140673.462890625</v>
      </c>
      <c r="K378" s="19" t="n">
        <v>128537.818359375</v>
      </c>
      <c r="L378" s="19" t="n">
        <v>136122.5961914062</v>
      </c>
      <c r="M378" s="19" t="n">
        <v>140673.462890625</v>
      </c>
      <c r="N378" s="17" t="inlineStr">
        <is>
          <t>C</t>
        </is>
      </c>
      <c r="O378" s="19" t="n">
        <v>37843.208203125</v>
      </c>
      <c r="P378" s="18" t="inlineStr">
        <is>
          <t>KHÔNG ĐỀ XUẤT TĂNG</t>
        </is>
      </c>
      <c r="Q378" s="17" t="inlineStr">
        <is>
          <t>Không</t>
        </is>
      </c>
      <c r="R378" s="20" t="n"/>
      <c r="S378" s="20" t="n"/>
      <c r="T378" s="21" t="n"/>
      <c r="U378" s="21" t="n"/>
      <c r="V378" s="22">
        <f>IF(U378="A",K378,IF(U378="B",L378,IF(U378="C",M378,IF(N378="A",K378,IF(N378="B",L378,M378)))))</f>
        <v/>
      </c>
      <c r="W378" s="22">
        <f>IF(R378="",O378,MAX(V378-R378-N(S378),0))</f>
        <v/>
      </c>
      <c r="X378" s="20" t="n"/>
      <c r="Y378" s="23">
        <f>IF(OR(X378="",W378=0),"",X378/W378-1)</f>
        <v/>
      </c>
      <c r="Z378" s="24" t="n"/>
      <c r="AA378" s="21" t="n"/>
      <c r="AB378" s="25" t="n"/>
      <c r="AC378" s="26">
        <f>IF(T378="","Chưa quyết định",IF(OR(Z378="",AA378=""),"⚠ Thiếu lý do/người duyệt",IF(AND(X378&lt;&gt;"",N(X378)+N(R378)+N(S378)&gt;M378*1.001,R378&lt;&gt;""),"⚠ Vượt mục tiêu P90",IF(AND(Y378&lt;&gt;"",ABS(N(Y378))&gt;0.3),"⚠ Lệch &gt; 30% so với nhu cầu",IF(Q378="Có","ℹ Kiểm tra ngoại suy KM","✓ Hợp lệ")))))</f>
        <v/>
      </c>
    </row>
    <row r="379">
      <c r="A379" s="16" t="n">
        <v>375</v>
      </c>
      <c r="B379" s="17" t="inlineStr">
        <is>
          <t>DEC-S11-GROCERY_I</t>
        </is>
      </c>
      <c r="C379" s="16" t="n">
        <v>11</v>
      </c>
      <c r="D379" s="17" t="inlineStr">
        <is>
          <t>GROCERY I</t>
        </is>
      </c>
      <c r="E379" s="17" t="inlineStr">
        <is>
          <t>LOW</t>
        </is>
      </c>
      <c r="F379" s="17" t="inlineStr">
        <is>
          <t>TRUNG BÌNH</t>
        </is>
      </c>
      <c r="G379" s="18" t="inlineStr">
        <is>
          <t>RISK_LOW · LARGE_SERIES</t>
        </is>
      </c>
      <c r="H379" s="19" t="n">
        <v>117295.1686554688</v>
      </c>
      <c r="I379" s="19" t="n">
        <v>123974.9038085938</v>
      </c>
      <c r="J379" s="19" t="n">
        <v>136110.5483398438</v>
      </c>
      <c r="K379" s="19" t="n">
        <v>123974.9038085938</v>
      </c>
      <c r="L379" s="19" t="n">
        <v>131559.681640625</v>
      </c>
      <c r="M379" s="19" t="n">
        <v>136110.5483398438</v>
      </c>
      <c r="N379" s="17" t="inlineStr">
        <is>
          <t>C</t>
        </is>
      </c>
      <c r="O379" s="19" t="n">
        <v>36930.62529296875</v>
      </c>
      <c r="P379" s="18" t="inlineStr">
        <is>
          <t>KHÔNG ĐỀ XUẤT TĂNG</t>
        </is>
      </c>
      <c r="Q379" s="17" t="inlineStr">
        <is>
          <t>Không</t>
        </is>
      </c>
      <c r="R379" s="20" t="n"/>
      <c r="S379" s="20" t="n"/>
      <c r="T379" s="21" t="n"/>
      <c r="U379" s="21" t="n"/>
      <c r="V379" s="22">
        <f>IF(U379="A",K379,IF(U379="B",L379,IF(U379="C",M379,IF(N379="A",K379,IF(N379="B",L379,M379)))))</f>
        <v/>
      </c>
      <c r="W379" s="22">
        <f>IF(R379="",O379,MAX(V379-R379-N(S379),0))</f>
        <v/>
      </c>
      <c r="X379" s="20" t="n"/>
      <c r="Y379" s="23">
        <f>IF(OR(X379="",W379=0),"",X379/W379-1)</f>
        <v/>
      </c>
      <c r="Z379" s="24" t="n"/>
      <c r="AA379" s="21" t="n"/>
      <c r="AB379" s="25" t="n"/>
      <c r="AC379" s="26">
        <f>IF(T379="","Chưa quyết định",IF(OR(Z379="",AA379=""),"⚠ Thiếu lý do/người duyệt",IF(AND(X379&lt;&gt;"",N(X379)+N(R379)+N(S379)&gt;M379*1.001,R379&lt;&gt;""),"⚠ Vượt mục tiêu P90",IF(AND(Y379&lt;&gt;"",ABS(N(Y379))&gt;0.3),"⚠ Lệch &gt; 30% so với nhu cầu",IF(Q379="Có","ℹ Kiểm tra ngoại suy KM","✓ Hợp lệ")))))</f>
        <v/>
      </c>
    </row>
    <row r="380">
      <c r="A380" s="16" t="n">
        <v>376</v>
      </c>
      <c r="B380" s="17" t="inlineStr">
        <is>
          <t>DEC-S49-BEVERAGES</t>
        </is>
      </c>
      <c r="C380" s="16" t="n">
        <v>49</v>
      </c>
      <c r="D380" s="17" t="inlineStr">
        <is>
          <t>BEVERAGES</t>
        </is>
      </c>
      <c r="E380" s="17" t="inlineStr">
        <is>
          <t>LOW</t>
        </is>
      </c>
      <c r="F380" s="17" t="inlineStr">
        <is>
          <t>TRUNG BÌNH</t>
        </is>
      </c>
      <c r="G380" s="18" t="inlineStr">
        <is>
          <t>RISK_LOW · LARGE_SERIES</t>
        </is>
      </c>
      <c r="H380" s="19" t="n">
        <v>113372.5036164062</v>
      </c>
      <c r="I380" s="19" t="n">
        <v>120052.2387695312</v>
      </c>
      <c r="J380" s="19" t="n">
        <v>132187.8833007812</v>
      </c>
      <c r="K380" s="19" t="n">
        <v>120052.2387695312</v>
      </c>
      <c r="L380" s="19" t="n">
        <v>127637.0166015625</v>
      </c>
      <c r="M380" s="19" t="n">
        <v>132187.8833007812</v>
      </c>
      <c r="N380" s="17" t="inlineStr">
        <is>
          <t>C</t>
        </is>
      </c>
      <c r="O380" s="19" t="n">
        <v>36146.09228515625</v>
      </c>
      <c r="P380" s="18" t="inlineStr">
        <is>
          <t>KHÔNG ĐỀ XUẤT TĂNG</t>
        </is>
      </c>
      <c r="Q380" s="17" t="inlineStr">
        <is>
          <t>Không</t>
        </is>
      </c>
      <c r="R380" s="20" t="n"/>
      <c r="S380" s="20" t="n"/>
      <c r="T380" s="21" t="n"/>
      <c r="U380" s="21" t="n"/>
      <c r="V380" s="22">
        <f>IF(U380="A",K380,IF(U380="B",L380,IF(U380="C",M380,IF(N380="A",K380,IF(N380="B",L380,M380)))))</f>
        <v/>
      </c>
      <c r="W380" s="22">
        <f>IF(R380="",O380,MAX(V380-R380-N(S380),0))</f>
        <v/>
      </c>
      <c r="X380" s="20" t="n"/>
      <c r="Y380" s="23">
        <f>IF(OR(X380="",W380=0),"",X380/W380-1)</f>
        <v/>
      </c>
      <c r="Z380" s="24" t="n"/>
      <c r="AA380" s="21" t="n"/>
      <c r="AB380" s="25" t="n"/>
      <c r="AC380" s="26">
        <f>IF(T380="","Chưa quyết định",IF(OR(Z380="",AA380=""),"⚠ Thiếu lý do/người duyệt",IF(AND(X380&lt;&gt;"",N(X380)+N(R380)+N(S380)&gt;M380*1.001,R380&lt;&gt;""),"⚠ Vượt mục tiêu P90",IF(AND(Y380&lt;&gt;"",ABS(N(Y380))&gt;0.3),"⚠ Lệch &gt; 30% so với nhu cầu",IF(Q380="Có","ℹ Kiểm tra ngoại suy KM","✓ Hợp lệ")))))</f>
        <v/>
      </c>
    </row>
    <row r="381">
      <c r="A381" s="16" t="n">
        <v>377</v>
      </c>
      <c r="B381" s="17" t="inlineStr">
        <is>
          <t>DEC-S09-GROCERY_I</t>
        </is>
      </c>
      <c r="C381" s="16" t="n">
        <v>9</v>
      </c>
      <c r="D381" s="17" t="inlineStr">
        <is>
          <t>GROCERY I</t>
        </is>
      </c>
      <c r="E381" s="17" t="inlineStr">
        <is>
          <t>LOW</t>
        </is>
      </c>
      <c r="F381" s="17" t="inlineStr">
        <is>
          <t>TRUNG BÌNH</t>
        </is>
      </c>
      <c r="G381" s="18" t="inlineStr">
        <is>
          <t>RISK_LOW · LARGE_SERIES</t>
        </is>
      </c>
      <c r="H381" s="19" t="n">
        <v>106239.300003125</v>
      </c>
      <c r="I381" s="19" t="n">
        <v>112919.03515625</v>
      </c>
      <c r="J381" s="19" t="n">
        <v>125054.6796875</v>
      </c>
      <c r="K381" s="19" t="n">
        <v>112919.03515625</v>
      </c>
      <c r="L381" s="19" t="n">
        <v>120503.8129882812</v>
      </c>
      <c r="M381" s="19" t="n">
        <v>125054.6796875</v>
      </c>
      <c r="N381" s="17" t="inlineStr">
        <is>
          <t>C</t>
        </is>
      </c>
      <c r="O381" s="19" t="n">
        <v>34719.45156250001</v>
      </c>
      <c r="P381" s="18" t="inlineStr">
        <is>
          <t>KHÔNG ĐỀ XUẤT TĂNG</t>
        </is>
      </c>
      <c r="Q381" s="17" t="inlineStr">
        <is>
          <t>Không</t>
        </is>
      </c>
      <c r="R381" s="20" t="n"/>
      <c r="S381" s="20" t="n"/>
      <c r="T381" s="21" t="n"/>
      <c r="U381" s="21" t="n"/>
      <c r="V381" s="22">
        <f>IF(U381="A",K381,IF(U381="B",L381,IF(U381="C",M381,IF(N381="A",K381,IF(N381="B",L381,M381)))))</f>
        <v/>
      </c>
      <c r="W381" s="22">
        <f>IF(R381="",O381,MAX(V381-R381-N(S381),0))</f>
        <v/>
      </c>
      <c r="X381" s="20" t="n"/>
      <c r="Y381" s="23">
        <f>IF(OR(X381="",W381=0),"",X381/W381-1)</f>
        <v/>
      </c>
      <c r="Z381" s="24" t="n"/>
      <c r="AA381" s="21" t="n"/>
      <c r="AB381" s="25" t="n"/>
      <c r="AC381" s="26">
        <f>IF(T381="","Chưa quyết định",IF(OR(Z381="",AA381=""),"⚠ Thiếu lý do/người duyệt",IF(AND(X381&lt;&gt;"",N(X381)+N(R381)+N(S381)&gt;M381*1.001,R381&lt;&gt;""),"⚠ Vượt mục tiêu P90",IF(AND(Y381&lt;&gt;"",ABS(N(Y381))&gt;0.3),"⚠ Lệch &gt; 30% so với nhu cầu",IF(Q381="Có","ℹ Kiểm tra ngoại suy KM","✓ Hợp lệ")))))</f>
        <v/>
      </c>
    </row>
    <row r="382">
      <c r="A382" s="16" t="n">
        <v>378</v>
      </c>
      <c r="B382" s="17" t="inlineStr">
        <is>
          <t>DEC-S50-GROCERY_I</t>
        </is>
      </c>
      <c r="C382" s="16" t="n">
        <v>50</v>
      </c>
      <c r="D382" s="17" t="inlineStr">
        <is>
          <t>GROCERY I</t>
        </is>
      </c>
      <c r="E382" s="17" t="inlineStr">
        <is>
          <t>LOW</t>
        </is>
      </c>
      <c r="F382" s="17" t="inlineStr">
        <is>
          <t>TRUNG BÌNH</t>
        </is>
      </c>
      <c r="G382" s="18" t="inlineStr">
        <is>
          <t>RISK_LOW · LARGE_SERIES</t>
        </is>
      </c>
      <c r="H382" s="19" t="n">
        <v>104555.0666046875</v>
      </c>
      <c r="I382" s="19" t="n">
        <v>111234.8017578125</v>
      </c>
      <c r="J382" s="19" t="n">
        <v>123370.4462890625</v>
      </c>
      <c r="K382" s="19" t="n">
        <v>111234.8017578125</v>
      </c>
      <c r="L382" s="19" t="n">
        <v>118819.5795898438</v>
      </c>
      <c r="M382" s="19" t="n">
        <v>123370.4462890625</v>
      </c>
      <c r="N382" s="17" t="inlineStr">
        <is>
          <t>C</t>
        </is>
      </c>
      <c r="O382" s="19" t="n">
        <v>34382.60488281249</v>
      </c>
      <c r="P382" s="18" t="inlineStr">
        <is>
          <t>KHÔNG ĐỀ XUẤT TĂNG</t>
        </is>
      </c>
      <c r="Q382" s="17" t="inlineStr">
        <is>
          <t>Không</t>
        </is>
      </c>
      <c r="R382" s="20" t="n"/>
      <c r="S382" s="20" t="n"/>
      <c r="T382" s="21" t="n"/>
      <c r="U382" s="21" t="n"/>
      <c r="V382" s="22">
        <f>IF(U382="A",K382,IF(U382="B",L382,IF(U382="C",M382,IF(N382="A",K382,IF(N382="B",L382,M382)))))</f>
        <v/>
      </c>
      <c r="W382" s="22">
        <f>IF(R382="",O382,MAX(V382-R382-N(S382),0))</f>
        <v/>
      </c>
      <c r="X382" s="20" t="n"/>
      <c r="Y382" s="23">
        <f>IF(OR(X382="",W382=0),"",X382/W382-1)</f>
        <v/>
      </c>
      <c r="Z382" s="24" t="n"/>
      <c r="AA382" s="21" t="n"/>
      <c r="AB382" s="25" t="n"/>
      <c r="AC382" s="26">
        <f>IF(T382="","Chưa quyết định",IF(OR(Z382="",AA382=""),"⚠ Thiếu lý do/người duyệt",IF(AND(X382&lt;&gt;"",N(X382)+N(R382)+N(S382)&gt;M382*1.001,R382&lt;&gt;""),"⚠ Vượt mục tiêu P90",IF(AND(Y382&lt;&gt;"",ABS(N(Y382))&gt;0.3),"⚠ Lệch &gt; 30% so với nhu cầu",IF(Q382="Có","ℹ Kiểm tra ngoại suy KM","✓ Hợp lệ")))))</f>
        <v/>
      </c>
    </row>
    <row r="383">
      <c r="A383" s="16" t="n">
        <v>379</v>
      </c>
      <c r="B383" s="17" t="inlineStr">
        <is>
          <t>DEC-S46-BEVERAGES</t>
        </is>
      </c>
      <c r="C383" s="16" t="n">
        <v>46</v>
      </c>
      <c r="D383" s="17" t="inlineStr">
        <is>
          <t>BEVERAGES</t>
        </is>
      </c>
      <c r="E383" s="17" t="inlineStr">
        <is>
          <t>LOW</t>
        </is>
      </c>
      <c r="F383" s="17" t="inlineStr">
        <is>
          <t>TRUNG BÌNH</t>
        </is>
      </c>
      <c r="G383" s="18" t="inlineStr">
        <is>
          <t>RISK_LOW · LARGE_SERIES</t>
        </is>
      </c>
      <c r="H383" s="19" t="n">
        <v>99264.69502265623</v>
      </c>
      <c r="I383" s="19" t="n">
        <v>105944.4301757812</v>
      </c>
      <c r="J383" s="19" t="n">
        <v>118080.0747070312</v>
      </c>
      <c r="K383" s="19" t="n">
        <v>105944.4301757812</v>
      </c>
      <c r="L383" s="19" t="n">
        <v>113529.2080078125</v>
      </c>
      <c r="M383" s="19" t="n">
        <v>118080.0747070312</v>
      </c>
      <c r="N383" s="17" t="inlineStr">
        <is>
          <t>C</t>
        </is>
      </c>
      <c r="O383" s="19" t="n">
        <v>33324.53056640623</v>
      </c>
      <c r="P383" s="18" t="inlineStr">
        <is>
          <t>KHÔNG ĐỀ XUẤT TĂNG</t>
        </is>
      </c>
      <c r="Q383" s="17" t="inlineStr">
        <is>
          <t>Không</t>
        </is>
      </c>
      <c r="R383" s="20" t="n"/>
      <c r="S383" s="20" t="n"/>
      <c r="T383" s="21" t="n"/>
      <c r="U383" s="21" t="n"/>
      <c r="V383" s="22">
        <f>IF(U383="A",K383,IF(U383="B",L383,IF(U383="C",M383,IF(N383="A",K383,IF(N383="B",L383,M383)))))</f>
        <v/>
      </c>
      <c r="W383" s="22">
        <f>IF(R383="",O383,MAX(V383-R383-N(S383),0))</f>
        <v/>
      </c>
      <c r="X383" s="20" t="n"/>
      <c r="Y383" s="23">
        <f>IF(OR(X383="",W383=0),"",X383/W383-1)</f>
        <v/>
      </c>
      <c r="Z383" s="24" t="n"/>
      <c r="AA383" s="21" t="n"/>
      <c r="AB383" s="25" t="n"/>
      <c r="AC383" s="26">
        <f>IF(T383="","Chưa quyết định",IF(OR(Z383="",AA383=""),"⚠ Thiếu lý do/người duyệt",IF(AND(X383&lt;&gt;"",N(X383)+N(R383)+N(S383)&gt;M383*1.001,R383&lt;&gt;""),"⚠ Vượt mục tiêu P90",IF(AND(Y383&lt;&gt;"",ABS(N(Y383))&gt;0.3),"⚠ Lệch &gt; 30% so với nhu cầu",IF(Q383="Có","ℹ Kiểm tra ngoại suy KM","✓ Hợp lệ")))))</f>
        <v/>
      </c>
    </row>
    <row r="384">
      <c r="A384" s="16" t="n">
        <v>380</v>
      </c>
      <c r="B384" s="17" t="inlineStr">
        <is>
          <t>DEC-S45-PRODUCE</t>
        </is>
      </c>
      <c r="C384" s="16" t="n">
        <v>45</v>
      </c>
      <c r="D384" s="17" t="inlineStr">
        <is>
          <t>PRODUCE</t>
        </is>
      </c>
      <c r="E384" s="17" t="inlineStr">
        <is>
          <t>LOW</t>
        </is>
      </c>
      <c r="F384" s="17" t="inlineStr">
        <is>
          <t>TRUNG BÌNH</t>
        </is>
      </c>
      <c r="G384" s="18" t="inlineStr">
        <is>
          <t>RISK_LOW · LARGE_SERIES</t>
        </is>
      </c>
      <c r="H384" s="19" t="n">
        <v>98806.80146796876</v>
      </c>
      <c r="I384" s="19" t="n">
        <v>105486.5366210938</v>
      </c>
      <c r="J384" s="19" t="n">
        <v>117622.1811523438</v>
      </c>
      <c r="K384" s="19" t="n">
        <v>105486.5366210938</v>
      </c>
      <c r="L384" s="19" t="n">
        <v>113071.314453125</v>
      </c>
      <c r="M384" s="19" t="n">
        <v>117622.1811523438</v>
      </c>
      <c r="N384" s="17" t="inlineStr">
        <is>
          <t>C</t>
        </is>
      </c>
      <c r="O384" s="19" t="n">
        <v>33232.95185546875</v>
      </c>
      <c r="P384" s="18" t="inlineStr">
        <is>
          <t>KHÔNG ĐỀ XUẤT TĂNG</t>
        </is>
      </c>
      <c r="Q384" s="17" t="inlineStr">
        <is>
          <t>Không</t>
        </is>
      </c>
      <c r="R384" s="20" t="n"/>
      <c r="S384" s="20" t="n"/>
      <c r="T384" s="21" t="n"/>
      <c r="U384" s="21" t="n"/>
      <c r="V384" s="22">
        <f>IF(U384="A",K384,IF(U384="B",L384,IF(U384="C",M384,IF(N384="A",K384,IF(N384="B",L384,M384)))))</f>
        <v/>
      </c>
      <c r="W384" s="22">
        <f>IF(R384="",O384,MAX(V384-R384-N(S384),0))</f>
        <v/>
      </c>
      <c r="X384" s="20" t="n"/>
      <c r="Y384" s="23">
        <f>IF(OR(X384="",W384=0),"",X384/W384-1)</f>
        <v/>
      </c>
      <c r="Z384" s="24" t="n"/>
      <c r="AA384" s="21" t="n"/>
      <c r="AB384" s="25" t="n"/>
      <c r="AC384" s="26">
        <f>IF(T384="","Chưa quyết định",IF(OR(Z384="",AA384=""),"⚠ Thiếu lý do/người duyệt",IF(AND(X384&lt;&gt;"",N(X384)+N(R384)+N(S384)&gt;M384*1.001,R384&lt;&gt;""),"⚠ Vượt mục tiêu P90",IF(AND(Y384&lt;&gt;"",ABS(N(Y384))&gt;0.3),"⚠ Lệch &gt; 30% so với nhu cầu",IF(Q384="Có","ℹ Kiểm tra ngoại suy KM","✓ Hợp lệ")))))</f>
        <v/>
      </c>
    </row>
    <row r="385">
      <c r="A385" s="16" t="n">
        <v>381</v>
      </c>
      <c r="B385" s="17" t="inlineStr">
        <is>
          <t>DEC-S52-GROCERY_I</t>
        </is>
      </c>
      <c r="C385" s="16" t="n">
        <v>52</v>
      </c>
      <c r="D385" s="17" t="inlineStr">
        <is>
          <t>GROCERY I</t>
        </is>
      </c>
      <c r="E385" s="17" t="inlineStr">
        <is>
          <t>LOW</t>
        </is>
      </c>
      <c r="F385" s="17" t="inlineStr">
        <is>
          <t>TRUNG BÌNH</t>
        </is>
      </c>
      <c r="G385" s="18" t="inlineStr">
        <is>
          <t>RISK_LOW · LARGE_SERIES</t>
        </is>
      </c>
      <c r="H385" s="19" t="n">
        <v>89540.6994171875</v>
      </c>
      <c r="I385" s="19" t="n">
        <v>96220.4345703125</v>
      </c>
      <c r="J385" s="19" t="n">
        <v>108356.0791015625</v>
      </c>
      <c r="K385" s="19" t="n">
        <v>96220.4345703125</v>
      </c>
      <c r="L385" s="19" t="n">
        <v>103805.2124023438</v>
      </c>
      <c r="M385" s="19" t="n">
        <v>108356.0791015625</v>
      </c>
      <c r="N385" s="17" t="inlineStr">
        <is>
          <t>C</t>
        </is>
      </c>
      <c r="O385" s="19" t="n">
        <v>31379.7314453125</v>
      </c>
      <c r="P385" s="18" t="inlineStr">
        <is>
          <t>KHÔNG ĐỀ XUẤT TĂNG</t>
        </is>
      </c>
      <c r="Q385" s="17" t="inlineStr">
        <is>
          <t>Không</t>
        </is>
      </c>
      <c r="R385" s="20" t="n"/>
      <c r="S385" s="20" t="n"/>
      <c r="T385" s="21" t="n"/>
      <c r="U385" s="21" t="n"/>
      <c r="V385" s="22">
        <f>IF(U385="A",K385,IF(U385="B",L385,IF(U385="C",M385,IF(N385="A",K385,IF(N385="B",L385,M385)))))</f>
        <v/>
      </c>
      <c r="W385" s="22">
        <f>IF(R385="",O385,MAX(V385-R385-N(S385),0))</f>
        <v/>
      </c>
      <c r="X385" s="20" t="n"/>
      <c r="Y385" s="23">
        <f>IF(OR(X385="",W385=0),"",X385/W385-1)</f>
        <v/>
      </c>
      <c r="Z385" s="24" t="n"/>
      <c r="AA385" s="21" t="n"/>
      <c r="AB385" s="25" t="n"/>
      <c r="AC385" s="26">
        <f>IF(T385="","Chưa quyết định",IF(OR(Z385="",AA385=""),"⚠ Thiếu lý do/người duyệt",IF(AND(X385&lt;&gt;"",N(X385)+N(R385)+N(S385)&gt;M385*1.001,R385&lt;&gt;""),"⚠ Vượt mục tiêu P90",IF(AND(Y385&lt;&gt;"",ABS(N(Y385))&gt;0.3),"⚠ Lệch &gt; 30% so với nhu cầu",IF(Q385="Có","ℹ Kiểm tra ngoại suy KM","✓ Hợp lệ")))))</f>
        <v/>
      </c>
    </row>
    <row r="386">
      <c r="A386" s="16" t="n">
        <v>382</v>
      </c>
      <c r="B386" s="17" t="inlineStr">
        <is>
          <t>DEC-S47-PRODUCE</t>
        </is>
      </c>
      <c r="C386" s="16" t="n">
        <v>47</v>
      </c>
      <c r="D386" s="17" t="inlineStr">
        <is>
          <t>PRODUCE</t>
        </is>
      </c>
      <c r="E386" s="17" t="inlineStr">
        <is>
          <t>LOW</t>
        </is>
      </c>
      <c r="F386" s="17" t="inlineStr">
        <is>
          <t>TRUNG BÌNH</t>
        </is>
      </c>
      <c r="G386" s="18" t="inlineStr">
        <is>
          <t>RISK_LOW · LARGE_SERIES</t>
        </is>
      </c>
      <c r="H386" s="19" t="n">
        <v>87998.8517609375</v>
      </c>
      <c r="I386" s="19" t="n">
        <v>94678.5869140625</v>
      </c>
      <c r="J386" s="19" t="n">
        <v>106814.2314453125</v>
      </c>
      <c r="K386" s="19" t="n">
        <v>94678.5869140625</v>
      </c>
      <c r="L386" s="19" t="n">
        <v>102263.3647460938</v>
      </c>
      <c r="M386" s="19" t="n">
        <v>106814.2314453125</v>
      </c>
      <c r="N386" s="17" t="inlineStr">
        <is>
          <t>C</t>
        </is>
      </c>
      <c r="O386" s="19" t="n">
        <v>31071.36191406249</v>
      </c>
      <c r="P386" s="18" t="inlineStr">
        <is>
          <t>KHÔNG ĐỀ XUẤT TĂNG</t>
        </is>
      </c>
      <c r="Q386" s="17" t="inlineStr">
        <is>
          <t>Không</t>
        </is>
      </c>
      <c r="R386" s="20" t="n"/>
      <c r="S386" s="20" t="n"/>
      <c r="T386" s="21" t="n"/>
      <c r="U386" s="21" t="n"/>
      <c r="V386" s="22">
        <f>IF(U386="A",K386,IF(U386="B",L386,IF(U386="C",M386,IF(N386="A",K386,IF(N386="B",L386,M386)))))</f>
        <v/>
      </c>
      <c r="W386" s="22">
        <f>IF(R386="",O386,MAX(V386-R386-N(S386),0))</f>
        <v/>
      </c>
      <c r="X386" s="20" t="n"/>
      <c r="Y386" s="23">
        <f>IF(OR(X386="",W386=0),"",X386/W386-1)</f>
        <v/>
      </c>
      <c r="Z386" s="24" t="n"/>
      <c r="AA386" s="21" t="n"/>
      <c r="AB386" s="25" t="n"/>
      <c r="AC386" s="26">
        <f>IF(T386="","Chưa quyết định",IF(OR(Z386="",AA386=""),"⚠ Thiếu lý do/người duyệt",IF(AND(X386&lt;&gt;"",N(X386)+N(R386)+N(S386)&gt;M386*1.001,R386&lt;&gt;""),"⚠ Vượt mục tiêu P90",IF(AND(Y386&lt;&gt;"",ABS(N(Y386))&gt;0.3),"⚠ Lệch &gt; 30% so với nhu cầu",IF(Q386="Có","ℹ Kiểm tra ngoại suy KM","✓ Hợp lệ")))))</f>
        <v/>
      </c>
    </row>
    <row r="387">
      <c r="A387" s="16" t="n">
        <v>383</v>
      </c>
      <c r="B387" s="17" t="inlineStr">
        <is>
          <t>DEC-S20-GROCERY_I</t>
        </is>
      </c>
      <c r="C387" s="16" t="n">
        <v>20</v>
      </c>
      <c r="D387" s="17" t="inlineStr">
        <is>
          <t>GROCERY I</t>
        </is>
      </c>
      <c r="E387" s="17" t="inlineStr">
        <is>
          <t>LOW</t>
        </is>
      </c>
      <c r="F387" s="17" t="inlineStr">
        <is>
          <t>TRUNG BÌNH</t>
        </is>
      </c>
      <c r="G387" s="18" t="inlineStr">
        <is>
          <t>RISK_LOW · LARGE_SERIES</t>
        </is>
      </c>
      <c r="H387" s="19" t="n">
        <v>84889.99971015625</v>
      </c>
      <c r="I387" s="19" t="n">
        <v>91569.73486328124</v>
      </c>
      <c r="J387" s="19" t="n">
        <v>103705.3793945312</v>
      </c>
      <c r="K387" s="19" t="n">
        <v>91569.73486328124</v>
      </c>
      <c r="L387" s="19" t="n">
        <v>99154.51269531249</v>
      </c>
      <c r="M387" s="19" t="n">
        <v>103705.3793945312</v>
      </c>
      <c r="N387" s="17" t="inlineStr">
        <is>
          <t>C</t>
        </is>
      </c>
      <c r="O387" s="19" t="n">
        <v>30449.59150390624</v>
      </c>
      <c r="P387" s="18" t="inlineStr">
        <is>
          <t>KHÔNG ĐỀ XUẤT TĂNG</t>
        </is>
      </c>
      <c r="Q387" s="17" t="inlineStr">
        <is>
          <t>Không</t>
        </is>
      </c>
      <c r="R387" s="20" t="n"/>
      <c r="S387" s="20" t="n"/>
      <c r="T387" s="21" t="n"/>
      <c r="U387" s="21" t="n"/>
      <c r="V387" s="22">
        <f>IF(U387="A",K387,IF(U387="B",L387,IF(U387="C",M387,IF(N387="A",K387,IF(N387="B",L387,M387)))))</f>
        <v/>
      </c>
      <c r="W387" s="22">
        <f>IF(R387="",O387,MAX(V387-R387-N(S387),0))</f>
        <v/>
      </c>
      <c r="X387" s="20" t="n"/>
      <c r="Y387" s="23">
        <f>IF(OR(X387="",W387=0),"",X387/W387-1)</f>
        <v/>
      </c>
      <c r="Z387" s="24" t="n"/>
      <c r="AA387" s="21" t="n"/>
      <c r="AB387" s="25" t="n"/>
      <c r="AC387" s="26">
        <f>IF(T387="","Chưa quyết định",IF(OR(Z387="",AA387=""),"⚠ Thiếu lý do/người duyệt",IF(AND(X387&lt;&gt;"",N(X387)+N(R387)+N(S387)&gt;M387*1.001,R387&lt;&gt;""),"⚠ Vượt mục tiêu P90",IF(AND(Y387&lt;&gt;"",ABS(N(Y387))&gt;0.3),"⚠ Lệch &gt; 30% so với nhu cầu",IF(Q387="Có","ℹ Kiểm tra ngoại suy KM","✓ Hợp lệ")))))</f>
        <v/>
      </c>
    </row>
    <row r="388">
      <c r="A388" s="16" t="n">
        <v>384</v>
      </c>
      <c r="B388" s="17" t="inlineStr">
        <is>
          <t>DEC-S39-GROCERY_I</t>
        </is>
      </c>
      <c r="C388" s="16" t="n">
        <v>39</v>
      </c>
      <c r="D388" s="17" t="inlineStr">
        <is>
          <t>GROCERY I</t>
        </is>
      </c>
      <c r="E388" s="17" t="inlineStr">
        <is>
          <t>LOW</t>
        </is>
      </c>
      <c r="F388" s="17" t="inlineStr">
        <is>
          <t>TRUNG BÌNH</t>
        </is>
      </c>
      <c r="G388" s="18" t="inlineStr">
        <is>
          <t>RISK_LOW · LARGE_SERIES</t>
        </is>
      </c>
      <c r="H388" s="19" t="n">
        <v>81883.69306953125</v>
      </c>
      <c r="I388" s="19" t="n">
        <v>88563.42822265625</v>
      </c>
      <c r="J388" s="19" t="n">
        <v>100699.0727539062</v>
      </c>
      <c r="K388" s="19" t="n">
        <v>88563.42822265625</v>
      </c>
      <c r="L388" s="19" t="n">
        <v>96148.20605468749</v>
      </c>
      <c r="M388" s="19" t="n">
        <v>100699.0727539062</v>
      </c>
      <c r="N388" s="17" t="inlineStr">
        <is>
          <t>C</t>
        </is>
      </c>
      <c r="O388" s="19" t="n">
        <v>29848.33017578123</v>
      </c>
      <c r="P388" s="18" t="inlineStr">
        <is>
          <t>KHÔNG ĐỀ XUẤT TĂNG</t>
        </is>
      </c>
      <c r="Q388" s="17" t="inlineStr">
        <is>
          <t>Không</t>
        </is>
      </c>
      <c r="R388" s="20" t="n"/>
      <c r="S388" s="20" t="n"/>
      <c r="T388" s="21" t="n"/>
      <c r="U388" s="21" t="n"/>
      <c r="V388" s="22">
        <f>IF(U388="A",K388,IF(U388="B",L388,IF(U388="C",M388,IF(N388="A",K388,IF(N388="B",L388,M388)))))</f>
        <v/>
      </c>
      <c r="W388" s="22">
        <f>IF(R388="",O388,MAX(V388-R388-N(S388),0))</f>
        <v/>
      </c>
      <c r="X388" s="20" t="n"/>
      <c r="Y388" s="23">
        <f>IF(OR(X388="",W388=0),"",X388/W388-1)</f>
        <v/>
      </c>
      <c r="Z388" s="24" t="n"/>
      <c r="AA388" s="21" t="n"/>
      <c r="AB388" s="25" t="n"/>
      <c r="AC388" s="26">
        <f>IF(T388="","Chưa quyết định",IF(OR(Z388="",AA388=""),"⚠ Thiếu lý do/người duyệt",IF(AND(X388&lt;&gt;"",N(X388)+N(R388)+N(S388)&gt;M388*1.001,R388&lt;&gt;""),"⚠ Vượt mục tiêu P90",IF(AND(Y388&lt;&gt;"",ABS(N(Y388))&gt;0.3),"⚠ Lệch &gt; 30% so với nhu cầu",IF(Q388="Có","ℹ Kiểm tra ngoại suy KM","✓ Hợp lệ")))))</f>
        <v/>
      </c>
    </row>
    <row r="389">
      <c r="A389" s="16" t="n">
        <v>385</v>
      </c>
      <c r="B389" s="17" t="inlineStr">
        <is>
          <t>DEC-S51-PRODUCE</t>
        </is>
      </c>
      <c r="C389" s="16" t="n">
        <v>51</v>
      </c>
      <c r="D389" s="17" t="inlineStr">
        <is>
          <t>PRODUCE</t>
        </is>
      </c>
      <c r="E389" s="17" t="inlineStr">
        <is>
          <t>LOW</t>
        </is>
      </c>
      <c r="F389" s="17" t="inlineStr">
        <is>
          <t>TRUNG BÌNH</t>
        </is>
      </c>
      <c r="G389" s="18" t="inlineStr">
        <is>
          <t>RISK_LOW · LARGE_SERIES</t>
        </is>
      </c>
      <c r="H389" s="19" t="n">
        <v>81769.92158515625</v>
      </c>
      <c r="I389" s="19" t="n">
        <v>88449.65673828125</v>
      </c>
      <c r="J389" s="19" t="n">
        <v>100585.3012695312</v>
      </c>
      <c r="K389" s="19" t="n">
        <v>88449.65673828125</v>
      </c>
      <c r="L389" s="19" t="n">
        <v>96034.43457031249</v>
      </c>
      <c r="M389" s="19" t="n">
        <v>100585.3012695312</v>
      </c>
      <c r="N389" s="17" t="inlineStr">
        <is>
          <t>C</t>
        </is>
      </c>
      <c r="O389" s="19" t="n">
        <v>29825.57587890624</v>
      </c>
      <c r="P389" s="18" t="inlineStr">
        <is>
          <t>KHÔNG ĐỀ XUẤT TĂNG</t>
        </is>
      </c>
      <c r="Q389" s="17" t="inlineStr">
        <is>
          <t>Không</t>
        </is>
      </c>
      <c r="R389" s="20" t="n"/>
      <c r="S389" s="20" t="n"/>
      <c r="T389" s="21" t="n"/>
      <c r="U389" s="21" t="n"/>
      <c r="V389" s="22">
        <f>IF(U389="A",K389,IF(U389="B",L389,IF(U389="C",M389,IF(N389="A",K389,IF(N389="B",L389,M389)))))</f>
        <v/>
      </c>
      <c r="W389" s="22">
        <f>IF(R389="",O389,MAX(V389-R389-N(S389),0))</f>
        <v/>
      </c>
      <c r="X389" s="20" t="n"/>
      <c r="Y389" s="23">
        <f>IF(OR(X389="",W389=0),"",X389/W389-1)</f>
        <v/>
      </c>
      <c r="Z389" s="24" t="n"/>
      <c r="AA389" s="21" t="n"/>
      <c r="AB389" s="25" t="n"/>
      <c r="AC389" s="26">
        <f>IF(T389="","Chưa quyết định",IF(OR(Z389="",AA389=""),"⚠ Thiếu lý do/người duyệt",IF(AND(X389&lt;&gt;"",N(X389)+N(R389)+N(S389)&gt;M389*1.001,R389&lt;&gt;""),"⚠ Vượt mục tiêu P90",IF(AND(Y389&lt;&gt;"",ABS(N(Y389))&gt;0.3),"⚠ Lệch &gt; 30% so với nhu cầu",IF(Q389="Có","ℹ Kiểm tra ngoại suy KM","✓ Hợp lệ")))))</f>
        <v/>
      </c>
    </row>
    <row r="390">
      <c r="A390" s="16" t="n">
        <v>386</v>
      </c>
      <c r="B390" s="17" t="inlineStr">
        <is>
          <t>DEC-S40-GROCERY_I</t>
        </is>
      </c>
      <c r="C390" s="16" t="n">
        <v>40</v>
      </c>
      <c r="D390" s="17" t="inlineStr">
        <is>
          <t>GROCERY I</t>
        </is>
      </c>
      <c r="E390" s="17" t="inlineStr">
        <is>
          <t>LOW</t>
        </is>
      </c>
      <c r="F390" s="17" t="inlineStr">
        <is>
          <t>TRUNG BÌNH</t>
        </is>
      </c>
      <c r="G390" s="18" t="inlineStr">
        <is>
          <t>RISK_LOW · LARGE_SERIES</t>
        </is>
      </c>
      <c r="H390" s="19" t="n">
        <v>81058.78388984375</v>
      </c>
      <c r="I390" s="19" t="n">
        <v>87738.51904296875</v>
      </c>
      <c r="J390" s="19" t="n">
        <v>99874.16357421876</v>
      </c>
      <c r="K390" s="19" t="n">
        <v>87738.51904296875</v>
      </c>
      <c r="L390" s="19" t="n">
        <v>95323.29687500001</v>
      </c>
      <c r="M390" s="19" t="n">
        <v>99874.16357421876</v>
      </c>
      <c r="N390" s="17" t="inlineStr">
        <is>
          <t>C</t>
        </is>
      </c>
      <c r="O390" s="19" t="n">
        <v>29683.34833984377</v>
      </c>
      <c r="P390" s="18" t="inlineStr">
        <is>
          <t>KHÔNG ĐỀ XUẤT TĂNG</t>
        </is>
      </c>
      <c r="Q390" s="17" t="inlineStr">
        <is>
          <t>Không</t>
        </is>
      </c>
      <c r="R390" s="20" t="n"/>
      <c r="S390" s="20" t="n"/>
      <c r="T390" s="21" t="n"/>
      <c r="U390" s="21" t="n"/>
      <c r="V390" s="22">
        <f>IF(U390="A",K390,IF(U390="B",L390,IF(U390="C",M390,IF(N390="A",K390,IF(N390="B",L390,M390)))))</f>
        <v/>
      </c>
      <c r="W390" s="22">
        <f>IF(R390="",O390,MAX(V390-R390-N(S390),0))</f>
        <v/>
      </c>
      <c r="X390" s="20" t="n"/>
      <c r="Y390" s="23">
        <f>IF(OR(X390="",W390=0),"",X390/W390-1)</f>
        <v/>
      </c>
      <c r="Z390" s="24" t="n"/>
      <c r="AA390" s="21" t="n"/>
      <c r="AB390" s="25" t="n"/>
      <c r="AC390" s="26">
        <f>IF(T390="","Chưa quyết định",IF(OR(Z390="",AA390=""),"⚠ Thiếu lý do/người duyệt",IF(AND(X390&lt;&gt;"",N(X390)+N(R390)+N(S390)&gt;M390*1.001,R390&lt;&gt;""),"⚠ Vượt mục tiêu P90",IF(AND(Y390&lt;&gt;"",ABS(N(Y390))&gt;0.3),"⚠ Lệch &gt; 30% so với nhu cầu",IF(Q390="Có","ℹ Kiểm tra ngoại suy KM","✓ Hợp lệ")))))</f>
        <v/>
      </c>
    </row>
    <row r="391">
      <c r="A391" s="16" t="n">
        <v>387</v>
      </c>
      <c r="B391" s="17" t="inlineStr">
        <is>
          <t>DEC-S51-GROCERY_I</t>
        </is>
      </c>
      <c r="C391" s="16" t="n">
        <v>51</v>
      </c>
      <c r="D391" s="17" t="inlineStr">
        <is>
          <t>GROCERY I</t>
        </is>
      </c>
      <c r="E391" s="17" t="inlineStr">
        <is>
          <t>LOW</t>
        </is>
      </c>
      <c r="F391" s="17" t="inlineStr">
        <is>
          <t>TRUNG BÌNH</t>
        </is>
      </c>
      <c r="G391" s="18" t="inlineStr">
        <is>
          <t>RISK_LOW · LARGE_SERIES</t>
        </is>
      </c>
      <c r="H391" s="19" t="n">
        <v>79570.45576484375</v>
      </c>
      <c r="I391" s="19" t="n">
        <v>86250.19091796875</v>
      </c>
      <c r="J391" s="19" t="n">
        <v>98385.83544921876</v>
      </c>
      <c r="K391" s="19" t="n">
        <v>86250.19091796875</v>
      </c>
      <c r="L391" s="19" t="n">
        <v>93834.96875000001</v>
      </c>
      <c r="M391" s="19" t="n">
        <v>98385.83544921876</v>
      </c>
      <c r="N391" s="17" t="inlineStr">
        <is>
          <t>C</t>
        </is>
      </c>
      <c r="O391" s="19" t="n">
        <v>29385.68271484376</v>
      </c>
      <c r="P391" s="18" t="inlineStr">
        <is>
          <t>KHÔNG ĐỀ XUẤT TĂNG</t>
        </is>
      </c>
      <c r="Q391" s="17" t="inlineStr">
        <is>
          <t>Không</t>
        </is>
      </c>
      <c r="R391" s="20" t="n"/>
      <c r="S391" s="20" t="n"/>
      <c r="T391" s="21" t="n"/>
      <c r="U391" s="21" t="n"/>
      <c r="V391" s="22">
        <f>IF(U391="A",K391,IF(U391="B",L391,IF(U391="C",M391,IF(N391="A",K391,IF(N391="B",L391,M391)))))</f>
        <v/>
      </c>
      <c r="W391" s="22">
        <f>IF(R391="",O391,MAX(V391-R391-N(S391),0))</f>
        <v/>
      </c>
      <c r="X391" s="20" t="n"/>
      <c r="Y391" s="23">
        <f>IF(OR(X391="",W391=0),"",X391/W391-1)</f>
        <v/>
      </c>
      <c r="Z391" s="24" t="n"/>
      <c r="AA391" s="21" t="n"/>
      <c r="AB391" s="25" t="n"/>
      <c r="AC391" s="26">
        <f>IF(T391="","Chưa quyết định",IF(OR(Z391="",AA391=""),"⚠ Thiếu lý do/người duyệt",IF(AND(X391&lt;&gt;"",N(X391)+N(R391)+N(S391)&gt;M391*1.001,R391&lt;&gt;""),"⚠ Vượt mục tiêu P90",IF(AND(Y391&lt;&gt;"",ABS(N(Y391))&gt;0.3),"⚠ Lệch &gt; 30% so với nhu cầu",IF(Q391="Có","ℹ Kiểm tra ngoại suy KM","✓ Hợp lệ")))))</f>
        <v/>
      </c>
    </row>
    <row r="392">
      <c r="A392" s="16" t="n">
        <v>388</v>
      </c>
      <c r="B392" s="17" t="inlineStr">
        <is>
          <t>DEC-S43-BEVERAGES</t>
        </is>
      </c>
      <c r="C392" s="16" t="n">
        <v>43</v>
      </c>
      <c r="D392" s="17" t="inlineStr">
        <is>
          <t>BEVERAGES</t>
        </is>
      </c>
      <c r="E392" s="17" t="inlineStr">
        <is>
          <t>LOW</t>
        </is>
      </c>
      <c r="F392" s="17" t="inlineStr">
        <is>
          <t>TRUNG BÌNH</t>
        </is>
      </c>
      <c r="G392" s="18" t="inlineStr">
        <is>
          <t>RISK_LOW · LARGE_SERIES</t>
        </is>
      </c>
      <c r="H392" s="19" t="n">
        <v>77925.76899726562</v>
      </c>
      <c r="I392" s="19" t="n">
        <v>84605.50415039062</v>
      </c>
      <c r="J392" s="19" t="n">
        <v>96741.14868164062</v>
      </c>
      <c r="K392" s="19" t="n">
        <v>84605.50415039062</v>
      </c>
      <c r="L392" s="19" t="n">
        <v>92190.28198242188</v>
      </c>
      <c r="M392" s="19" t="n">
        <v>96741.14868164062</v>
      </c>
      <c r="N392" s="17" t="inlineStr">
        <is>
          <t>C</t>
        </is>
      </c>
      <c r="O392" s="19" t="n">
        <v>29056.74536132812</v>
      </c>
      <c r="P392" s="18" t="inlineStr">
        <is>
          <t>KHÔNG ĐỀ XUẤT TĂNG</t>
        </is>
      </c>
      <c r="Q392" s="17" t="inlineStr">
        <is>
          <t>Không</t>
        </is>
      </c>
      <c r="R392" s="20" t="n"/>
      <c r="S392" s="20" t="n"/>
      <c r="T392" s="21" t="n"/>
      <c r="U392" s="21" t="n"/>
      <c r="V392" s="22">
        <f>IF(U392="A",K392,IF(U392="B",L392,IF(U392="C",M392,IF(N392="A",K392,IF(N392="B",L392,M392)))))</f>
        <v/>
      </c>
      <c r="W392" s="22">
        <f>IF(R392="",O392,MAX(V392-R392-N(S392),0))</f>
        <v/>
      </c>
      <c r="X392" s="20" t="n"/>
      <c r="Y392" s="23">
        <f>IF(OR(X392="",W392=0),"",X392/W392-1)</f>
        <v/>
      </c>
      <c r="Z392" s="24" t="n"/>
      <c r="AA392" s="21" t="n"/>
      <c r="AB392" s="25" t="n"/>
      <c r="AC392" s="26">
        <f>IF(T392="","Chưa quyết định",IF(OR(Z392="",AA392=""),"⚠ Thiếu lý do/người duyệt",IF(AND(X392&lt;&gt;"",N(X392)+N(R392)+N(S392)&gt;M392*1.001,R392&lt;&gt;""),"⚠ Vượt mục tiêu P90",IF(AND(Y392&lt;&gt;"",ABS(N(Y392))&gt;0.3),"⚠ Lệch &gt; 30% so với nhu cầu",IF(Q392="Có","ℹ Kiểm tra ngoại suy KM","✓ Hợp lệ")))))</f>
        <v/>
      </c>
    </row>
    <row r="393">
      <c r="A393" s="16" t="n">
        <v>389</v>
      </c>
      <c r="B393" s="17" t="inlineStr">
        <is>
          <t>DEC-S08-GROCERY_I</t>
        </is>
      </c>
      <c r="C393" s="16" t="n">
        <v>8</v>
      </c>
      <c r="D393" s="17" t="inlineStr">
        <is>
          <t>GROCERY I</t>
        </is>
      </c>
      <c r="E393" s="17" t="inlineStr">
        <is>
          <t>LOW</t>
        </is>
      </c>
      <c r="F393" s="17" t="inlineStr">
        <is>
          <t>TRUNG BÌNH</t>
        </is>
      </c>
      <c r="G393" s="18" t="inlineStr">
        <is>
          <t>RISK_LOW · LARGE_SERIES</t>
        </is>
      </c>
      <c r="H393" s="19" t="n">
        <v>76492.20674140625</v>
      </c>
      <c r="I393" s="19" t="n">
        <v>83171.94189453125</v>
      </c>
      <c r="J393" s="19" t="n">
        <v>95307.58642578124</v>
      </c>
      <c r="K393" s="19" t="n">
        <v>83171.94189453125</v>
      </c>
      <c r="L393" s="19" t="n">
        <v>90756.71972656249</v>
      </c>
      <c r="M393" s="19" t="n">
        <v>95307.58642578124</v>
      </c>
      <c r="N393" s="17" t="inlineStr">
        <is>
          <t>C</t>
        </is>
      </c>
      <c r="O393" s="19" t="n">
        <v>28770.03291015624</v>
      </c>
      <c r="P393" s="18" t="inlineStr">
        <is>
          <t>KHÔNG ĐỀ XUẤT TĂNG</t>
        </is>
      </c>
      <c r="Q393" s="17" t="inlineStr">
        <is>
          <t>Không</t>
        </is>
      </c>
      <c r="R393" s="20" t="n"/>
      <c r="S393" s="20" t="n"/>
      <c r="T393" s="21" t="n"/>
      <c r="U393" s="21" t="n"/>
      <c r="V393" s="22">
        <f>IF(U393="A",K393,IF(U393="B",L393,IF(U393="C",M393,IF(N393="A",K393,IF(N393="B",L393,M393)))))</f>
        <v/>
      </c>
      <c r="W393" s="22">
        <f>IF(R393="",O393,MAX(V393-R393-N(S393),0))</f>
        <v/>
      </c>
      <c r="X393" s="20" t="n"/>
      <c r="Y393" s="23">
        <f>IF(OR(X393="",W393=0),"",X393/W393-1)</f>
        <v/>
      </c>
      <c r="Z393" s="24" t="n"/>
      <c r="AA393" s="21" t="n"/>
      <c r="AB393" s="25" t="n"/>
      <c r="AC393" s="26">
        <f>IF(T393="","Chưa quyết định",IF(OR(Z393="",AA393=""),"⚠ Thiếu lý do/người duyệt",IF(AND(X393&lt;&gt;"",N(X393)+N(R393)+N(S393)&gt;M393*1.001,R393&lt;&gt;""),"⚠ Vượt mục tiêu P90",IF(AND(Y393&lt;&gt;"",ABS(N(Y393))&gt;0.3),"⚠ Lệch &gt; 30% so với nhu cầu",IF(Q393="Có","ℹ Kiểm tra ngoại suy KM","✓ Hợp lệ")))))</f>
        <v/>
      </c>
    </row>
    <row r="394">
      <c r="A394" s="16" t="n">
        <v>390</v>
      </c>
      <c r="B394" s="17" t="inlineStr">
        <is>
          <t>DEC-S07-PRODUCE</t>
        </is>
      </c>
      <c r="C394" s="16" t="n">
        <v>7</v>
      </c>
      <c r="D394" s="17" t="inlineStr">
        <is>
          <t>PRODUCE</t>
        </is>
      </c>
      <c r="E394" s="17" t="inlineStr">
        <is>
          <t>LOW</t>
        </is>
      </c>
      <c r="F394" s="17" t="inlineStr">
        <is>
          <t>TRUNG BÌNH</t>
        </is>
      </c>
      <c r="G394" s="18" t="inlineStr">
        <is>
          <t>RISK_LOW · LARGE_SERIES</t>
        </is>
      </c>
      <c r="H394" s="19" t="n">
        <v>75905.171096875</v>
      </c>
      <c r="I394" s="19" t="n">
        <v>82584.90625</v>
      </c>
      <c r="J394" s="19" t="n">
        <v>94720.55078125</v>
      </c>
      <c r="K394" s="19" t="n">
        <v>82584.90625</v>
      </c>
      <c r="L394" s="19" t="n">
        <v>90169.68408203125</v>
      </c>
      <c r="M394" s="19" t="n">
        <v>94720.55078125</v>
      </c>
      <c r="N394" s="17" t="inlineStr">
        <is>
          <t>C</t>
        </is>
      </c>
      <c r="O394" s="19" t="n">
        <v>28652.62578125</v>
      </c>
      <c r="P394" s="18" t="inlineStr">
        <is>
          <t>KHÔNG ĐỀ XUẤT TĂNG</t>
        </is>
      </c>
      <c r="Q394" s="17" t="inlineStr">
        <is>
          <t>Không</t>
        </is>
      </c>
      <c r="R394" s="20" t="n"/>
      <c r="S394" s="20" t="n"/>
      <c r="T394" s="21" t="n"/>
      <c r="U394" s="21" t="n"/>
      <c r="V394" s="22">
        <f>IF(U394="A",K394,IF(U394="B",L394,IF(U394="C",M394,IF(N394="A",K394,IF(N394="B",L394,M394)))))</f>
        <v/>
      </c>
      <c r="W394" s="22">
        <f>IF(R394="",O394,MAX(V394-R394-N(S394),0))</f>
        <v/>
      </c>
      <c r="X394" s="20" t="n"/>
      <c r="Y394" s="23">
        <f>IF(OR(X394="",W394=0),"",X394/W394-1)</f>
        <v/>
      </c>
      <c r="Z394" s="24" t="n"/>
      <c r="AA394" s="21" t="n"/>
      <c r="AB394" s="25" t="n"/>
      <c r="AC394" s="26">
        <f>IF(T394="","Chưa quyết định",IF(OR(Z394="",AA394=""),"⚠ Thiếu lý do/người duyệt",IF(AND(X394&lt;&gt;"",N(X394)+N(R394)+N(S394)&gt;M394*1.001,R394&lt;&gt;""),"⚠ Vượt mục tiêu P90",IF(AND(Y394&lt;&gt;"",ABS(N(Y394))&gt;0.3),"⚠ Lệch &gt; 30% so với nhu cầu",IF(Q394="Có","ℹ Kiểm tra ngoại suy KM","✓ Hợp lệ")))))</f>
        <v/>
      </c>
    </row>
    <row r="395">
      <c r="A395" s="16" t="n">
        <v>391</v>
      </c>
      <c r="B395" s="17" t="inlineStr">
        <is>
          <t>DEC-S43-GROCERY_I</t>
        </is>
      </c>
      <c r="C395" s="16" t="n">
        <v>43</v>
      </c>
      <c r="D395" s="17" t="inlineStr">
        <is>
          <t>GROCERY I</t>
        </is>
      </c>
      <c r="E395" s="17" t="inlineStr">
        <is>
          <t>LOW</t>
        </is>
      </c>
      <c r="F395" s="17" t="inlineStr">
        <is>
          <t>TRUNG BÌNH</t>
        </is>
      </c>
      <c r="G395" s="18" t="inlineStr">
        <is>
          <t>RISK_LOW · LARGE_SERIES</t>
        </is>
      </c>
      <c r="H395" s="19" t="n">
        <v>74783.163284375</v>
      </c>
      <c r="I395" s="19" t="n">
        <v>81462.8984375</v>
      </c>
      <c r="J395" s="19" t="n">
        <v>93598.54296875</v>
      </c>
      <c r="K395" s="19" t="n">
        <v>81462.8984375</v>
      </c>
      <c r="L395" s="19" t="n">
        <v>89047.67626953125</v>
      </c>
      <c r="M395" s="19" t="n">
        <v>93598.54296875</v>
      </c>
      <c r="N395" s="17" t="inlineStr">
        <is>
          <t>C</t>
        </is>
      </c>
      <c r="O395" s="19" t="n">
        <v>28428.22421875</v>
      </c>
      <c r="P395" s="18" t="inlineStr">
        <is>
          <t>KHÔNG ĐỀ XUẤT TĂNG</t>
        </is>
      </c>
      <c r="Q395" s="17" t="inlineStr">
        <is>
          <t>Không</t>
        </is>
      </c>
      <c r="R395" s="20" t="n"/>
      <c r="S395" s="20" t="n"/>
      <c r="T395" s="21" t="n"/>
      <c r="U395" s="21" t="n"/>
      <c r="V395" s="22">
        <f>IF(U395="A",K395,IF(U395="B",L395,IF(U395="C",M395,IF(N395="A",K395,IF(N395="B",L395,M395)))))</f>
        <v/>
      </c>
      <c r="W395" s="22">
        <f>IF(R395="",O395,MAX(V395-R395-N(S395),0))</f>
        <v/>
      </c>
      <c r="X395" s="20" t="n"/>
      <c r="Y395" s="23">
        <f>IF(OR(X395="",W395=0),"",X395/W395-1)</f>
        <v/>
      </c>
      <c r="Z395" s="24" t="n"/>
      <c r="AA395" s="21" t="n"/>
      <c r="AB395" s="25" t="n"/>
      <c r="AC395" s="26">
        <f>IF(T395="","Chưa quyết định",IF(OR(Z395="",AA395=""),"⚠ Thiếu lý do/người duyệt",IF(AND(X395&lt;&gt;"",N(X395)+N(R395)+N(S395)&gt;M395*1.001,R395&lt;&gt;""),"⚠ Vượt mục tiêu P90",IF(AND(Y395&lt;&gt;"",ABS(N(Y395))&gt;0.3),"⚠ Lệch &gt; 30% so với nhu cầu",IF(Q395="Có","ℹ Kiểm tra ngoại suy KM","✓ Hợp lệ")))))</f>
        <v/>
      </c>
    </row>
    <row r="396">
      <c r="A396" s="16" t="n">
        <v>392</v>
      </c>
      <c r="B396" s="17" t="inlineStr">
        <is>
          <t>DEC-S48-BEVERAGES</t>
        </is>
      </c>
      <c r="C396" s="16" t="n">
        <v>48</v>
      </c>
      <c r="D396" s="17" t="inlineStr">
        <is>
          <t>BEVERAGES</t>
        </is>
      </c>
      <c r="E396" s="17" t="inlineStr">
        <is>
          <t>LOW</t>
        </is>
      </c>
      <c r="F396" s="17" t="inlineStr">
        <is>
          <t>TRUNG BÌNH</t>
        </is>
      </c>
      <c r="G396" s="18" t="inlineStr">
        <is>
          <t>RISK_LOW · LARGE_SERIES</t>
        </is>
      </c>
      <c r="H396" s="19" t="n">
        <v>74455.07197578125</v>
      </c>
      <c r="I396" s="19" t="n">
        <v>81134.80712890625</v>
      </c>
      <c r="J396" s="19" t="n">
        <v>93270.45166015624</v>
      </c>
      <c r="K396" s="19" t="n">
        <v>81134.80712890625</v>
      </c>
      <c r="L396" s="19" t="n">
        <v>88719.58496093749</v>
      </c>
      <c r="M396" s="19" t="n">
        <v>93270.45166015624</v>
      </c>
      <c r="N396" s="17" t="inlineStr">
        <is>
          <t>C</t>
        </is>
      </c>
      <c r="O396" s="19" t="n">
        <v>28362.60595703124</v>
      </c>
      <c r="P396" s="18" t="inlineStr">
        <is>
          <t>KHÔNG ĐỀ XUẤT TĂNG</t>
        </is>
      </c>
      <c r="Q396" s="17" t="inlineStr">
        <is>
          <t>Không</t>
        </is>
      </c>
      <c r="R396" s="20" t="n"/>
      <c r="S396" s="20" t="n"/>
      <c r="T396" s="21" t="n"/>
      <c r="U396" s="21" t="n"/>
      <c r="V396" s="22">
        <f>IF(U396="A",K396,IF(U396="B",L396,IF(U396="C",M396,IF(N396="A",K396,IF(N396="B",L396,M396)))))</f>
        <v/>
      </c>
      <c r="W396" s="22">
        <f>IF(R396="",O396,MAX(V396-R396-N(S396),0))</f>
        <v/>
      </c>
      <c r="X396" s="20" t="n"/>
      <c r="Y396" s="23">
        <f>IF(OR(X396="",W396=0),"",X396/W396-1)</f>
        <v/>
      </c>
      <c r="Z396" s="24" t="n"/>
      <c r="AA396" s="21" t="n"/>
      <c r="AB396" s="25" t="n"/>
      <c r="AC396" s="26">
        <f>IF(T396="","Chưa quyết định",IF(OR(Z396="",AA396=""),"⚠ Thiếu lý do/người duyệt",IF(AND(X396&lt;&gt;"",N(X396)+N(R396)+N(S396)&gt;M396*1.001,R396&lt;&gt;""),"⚠ Vượt mục tiêu P90",IF(AND(Y396&lt;&gt;"",ABS(N(Y396))&gt;0.3),"⚠ Lệch &gt; 30% so với nhu cầu",IF(Q396="Có","ℹ Kiểm tra ngoại suy KM","✓ Hợp lệ")))))</f>
        <v/>
      </c>
    </row>
    <row r="397">
      <c r="A397" s="16" t="n">
        <v>393</v>
      </c>
      <c r="B397" s="17" t="inlineStr">
        <is>
          <t>DEC-S06-GROCERY_I</t>
        </is>
      </c>
      <c r="C397" s="16" t="n">
        <v>6</v>
      </c>
      <c r="D397" s="17" t="inlineStr">
        <is>
          <t>GROCERY I</t>
        </is>
      </c>
      <c r="E397" s="17" t="inlineStr">
        <is>
          <t>LOW</t>
        </is>
      </c>
      <c r="F397" s="17" t="inlineStr">
        <is>
          <t>TRUNG BÌNH</t>
        </is>
      </c>
      <c r="G397" s="18" t="inlineStr">
        <is>
          <t>RISK_LOW · LARGE_SERIES</t>
        </is>
      </c>
      <c r="H397" s="19" t="n">
        <v>73142.57417304687</v>
      </c>
      <c r="I397" s="19" t="n">
        <v>79822.30932617188</v>
      </c>
      <c r="J397" s="19" t="n">
        <v>91957.95385742188</v>
      </c>
      <c r="K397" s="19" t="n">
        <v>79822.30932617188</v>
      </c>
      <c r="L397" s="19" t="n">
        <v>87407.08715820312</v>
      </c>
      <c r="M397" s="19" t="n">
        <v>91957.95385742188</v>
      </c>
      <c r="N397" s="17" t="inlineStr">
        <is>
          <t>C</t>
        </is>
      </c>
      <c r="O397" s="19" t="n">
        <v>28100.10639648437</v>
      </c>
      <c r="P397" s="18" t="inlineStr">
        <is>
          <t>KHÔNG ĐỀ XUẤT TĂNG</t>
        </is>
      </c>
      <c r="Q397" s="17" t="inlineStr">
        <is>
          <t>Không</t>
        </is>
      </c>
      <c r="R397" s="20" t="n"/>
      <c r="S397" s="20" t="n"/>
      <c r="T397" s="21" t="n"/>
      <c r="U397" s="21" t="n"/>
      <c r="V397" s="22">
        <f>IF(U397="A",K397,IF(U397="B",L397,IF(U397="C",M397,IF(N397="A",K397,IF(N397="B",L397,M397)))))</f>
        <v/>
      </c>
      <c r="W397" s="22">
        <f>IF(R397="",O397,MAX(V397-R397-N(S397),0))</f>
        <v/>
      </c>
      <c r="X397" s="20" t="n"/>
      <c r="Y397" s="23">
        <f>IF(OR(X397="",W397=0),"",X397/W397-1)</f>
        <v/>
      </c>
      <c r="Z397" s="24" t="n"/>
      <c r="AA397" s="21" t="n"/>
      <c r="AB397" s="25" t="n"/>
      <c r="AC397" s="26">
        <f>IF(T397="","Chưa quyết định",IF(OR(Z397="",AA397=""),"⚠ Thiếu lý do/người duyệt",IF(AND(X397&lt;&gt;"",N(X397)+N(R397)+N(S397)&gt;M397*1.001,R397&lt;&gt;""),"⚠ Vượt mục tiêu P90",IF(AND(Y397&lt;&gt;"",ABS(N(Y397))&gt;0.3),"⚠ Lệch &gt; 30% so với nhu cầu",IF(Q397="Có","ℹ Kiểm tra ngoại suy KM","✓ Hợp lệ")))))</f>
        <v/>
      </c>
    </row>
    <row r="398">
      <c r="A398" s="16" t="n">
        <v>394</v>
      </c>
      <c r="B398" s="17" t="inlineStr">
        <is>
          <t>DEC-S28-GROCERY_I</t>
        </is>
      </c>
      <c r="C398" s="16" t="n">
        <v>28</v>
      </c>
      <c r="D398" s="17" t="inlineStr">
        <is>
          <t>GROCERY I</t>
        </is>
      </c>
      <c r="E398" s="17" t="inlineStr">
        <is>
          <t>LOW</t>
        </is>
      </c>
      <c r="F398" s="17" t="inlineStr">
        <is>
          <t>TRUNG BÌNH</t>
        </is>
      </c>
      <c r="G398" s="18" t="inlineStr">
        <is>
          <t>RISK_LOW · LARGE_SERIES</t>
        </is>
      </c>
      <c r="H398" s="19" t="n">
        <v>72484.28388984375</v>
      </c>
      <c r="I398" s="19" t="n">
        <v>79164.01904296875</v>
      </c>
      <c r="J398" s="19" t="n">
        <v>91299.66357421876</v>
      </c>
      <c r="K398" s="19" t="n">
        <v>79164.01904296875</v>
      </c>
      <c r="L398" s="19" t="n">
        <v>86748.79687500001</v>
      </c>
      <c r="M398" s="19" t="n">
        <v>91299.66357421876</v>
      </c>
      <c r="N398" s="17" t="inlineStr">
        <is>
          <t>C</t>
        </is>
      </c>
      <c r="O398" s="19" t="n">
        <v>27968.44833984376</v>
      </c>
      <c r="P398" s="18" t="inlineStr">
        <is>
          <t>KHÔNG ĐỀ XUẤT TĂNG</t>
        </is>
      </c>
      <c r="Q398" s="17" t="inlineStr">
        <is>
          <t>Không</t>
        </is>
      </c>
      <c r="R398" s="20" t="n"/>
      <c r="S398" s="20" t="n"/>
      <c r="T398" s="21" t="n"/>
      <c r="U398" s="21" t="n"/>
      <c r="V398" s="22">
        <f>IF(U398="A",K398,IF(U398="B",L398,IF(U398="C",M398,IF(N398="A",K398,IF(N398="B",L398,M398)))))</f>
        <v/>
      </c>
      <c r="W398" s="22">
        <f>IF(R398="",O398,MAX(V398-R398-N(S398),0))</f>
        <v/>
      </c>
      <c r="X398" s="20" t="n"/>
      <c r="Y398" s="23">
        <f>IF(OR(X398="",W398=0),"",X398/W398-1)</f>
        <v/>
      </c>
      <c r="Z398" s="24" t="n"/>
      <c r="AA398" s="21" t="n"/>
      <c r="AB398" s="25" t="n"/>
      <c r="AC398" s="26">
        <f>IF(T398="","Chưa quyết định",IF(OR(Z398="",AA398=""),"⚠ Thiếu lý do/người duyệt",IF(AND(X398&lt;&gt;"",N(X398)+N(R398)+N(S398)&gt;M398*1.001,R398&lt;&gt;""),"⚠ Vượt mục tiêu P90",IF(AND(Y398&lt;&gt;"",ABS(N(Y398))&gt;0.3),"⚠ Lệch &gt; 30% so với nhu cầu",IF(Q398="Có","ℹ Kiểm tra ngoại suy KM","✓ Hợp lệ")))))</f>
        <v/>
      </c>
    </row>
    <row r="399">
      <c r="A399" s="16" t="n">
        <v>395</v>
      </c>
      <c r="B399" s="17" t="inlineStr">
        <is>
          <t>DEC-S11-BEVERAGES</t>
        </is>
      </c>
      <c r="C399" s="16" t="n">
        <v>11</v>
      </c>
      <c r="D399" s="17" t="inlineStr">
        <is>
          <t>BEVERAGES</t>
        </is>
      </c>
      <c r="E399" s="17" t="inlineStr">
        <is>
          <t>LOW</t>
        </is>
      </c>
      <c r="F399" s="17" t="inlineStr">
        <is>
          <t>TRUNG BÌNH</t>
        </is>
      </c>
      <c r="G399" s="18" t="inlineStr">
        <is>
          <t>RISK_LOW · LARGE_SERIES</t>
        </is>
      </c>
      <c r="H399" s="19" t="n">
        <v>71216.42085273437</v>
      </c>
      <c r="I399" s="19" t="n">
        <v>77896.15600585938</v>
      </c>
      <c r="J399" s="19" t="n">
        <v>90031.80053710938</v>
      </c>
      <c r="K399" s="19" t="n">
        <v>77896.15600585938</v>
      </c>
      <c r="L399" s="19" t="n">
        <v>85480.93383789062</v>
      </c>
      <c r="M399" s="19" t="n">
        <v>90031.80053710938</v>
      </c>
      <c r="N399" s="17" t="inlineStr">
        <is>
          <t>C</t>
        </is>
      </c>
      <c r="O399" s="19" t="n">
        <v>27714.87573242188</v>
      </c>
      <c r="P399" s="18" t="inlineStr">
        <is>
          <t>KHÔNG ĐỀ XUẤT TĂNG</t>
        </is>
      </c>
      <c r="Q399" s="17" t="inlineStr">
        <is>
          <t>Không</t>
        </is>
      </c>
      <c r="R399" s="20" t="n"/>
      <c r="S399" s="20" t="n"/>
      <c r="T399" s="21" t="n"/>
      <c r="U399" s="21" t="n"/>
      <c r="V399" s="22">
        <f>IF(U399="A",K399,IF(U399="B",L399,IF(U399="C",M399,IF(N399="A",K399,IF(N399="B",L399,M399)))))</f>
        <v/>
      </c>
      <c r="W399" s="22">
        <f>IF(R399="",O399,MAX(V399-R399-N(S399),0))</f>
        <v/>
      </c>
      <c r="X399" s="20" t="n"/>
      <c r="Y399" s="23">
        <f>IF(OR(X399="",W399=0),"",X399/W399-1)</f>
        <v/>
      </c>
      <c r="Z399" s="24" t="n"/>
      <c r="AA399" s="21" t="n"/>
      <c r="AB399" s="25" t="n"/>
      <c r="AC399" s="26">
        <f>IF(T399="","Chưa quyết định",IF(OR(Z399="",AA399=""),"⚠ Thiếu lý do/người duyệt",IF(AND(X399&lt;&gt;"",N(X399)+N(R399)+N(S399)&gt;M399*1.001,R399&lt;&gt;""),"⚠ Vượt mục tiêu P90",IF(AND(Y399&lt;&gt;"",ABS(N(Y399))&gt;0.3),"⚠ Lệch &gt; 30% so với nhu cầu",IF(Q399="Có","ℹ Kiểm tra ngoại suy KM","✓ Hợp lệ")))))</f>
        <v/>
      </c>
    </row>
    <row r="400">
      <c r="A400" s="16" t="n">
        <v>396</v>
      </c>
      <c r="B400" s="17" t="inlineStr">
        <is>
          <t>DEC-S08-PRODUCE</t>
        </is>
      </c>
      <c r="C400" s="16" t="n">
        <v>8</v>
      </c>
      <c r="D400" s="17" t="inlineStr">
        <is>
          <t>PRODUCE</t>
        </is>
      </c>
      <c r="E400" s="17" t="inlineStr">
        <is>
          <t>LOW</t>
        </is>
      </c>
      <c r="F400" s="17" t="inlineStr">
        <is>
          <t>TRUNG BÌNH</t>
        </is>
      </c>
      <c r="G400" s="18" t="inlineStr">
        <is>
          <t>RISK_LOW · LARGE_SERIES</t>
        </is>
      </c>
      <c r="H400" s="19" t="n">
        <v>70925.60932929687</v>
      </c>
      <c r="I400" s="19" t="n">
        <v>77605.34448242188</v>
      </c>
      <c r="J400" s="19" t="n">
        <v>89740.98901367188</v>
      </c>
      <c r="K400" s="19" t="n">
        <v>77605.34448242188</v>
      </c>
      <c r="L400" s="19" t="n">
        <v>85190.12231445312</v>
      </c>
      <c r="M400" s="19" t="n">
        <v>89740.98901367188</v>
      </c>
      <c r="N400" s="17" t="inlineStr">
        <is>
          <t>C</t>
        </is>
      </c>
      <c r="O400" s="19" t="n">
        <v>27656.71342773437</v>
      </c>
      <c r="P400" s="18" t="inlineStr">
        <is>
          <t>KHÔNG ĐỀ XUẤT TĂNG</t>
        </is>
      </c>
      <c r="Q400" s="17" t="inlineStr">
        <is>
          <t>Không</t>
        </is>
      </c>
      <c r="R400" s="20" t="n"/>
      <c r="S400" s="20" t="n"/>
      <c r="T400" s="21" t="n"/>
      <c r="U400" s="21" t="n"/>
      <c r="V400" s="22">
        <f>IF(U400="A",K400,IF(U400="B",L400,IF(U400="C",M400,IF(N400="A",K400,IF(N400="B",L400,M400)))))</f>
        <v/>
      </c>
      <c r="W400" s="22">
        <f>IF(R400="",O400,MAX(V400-R400-N(S400),0))</f>
        <v/>
      </c>
      <c r="X400" s="20" t="n"/>
      <c r="Y400" s="23">
        <f>IF(OR(X400="",W400=0),"",X400/W400-1)</f>
        <v/>
      </c>
      <c r="Z400" s="24" t="n"/>
      <c r="AA400" s="21" t="n"/>
      <c r="AB400" s="25" t="n"/>
      <c r="AC400" s="26">
        <f>IF(T400="","Chưa quyết định",IF(OR(Z400="",AA400=""),"⚠ Thiếu lý do/người duyệt",IF(AND(X400&lt;&gt;"",N(X400)+N(R400)+N(S400)&gt;M400*1.001,R400&lt;&gt;""),"⚠ Vượt mục tiêu P90",IF(AND(Y400&lt;&gt;"",ABS(N(Y400))&gt;0.3),"⚠ Lệch &gt; 30% so với nhu cầu",IF(Q400="Có","ℹ Kiểm tra ngoại suy KM","✓ Hợp lệ")))))</f>
        <v/>
      </c>
    </row>
    <row r="401">
      <c r="A401" s="16" t="n">
        <v>397</v>
      </c>
      <c r="B401" s="17" t="inlineStr">
        <is>
          <t>DEC-S50-BEVERAGES</t>
        </is>
      </c>
      <c r="C401" s="16" t="n">
        <v>50</v>
      </c>
      <c r="D401" s="17" t="inlineStr">
        <is>
          <t>BEVERAGES</t>
        </is>
      </c>
      <c r="E401" s="17" t="inlineStr">
        <is>
          <t>LOW</t>
        </is>
      </c>
      <c r="F401" s="17" t="inlineStr">
        <is>
          <t>TRUNG BÌNH</t>
        </is>
      </c>
      <c r="G401" s="18" t="inlineStr">
        <is>
          <t>RISK_LOW · LARGE_SERIES</t>
        </is>
      </c>
      <c r="H401" s="19" t="n">
        <v>70484.12226875</v>
      </c>
      <c r="I401" s="19" t="n">
        <v>77163.857421875</v>
      </c>
      <c r="J401" s="19" t="n">
        <v>89299.501953125</v>
      </c>
      <c r="K401" s="19" t="n">
        <v>77163.857421875</v>
      </c>
      <c r="L401" s="19" t="n">
        <v>84748.63525390625</v>
      </c>
      <c r="M401" s="19" t="n">
        <v>89299.501953125</v>
      </c>
      <c r="N401" s="17" t="inlineStr">
        <is>
          <t>C</t>
        </is>
      </c>
      <c r="O401" s="19" t="n">
        <v>27568.416015625</v>
      </c>
      <c r="P401" s="18" t="inlineStr">
        <is>
          <t>KHÔNG ĐỀ XUẤT TĂNG</t>
        </is>
      </c>
      <c r="Q401" s="17" t="inlineStr">
        <is>
          <t>Không</t>
        </is>
      </c>
      <c r="R401" s="20" t="n"/>
      <c r="S401" s="20" t="n"/>
      <c r="T401" s="21" t="n"/>
      <c r="U401" s="21" t="n"/>
      <c r="V401" s="22">
        <f>IF(U401="A",K401,IF(U401="B",L401,IF(U401="C",M401,IF(N401="A",K401,IF(N401="B",L401,M401)))))</f>
        <v/>
      </c>
      <c r="W401" s="22">
        <f>IF(R401="",O401,MAX(V401-R401-N(S401),0))</f>
        <v/>
      </c>
      <c r="X401" s="20" t="n"/>
      <c r="Y401" s="23">
        <f>IF(OR(X401="",W401=0),"",X401/W401-1)</f>
        <v/>
      </c>
      <c r="Z401" s="24" t="n"/>
      <c r="AA401" s="21" t="n"/>
      <c r="AB401" s="25" t="n"/>
      <c r="AC401" s="26">
        <f>IF(T401="","Chưa quyết định",IF(OR(Z401="",AA401=""),"⚠ Thiếu lý do/người duyệt",IF(AND(X401&lt;&gt;"",N(X401)+N(R401)+N(S401)&gt;M401*1.001,R401&lt;&gt;""),"⚠ Vượt mục tiêu P90",IF(AND(Y401&lt;&gt;"",ABS(N(Y401))&gt;0.3),"⚠ Lệch &gt; 30% so với nhu cầu",IF(Q401="Có","ℹ Kiểm tra ngoại suy KM","✓ Hợp lệ")))))</f>
        <v/>
      </c>
    </row>
    <row r="402">
      <c r="A402" s="16" t="n">
        <v>398</v>
      </c>
      <c r="B402" s="17" t="inlineStr">
        <is>
          <t>DEC-S52-PRODUCE</t>
        </is>
      </c>
      <c r="C402" s="16" t="n">
        <v>52</v>
      </c>
      <c r="D402" s="17" t="inlineStr">
        <is>
          <t>PRODUCE</t>
        </is>
      </c>
      <c r="E402" s="17" t="inlineStr">
        <is>
          <t>LOW</t>
        </is>
      </c>
      <c r="F402" s="17" t="inlineStr">
        <is>
          <t>TRUNG BÌNH</t>
        </is>
      </c>
      <c r="G402" s="18" t="inlineStr">
        <is>
          <t>RISK_LOW · LARGE_SERIES</t>
        </is>
      </c>
      <c r="H402" s="19" t="n">
        <v>70415.93257148437</v>
      </c>
      <c r="I402" s="19" t="n">
        <v>77095.66772460938</v>
      </c>
      <c r="J402" s="19" t="n">
        <v>89231.31225585938</v>
      </c>
      <c r="K402" s="19" t="n">
        <v>77095.66772460938</v>
      </c>
      <c r="L402" s="19" t="n">
        <v>84680.44555664062</v>
      </c>
      <c r="M402" s="19" t="n">
        <v>89231.31225585938</v>
      </c>
      <c r="N402" s="17" t="inlineStr">
        <is>
          <t>C</t>
        </is>
      </c>
      <c r="O402" s="19" t="n">
        <v>27554.77807617188</v>
      </c>
      <c r="P402" s="18" t="inlineStr">
        <is>
          <t>KHÔNG ĐỀ XUẤT TĂNG</t>
        </is>
      </c>
      <c r="Q402" s="17" t="inlineStr">
        <is>
          <t>Không</t>
        </is>
      </c>
      <c r="R402" s="20" t="n"/>
      <c r="S402" s="20" t="n"/>
      <c r="T402" s="21" t="n"/>
      <c r="U402" s="21" t="n"/>
      <c r="V402" s="22">
        <f>IF(U402="A",K402,IF(U402="B",L402,IF(U402="C",M402,IF(N402="A",K402,IF(N402="B",L402,M402)))))</f>
        <v/>
      </c>
      <c r="W402" s="22">
        <f>IF(R402="",O402,MAX(V402-R402-N(S402),0))</f>
        <v/>
      </c>
      <c r="X402" s="20" t="n"/>
      <c r="Y402" s="23">
        <f>IF(OR(X402="",W402=0),"",X402/W402-1)</f>
        <v/>
      </c>
      <c r="Z402" s="24" t="n"/>
      <c r="AA402" s="21" t="n"/>
      <c r="AB402" s="25" t="n"/>
      <c r="AC402" s="26">
        <f>IF(T402="","Chưa quyết định",IF(OR(Z402="",AA402=""),"⚠ Thiếu lý do/người duyệt",IF(AND(X402&lt;&gt;"",N(X402)+N(R402)+N(S402)&gt;M402*1.001,R402&lt;&gt;""),"⚠ Vượt mục tiêu P90",IF(AND(Y402&lt;&gt;"",ABS(N(Y402))&gt;0.3),"⚠ Lệch &gt; 30% so với nhu cầu",IF(Q402="Có","ℹ Kiểm tra ngoại suy KM","✓ Hợp lệ")))))</f>
        <v/>
      </c>
    </row>
    <row r="403">
      <c r="A403" s="16" t="n">
        <v>399</v>
      </c>
      <c r="B403" s="17" t="inlineStr">
        <is>
          <t>DEC-S51-BEVERAGES</t>
        </is>
      </c>
      <c r="C403" s="16" t="n">
        <v>51</v>
      </c>
      <c r="D403" s="17" t="inlineStr">
        <is>
          <t>BEVERAGES</t>
        </is>
      </c>
      <c r="E403" s="17" t="inlineStr">
        <is>
          <t>LOW</t>
        </is>
      </c>
      <c r="F403" s="17" t="inlineStr">
        <is>
          <t>TRUNG BÌNH</t>
        </is>
      </c>
      <c r="G403" s="18" t="inlineStr">
        <is>
          <t>RISK_LOW · LARGE_SERIES</t>
        </is>
      </c>
      <c r="H403" s="19" t="n">
        <v>69622.74018867187</v>
      </c>
      <c r="I403" s="19" t="n">
        <v>76302.47534179688</v>
      </c>
      <c r="J403" s="19" t="n">
        <v>88438.11987304688</v>
      </c>
      <c r="K403" s="19" t="n">
        <v>76302.47534179688</v>
      </c>
      <c r="L403" s="19" t="n">
        <v>83887.25317382812</v>
      </c>
      <c r="M403" s="19" t="n">
        <v>88438.11987304688</v>
      </c>
      <c r="N403" s="17" t="inlineStr">
        <is>
          <t>C</t>
        </is>
      </c>
      <c r="O403" s="19" t="n">
        <v>27396.13959960937</v>
      </c>
      <c r="P403" s="18" t="inlineStr">
        <is>
          <t>KHÔNG ĐỀ XUẤT TĂNG</t>
        </is>
      </c>
      <c r="Q403" s="17" t="inlineStr">
        <is>
          <t>Không</t>
        </is>
      </c>
      <c r="R403" s="20" t="n"/>
      <c r="S403" s="20" t="n"/>
      <c r="T403" s="21" t="n"/>
      <c r="U403" s="21" t="n"/>
      <c r="V403" s="22">
        <f>IF(U403="A",K403,IF(U403="B",L403,IF(U403="C",M403,IF(N403="A",K403,IF(N403="B",L403,M403)))))</f>
        <v/>
      </c>
      <c r="W403" s="22">
        <f>IF(R403="",O403,MAX(V403-R403-N(S403),0))</f>
        <v/>
      </c>
      <c r="X403" s="20" t="n"/>
      <c r="Y403" s="23">
        <f>IF(OR(X403="",W403=0),"",X403/W403-1)</f>
        <v/>
      </c>
      <c r="Z403" s="24" t="n"/>
      <c r="AA403" s="21" t="n"/>
      <c r="AB403" s="25" t="n"/>
      <c r="AC403" s="26">
        <f>IF(T403="","Chưa quyết định",IF(OR(Z403="",AA403=""),"⚠ Thiếu lý do/người duyệt",IF(AND(X403&lt;&gt;"",N(X403)+N(R403)+N(S403)&gt;M403*1.001,R403&lt;&gt;""),"⚠ Vượt mục tiêu P90",IF(AND(Y403&lt;&gt;"",ABS(N(Y403))&gt;0.3),"⚠ Lệch &gt; 30% so với nhu cầu",IF(Q403="Có","ℹ Kiểm tra ngoại suy KM","✓ Hợp lệ")))))</f>
        <v/>
      </c>
    </row>
    <row r="404">
      <c r="A404" s="16" t="n">
        <v>400</v>
      </c>
      <c r="B404" s="17" t="inlineStr">
        <is>
          <t>DEC-S08-BEVERAGES</t>
        </is>
      </c>
      <c r="C404" s="16" t="n">
        <v>8</v>
      </c>
      <c r="D404" s="17" t="inlineStr">
        <is>
          <t>BEVERAGES</t>
        </is>
      </c>
      <c r="E404" s="17" t="inlineStr">
        <is>
          <t>LOW</t>
        </is>
      </c>
      <c r="F404" s="17" t="inlineStr">
        <is>
          <t>TRUNG BÌNH</t>
        </is>
      </c>
      <c r="G404" s="18" t="inlineStr">
        <is>
          <t>RISK_LOW · LARGE_SERIES</t>
        </is>
      </c>
      <c r="H404" s="19" t="n">
        <v>68732.98188789062</v>
      </c>
      <c r="I404" s="19" t="n">
        <v>75412.71704101562</v>
      </c>
      <c r="J404" s="19" t="n">
        <v>87548.36157226562</v>
      </c>
      <c r="K404" s="19" t="n">
        <v>75412.71704101562</v>
      </c>
      <c r="L404" s="19" t="n">
        <v>82997.49487304688</v>
      </c>
      <c r="M404" s="19" t="n">
        <v>87548.36157226562</v>
      </c>
      <c r="N404" s="17" t="inlineStr">
        <is>
          <t>C</t>
        </is>
      </c>
      <c r="O404" s="19" t="n">
        <v>27218.18793945313</v>
      </c>
      <c r="P404" s="18" t="inlineStr">
        <is>
          <t>KHÔNG ĐỀ XUẤT TĂNG</t>
        </is>
      </c>
      <c r="Q404" s="17" t="inlineStr">
        <is>
          <t>Không</t>
        </is>
      </c>
      <c r="R404" s="20" t="n"/>
      <c r="S404" s="20" t="n"/>
      <c r="T404" s="21" t="n"/>
      <c r="U404" s="21" t="n"/>
      <c r="V404" s="22">
        <f>IF(U404="A",K404,IF(U404="B",L404,IF(U404="C",M404,IF(N404="A",K404,IF(N404="B",L404,M404)))))</f>
        <v/>
      </c>
      <c r="W404" s="22">
        <f>IF(R404="",O404,MAX(V404-R404-N(S404),0))</f>
        <v/>
      </c>
      <c r="X404" s="20" t="n"/>
      <c r="Y404" s="23">
        <f>IF(OR(X404="",W404=0),"",X404/W404-1)</f>
        <v/>
      </c>
      <c r="Z404" s="24" t="n"/>
      <c r="AA404" s="21" t="n"/>
      <c r="AB404" s="25" t="n"/>
      <c r="AC404" s="26">
        <f>IF(T404="","Chưa quyết định",IF(OR(Z404="",AA404=""),"⚠ Thiếu lý do/người duyệt",IF(AND(X404&lt;&gt;"",N(X404)+N(R404)+N(S404)&gt;M404*1.001,R404&lt;&gt;""),"⚠ Vượt mục tiêu P90",IF(AND(Y404&lt;&gt;"",ABS(N(Y404))&gt;0.3),"⚠ Lệch &gt; 30% so với nhu cầu",IF(Q404="Có","ℹ Kiểm tra ngoại suy KM","✓ Hợp lệ")))))</f>
        <v/>
      </c>
    </row>
    <row r="405">
      <c r="A405" s="16" t="n">
        <v>401</v>
      </c>
      <c r="B405" s="17" t="inlineStr">
        <is>
          <t>DEC-S17-GROCERY_I</t>
        </is>
      </c>
      <c r="C405" s="16" t="n">
        <v>17</v>
      </c>
      <c r="D405" s="17" t="inlineStr">
        <is>
          <t>GROCERY I</t>
        </is>
      </c>
      <c r="E405" s="17" t="inlineStr">
        <is>
          <t>LOW</t>
        </is>
      </c>
      <c r="F405" s="17" t="inlineStr">
        <is>
          <t>TRUNG BÌNH</t>
        </is>
      </c>
      <c r="G405" s="18" t="inlineStr">
        <is>
          <t>RISK_LOW · LARGE_SERIES</t>
        </is>
      </c>
      <c r="H405" s="19" t="n">
        <v>68001.10346992187</v>
      </c>
      <c r="I405" s="19" t="n">
        <v>74680.83862304688</v>
      </c>
      <c r="J405" s="19" t="n">
        <v>86816.48315429688</v>
      </c>
      <c r="K405" s="19" t="n">
        <v>74680.83862304688</v>
      </c>
      <c r="L405" s="19" t="n">
        <v>82265.61645507812</v>
      </c>
      <c r="M405" s="19" t="n">
        <v>86816.48315429688</v>
      </c>
      <c r="N405" s="17" t="inlineStr">
        <is>
          <t>C</t>
        </is>
      </c>
      <c r="O405" s="19" t="n">
        <v>27071.81225585937</v>
      </c>
      <c r="P405" s="18" t="inlineStr">
        <is>
          <t>KHÔNG ĐỀ XUẤT TĂNG</t>
        </is>
      </c>
      <c r="Q405" s="17" t="inlineStr">
        <is>
          <t>Không</t>
        </is>
      </c>
      <c r="R405" s="20" t="n"/>
      <c r="S405" s="20" t="n"/>
      <c r="T405" s="21" t="n"/>
      <c r="U405" s="21" t="n"/>
      <c r="V405" s="22">
        <f>IF(U405="A",K405,IF(U405="B",L405,IF(U405="C",M405,IF(N405="A",K405,IF(N405="B",L405,M405)))))</f>
        <v/>
      </c>
      <c r="W405" s="22">
        <f>IF(R405="",O405,MAX(V405-R405-N(S405),0))</f>
        <v/>
      </c>
      <c r="X405" s="20" t="n"/>
      <c r="Y405" s="23">
        <f>IF(OR(X405="",W405=0),"",X405/W405-1)</f>
        <v/>
      </c>
      <c r="Z405" s="24" t="n"/>
      <c r="AA405" s="21" t="n"/>
      <c r="AB405" s="25" t="n"/>
      <c r="AC405" s="26">
        <f>IF(T405="","Chưa quyết định",IF(OR(Z405="",AA405=""),"⚠ Thiếu lý do/người duyệt",IF(AND(X405&lt;&gt;"",N(X405)+N(R405)+N(S405)&gt;M405*1.001,R405&lt;&gt;""),"⚠ Vượt mục tiêu P90",IF(AND(Y405&lt;&gt;"",ABS(N(Y405))&gt;0.3),"⚠ Lệch &gt; 30% so với nhu cầu",IF(Q405="Có","ℹ Kiểm tra ngoại suy KM","✓ Hợp lệ")))))</f>
        <v/>
      </c>
    </row>
    <row r="406">
      <c r="A406" s="16" t="n">
        <v>402</v>
      </c>
      <c r="B406" s="17" t="inlineStr">
        <is>
          <t>DEC-S31-GROCERY_I</t>
        </is>
      </c>
      <c r="C406" s="16" t="n">
        <v>31</v>
      </c>
      <c r="D406" s="17" t="inlineStr">
        <is>
          <t>GROCERY I</t>
        </is>
      </c>
      <c r="E406" s="17" t="inlineStr">
        <is>
          <t>LOW</t>
        </is>
      </c>
      <c r="F406" s="17" t="inlineStr">
        <is>
          <t>TRUNG BÌNH</t>
        </is>
      </c>
      <c r="G406" s="18" t="inlineStr">
        <is>
          <t>RISK_LOW · LARGE_SERIES</t>
        </is>
      </c>
      <c r="H406" s="19" t="n">
        <v>67833.0861359375</v>
      </c>
      <c r="I406" s="19" t="n">
        <v>74512.8212890625</v>
      </c>
      <c r="J406" s="19" t="n">
        <v>86648.4658203125</v>
      </c>
      <c r="K406" s="19" t="n">
        <v>74512.8212890625</v>
      </c>
      <c r="L406" s="19" t="n">
        <v>82097.59912109375</v>
      </c>
      <c r="M406" s="19" t="n">
        <v>86648.4658203125</v>
      </c>
      <c r="N406" s="17" t="inlineStr">
        <is>
          <t>C</t>
        </is>
      </c>
      <c r="O406" s="19" t="n">
        <v>27038.2087890625</v>
      </c>
      <c r="P406" s="18" t="inlineStr">
        <is>
          <t>KHÔNG ĐỀ XUẤT TĂNG</t>
        </is>
      </c>
      <c r="Q406" s="17" t="inlineStr">
        <is>
          <t>Không</t>
        </is>
      </c>
      <c r="R406" s="20" t="n"/>
      <c r="S406" s="20" t="n"/>
      <c r="T406" s="21" t="n"/>
      <c r="U406" s="21" t="n"/>
      <c r="V406" s="22">
        <f>IF(U406="A",K406,IF(U406="B",L406,IF(U406="C",M406,IF(N406="A",K406,IF(N406="B",L406,M406)))))</f>
        <v/>
      </c>
      <c r="W406" s="22">
        <f>IF(R406="",O406,MAX(V406-R406-N(S406),0))</f>
        <v/>
      </c>
      <c r="X406" s="20" t="n"/>
      <c r="Y406" s="23">
        <f>IF(OR(X406="",W406=0),"",X406/W406-1)</f>
        <v/>
      </c>
      <c r="Z406" s="24" t="n"/>
      <c r="AA406" s="21" t="n"/>
      <c r="AB406" s="25" t="n"/>
      <c r="AC406" s="26">
        <f>IF(T406="","Chưa quyết định",IF(OR(Z406="",AA406=""),"⚠ Thiếu lý do/người duyệt",IF(AND(X406&lt;&gt;"",N(X406)+N(R406)+N(S406)&gt;M406*1.001,R406&lt;&gt;""),"⚠ Vượt mục tiêu P90",IF(AND(Y406&lt;&gt;"",ABS(N(Y406))&gt;0.3),"⚠ Lệch &gt; 30% so với nhu cầu",IF(Q406="Có","ℹ Kiểm tra ngoại suy KM","✓ Hợp lệ")))))</f>
        <v/>
      </c>
    </row>
    <row r="407">
      <c r="A407" s="16" t="n">
        <v>403</v>
      </c>
      <c r="B407" s="17" t="inlineStr">
        <is>
          <t>DEC-S52-BEVERAGES</t>
        </is>
      </c>
      <c r="C407" s="16" t="n">
        <v>52</v>
      </c>
      <c r="D407" s="17" t="inlineStr">
        <is>
          <t>BEVERAGES</t>
        </is>
      </c>
      <c r="E407" s="17" t="inlineStr">
        <is>
          <t>LOW</t>
        </is>
      </c>
      <c r="F407" s="17" t="inlineStr">
        <is>
          <t>TRUNG BÌNH</t>
        </is>
      </c>
      <c r="G407" s="18" t="inlineStr">
        <is>
          <t>RISK_LOW · LARGE_SERIES</t>
        </is>
      </c>
      <c r="H407" s="19" t="n">
        <v>65501.10444648437</v>
      </c>
      <c r="I407" s="19" t="n">
        <v>72180.83959960938</v>
      </c>
      <c r="J407" s="19" t="n">
        <v>84316.48413085938</v>
      </c>
      <c r="K407" s="19" t="n">
        <v>72180.83959960938</v>
      </c>
      <c r="L407" s="19" t="n">
        <v>79765.61743164062</v>
      </c>
      <c r="M407" s="19" t="n">
        <v>84316.48413085938</v>
      </c>
      <c r="N407" s="17" t="inlineStr">
        <is>
          <t>C</t>
        </is>
      </c>
      <c r="O407" s="19" t="n">
        <v>26571.81245117187</v>
      </c>
      <c r="P407" s="18" t="inlineStr">
        <is>
          <t>KHÔNG ĐỀ XUẤT TĂNG</t>
        </is>
      </c>
      <c r="Q407" s="17" t="inlineStr">
        <is>
          <t>Không</t>
        </is>
      </c>
      <c r="R407" s="20" t="n"/>
      <c r="S407" s="20" t="n"/>
      <c r="T407" s="21" t="n"/>
      <c r="U407" s="21" t="n"/>
      <c r="V407" s="22">
        <f>IF(U407="A",K407,IF(U407="B",L407,IF(U407="C",M407,IF(N407="A",K407,IF(N407="B",L407,M407)))))</f>
        <v/>
      </c>
      <c r="W407" s="22">
        <f>IF(R407="",O407,MAX(V407-R407-N(S407),0))</f>
        <v/>
      </c>
      <c r="X407" s="20" t="n"/>
      <c r="Y407" s="23">
        <f>IF(OR(X407="",W407=0),"",X407/W407-1)</f>
        <v/>
      </c>
      <c r="Z407" s="24" t="n"/>
      <c r="AA407" s="21" t="n"/>
      <c r="AB407" s="25" t="n"/>
      <c r="AC407" s="26">
        <f>IF(T407="","Chưa quyết định",IF(OR(Z407="",AA407=""),"⚠ Thiếu lý do/người duyệt",IF(AND(X407&lt;&gt;"",N(X407)+N(R407)+N(S407)&gt;M407*1.001,R407&lt;&gt;""),"⚠ Vượt mục tiêu P90",IF(AND(Y407&lt;&gt;"",ABS(N(Y407))&gt;0.3),"⚠ Lệch &gt; 30% so với nhu cầu",IF(Q407="Có","ℹ Kiểm tra ngoại suy KM","✓ Hợp lệ")))))</f>
        <v/>
      </c>
    </row>
    <row r="408">
      <c r="A408" s="16" t="n">
        <v>404</v>
      </c>
      <c r="B408" s="17" t="inlineStr">
        <is>
          <t>DEC-S02-GROCERY_I</t>
        </is>
      </c>
      <c r="C408" s="16" t="n">
        <v>2</v>
      </c>
      <c r="D408" s="17" t="inlineStr">
        <is>
          <t>GROCERY I</t>
        </is>
      </c>
      <c r="E408" s="17" t="inlineStr">
        <is>
          <t>LOW</t>
        </is>
      </c>
      <c r="F408" s="17" t="inlineStr">
        <is>
          <t>TRUNG BÌNH</t>
        </is>
      </c>
      <c r="G408" s="18" t="inlineStr">
        <is>
          <t>RISK_LOW · LARGE_SERIES</t>
        </is>
      </c>
      <c r="H408" s="19" t="n">
        <v>63370.66572578125</v>
      </c>
      <c r="I408" s="19" t="n">
        <v>70050.40087890625</v>
      </c>
      <c r="J408" s="19" t="n">
        <v>82186.04541015625</v>
      </c>
      <c r="K408" s="19" t="n">
        <v>70050.40087890625</v>
      </c>
      <c r="L408" s="19" t="n">
        <v>77635.1787109375</v>
      </c>
      <c r="M408" s="19" t="n">
        <v>82186.04541015625</v>
      </c>
      <c r="N408" s="17" t="inlineStr">
        <is>
          <t>C</t>
        </is>
      </c>
      <c r="O408" s="19" t="n">
        <v>26145.72470703124</v>
      </c>
      <c r="P408" s="18" t="inlineStr">
        <is>
          <t>KHÔNG ĐỀ XUẤT TĂNG</t>
        </is>
      </c>
      <c r="Q408" s="17" t="inlineStr">
        <is>
          <t>Không</t>
        </is>
      </c>
      <c r="R408" s="20" t="n"/>
      <c r="S408" s="20" t="n"/>
      <c r="T408" s="21" t="n"/>
      <c r="U408" s="21" t="n"/>
      <c r="V408" s="22">
        <f>IF(U408="A",K408,IF(U408="B",L408,IF(U408="C",M408,IF(N408="A",K408,IF(N408="B",L408,M408)))))</f>
        <v/>
      </c>
      <c r="W408" s="22">
        <f>IF(R408="",O408,MAX(V408-R408-N(S408),0))</f>
        <v/>
      </c>
      <c r="X408" s="20" t="n"/>
      <c r="Y408" s="23">
        <f>IF(OR(X408="",W408=0),"",X408/W408-1)</f>
        <v/>
      </c>
      <c r="Z408" s="24" t="n"/>
      <c r="AA408" s="21" t="n"/>
      <c r="AB408" s="25" t="n"/>
      <c r="AC408" s="26">
        <f>IF(T408="","Chưa quyết định",IF(OR(Z408="",AA408=""),"⚠ Thiếu lý do/người duyệt",IF(AND(X408&lt;&gt;"",N(X408)+N(R408)+N(S408)&gt;M408*1.001,R408&lt;&gt;""),"⚠ Vượt mục tiêu P90",IF(AND(Y408&lt;&gt;"",ABS(N(Y408))&gt;0.3),"⚠ Lệch &gt; 30% so với nhu cầu",IF(Q408="Có","ℹ Kiểm tra ngoại suy KM","✓ Hợp lệ")))))</f>
        <v/>
      </c>
    </row>
    <row r="409">
      <c r="A409" s="16" t="n">
        <v>405</v>
      </c>
      <c r="B409" s="17" t="inlineStr">
        <is>
          <t>DEC-S21-GROCERY_I</t>
        </is>
      </c>
      <c r="C409" s="16" t="n">
        <v>21</v>
      </c>
      <c r="D409" s="17" t="inlineStr">
        <is>
          <t>GROCERY I</t>
        </is>
      </c>
      <c r="E409" s="17" t="inlineStr">
        <is>
          <t>LOW</t>
        </is>
      </c>
      <c r="F409" s="17" t="inlineStr">
        <is>
          <t>TRUNG BÌNH</t>
        </is>
      </c>
      <c r="G409" s="18" t="inlineStr">
        <is>
          <t>RISK_LOW · LARGE_SERIES</t>
        </is>
      </c>
      <c r="H409" s="19" t="n">
        <v>63018.604690625</v>
      </c>
      <c r="I409" s="19" t="n">
        <v>69698.33984375</v>
      </c>
      <c r="J409" s="19" t="n">
        <v>81833.984375</v>
      </c>
      <c r="K409" s="19" t="n">
        <v>69698.33984375</v>
      </c>
      <c r="L409" s="19" t="n">
        <v>77283.11767578125</v>
      </c>
      <c r="M409" s="19" t="n">
        <v>81833.984375</v>
      </c>
      <c r="N409" s="17" t="inlineStr">
        <is>
          <t>C</t>
        </is>
      </c>
      <c r="O409" s="19" t="n">
        <v>26075.3125</v>
      </c>
      <c r="P409" s="18" t="inlineStr">
        <is>
          <t>KHÔNG ĐỀ XUẤT TĂNG</t>
        </is>
      </c>
      <c r="Q409" s="17" t="inlineStr">
        <is>
          <t>Không</t>
        </is>
      </c>
      <c r="R409" s="20" t="n"/>
      <c r="S409" s="20" t="n"/>
      <c r="T409" s="21" t="n"/>
      <c r="U409" s="21" t="n"/>
      <c r="V409" s="22">
        <f>IF(U409="A",K409,IF(U409="B",L409,IF(U409="C",M409,IF(N409="A",K409,IF(N409="B",L409,M409)))))</f>
        <v/>
      </c>
      <c r="W409" s="22">
        <f>IF(R409="",O409,MAX(V409-R409-N(S409),0))</f>
        <v/>
      </c>
      <c r="X409" s="20" t="n"/>
      <c r="Y409" s="23">
        <f>IF(OR(X409="",W409=0),"",X409/W409-1)</f>
        <v/>
      </c>
      <c r="Z409" s="24" t="n"/>
      <c r="AA409" s="21" t="n"/>
      <c r="AB409" s="25" t="n"/>
      <c r="AC409" s="26">
        <f>IF(T409="","Chưa quyết định",IF(OR(Z409="",AA409=""),"⚠ Thiếu lý do/người duyệt",IF(AND(X409&lt;&gt;"",N(X409)+N(R409)+N(S409)&gt;M409*1.001,R409&lt;&gt;""),"⚠ Vượt mục tiêu P90",IF(AND(Y409&lt;&gt;"",ABS(N(Y409))&gt;0.3),"⚠ Lệch &gt; 30% so với nhu cầu",IF(Q409="Có","ℹ Kiểm tra ngoại suy KM","✓ Hợp lệ")))))</f>
        <v/>
      </c>
    </row>
    <row r="410">
      <c r="A410" s="16" t="n">
        <v>406</v>
      </c>
      <c r="B410" s="17" t="inlineStr">
        <is>
          <t>DEC-S40-BEVERAGES</t>
        </is>
      </c>
      <c r="C410" s="16" t="n">
        <v>40</v>
      </c>
      <c r="D410" s="17" t="inlineStr">
        <is>
          <t>BEVERAGES</t>
        </is>
      </c>
      <c r="E410" s="17" t="inlineStr">
        <is>
          <t>LOW</t>
        </is>
      </c>
      <c r="F410" s="17" t="inlineStr">
        <is>
          <t>TRUNG BÌNH</t>
        </is>
      </c>
      <c r="G410" s="18" t="inlineStr">
        <is>
          <t>RISK_LOW · LARGE_SERIES</t>
        </is>
      </c>
      <c r="H410" s="19" t="n">
        <v>62312.11177070312</v>
      </c>
      <c r="I410" s="19" t="n">
        <v>68991.84692382812</v>
      </c>
      <c r="J410" s="19" t="n">
        <v>81127.49145507812</v>
      </c>
      <c r="K410" s="19" t="n">
        <v>68991.84692382812</v>
      </c>
      <c r="L410" s="19" t="n">
        <v>76576.62475585938</v>
      </c>
      <c r="M410" s="19" t="n">
        <v>81127.49145507812</v>
      </c>
      <c r="N410" s="17" t="inlineStr">
        <is>
          <t>C</t>
        </is>
      </c>
      <c r="O410" s="19" t="n">
        <v>25934.01391601562</v>
      </c>
      <c r="P410" s="18" t="inlineStr">
        <is>
          <t>KHÔNG ĐỀ XUẤT TĂNG</t>
        </is>
      </c>
      <c r="Q410" s="17" t="inlineStr">
        <is>
          <t>Không</t>
        </is>
      </c>
      <c r="R410" s="20" t="n"/>
      <c r="S410" s="20" t="n"/>
      <c r="T410" s="21" t="n"/>
      <c r="U410" s="21" t="n"/>
      <c r="V410" s="22">
        <f>IF(U410="A",K410,IF(U410="B",L410,IF(U410="C",M410,IF(N410="A",K410,IF(N410="B",L410,M410)))))</f>
        <v/>
      </c>
      <c r="W410" s="22">
        <f>IF(R410="",O410,MAX(V410-R410-N(S410),0))</f>
        <v/>
      </c>
      <c r="X410" s="20" t="n"/>
      <c r="Y410" s="23">
        <f>IF(OR(X410="",W410=0),"",X410/W410-1)</f>
        <v/>
      </c>
      <c r="Z410" s="24" t="n"/>
      <c r="AA410" s="21" t="n"/>
      <c r="AB410" s="25" t="n"/>
      <c r="AC410" s="26">
        <f>IF(T410="","Chưa quyết định",IF(OR(Z410="",AA410=""),"⚠ Thiếu lý do/người duyệt",IF(AND(X410&lt;&gt;"",N(X410)+N(R410)+N(S410)&gt;M410*1.001,R410&lt;&gt;""),"⚠ Vượt mục tiêu P90",IF(AND(Y410&lt;&gt;"",ABS(N(Y410))&gt;0.3),"⚠ Lệch &gt; 30% so với nhu cầu",IF(Q410="Có","ℹ Kiểm tra ngoại suy KM","✓ Hợp lệ")))))</f>
        <v/>
      </c>
    </row>
    <row r="411">
      <c r="A411" s="16" t="n">
        <v>407</v>
      </c>
      <c r="B411" s="17" t="inlineStr">
        <is>
          <t>DEC-S24-GROCERY_I</t>
        </is>
      </c>
      <c r="C411" s="16" t="n">
        <v>24</v>
      </c>
      <c r="D411" s="17" t="inlineStr">
        <is>
          <t>GROCERY I</t>
        </is>
      </c>
      <c r="E411" s="17" t="inlineStr">
        <is>
          <t>LOW</t>
        </is>
      </c>
      <c r="F411" s="17" t="inlineStr">
        <is>
          <t>TRUNG BÌNH</t>
        </is>
      </c>
      <c r="G411" s="18" t="inlineStr">
        <is>
          <t>RISK_LOW · LARGE_SERIES</t>
        </is>
      </c>
      <c r="H411" s="19" t="n">
        <v>61082.67329414062</v>
      </c>
      <c r="I411" s="19" t="n">
        <v>67762.40844726562</v>
      </c>
      <c r="J411" s="19" t="n">
        <v>79898.05297851562</v>
      </c>
      <c r="K411" s="19" t="n">
        <v>67762.40844726562</v>
      </c>
      <c r="L411" s="19" t="n">
        <v>75347.18627929688</v>
      </c>
      <c r="M411" s="19" t="n">
        <v>79898.05297851562</v>
      </c>
      <c r="N411" s="17" t="inlineStr">
        <is>
          <t>C</t>
        </is>
      </c>
      <c r="O411" s="19" t="n">
        <v>25688.12622070312</v>
      </c>
      <c r="P411" s="18" t="inlineStr">
        <is>
          <t>KHÔNG ĐỀ XUẤT TĂNG</t>
        </is>
      </c>
      <c r="Q411" s="17" t="inlineStr">
        <is>
          <t>Không</t>
        </is>
      </c>
      <c r="R411" s="20" t="n"/>
      <c r="S411" s="20" t="n"/>
      <c r="T411" s="21" t="n"/>
      <c r="U411" s="21" t="n"/>
      <c r="V411" s="22">
        <f>IF(U411="A",K411,IF(U411="B",L411,IF(U411="C",M411,IF(N411="A",K411,IF(N411="B",L411,M411)))))</f>
        <v/>
      </c>
      <c r="W411" s="22">
        <f>IF(R411="",O411,MAX(V411-R411-N(S411),0))</f>
        <v/>
      </c>
      <c r="X411" s="20" t="n"/>
      <c r="Y411" s="23">
        <f>IF(OR(X411="",W411=0),"",X411/W411-1)</f>
        <v/>
      </c>
      <c r="Z411" s="24" t="n"/>
      <c r="AA411" s="21" t="n"/>
      <c r="AB411" s="25" t="n"/>
      <c r="AC411" s="26">
        <f>IF(T411="","Chưa quyết định",IF(OR(Z411="",AA411=""),"⚠ Thiếu lý do/người duyệt",IF(AND(X411&lt;&gt;"",N(X411)+N(R411)+N(S411)&gt;M411*1.001,R411&lt;&gt;""),"⚠ Vượt mục tiêu P90",IF(AND(Y411&lt;&gt;"",ABS(N(Y411))&gt;0.3),"⚠ Lệch &gt; 30% so với nhu cầu",IF(Q411="Có","ℹ Kiểm tra ngoại suy KM","✓ Hợp lệ")))))</f>
        <v/>
      </c>
    </row>
    <row r="412">
      <c r="A412" s="16" t="n">
        <v>408</v>
      </c>
      <c r="B412" s="17" t="inlineStr">
        <is>
          <t>DEC-S39-BEVERAGES</t>
        </is>
      </c>
      <c r="C412" s="16" t="n">
        <v>39</v>
      </c>
      <c r="D412" s="17" t="inlineStr">
        <is>
          <t>BEVERAGES</t>
        </is>
      </c>
      <c r="E412" s="17" t="inlineStr">
        <is>
          <t>LOW</t>
        </is>
      </c>
      <c r="F412" s="17" t="inlineStr">
        <is>
          <t>TRUNG BÌNH</t>
        </is>
      </c>
      <c r="G412" s="18" t="inlineStr">
        <is>
          <t>RISK_LOW · LARGE_SERIES</t>
        </is>
      </c>
      <c r="H412" s="19" t="n">
        <v>59651.25679023437</v>
      </c>
      <c r="I412" s="19" t="n">
        <v>66330.99194335938</v>
      </c>
      <c r="J412" s="19" t="n">
        <v>78466.63647460938</v>
      </c>
      <c r="K412" s="19" t="n">
        <v>66330.99194335938</v>
      </c>
      <c r="L412" s="19" t="n">
        <v>73915.76977539062</v>
      </c>
      <c r="M412" s="19" t="n">
        <v>78466.63647460938</v>
      </c>
      <c r="N412" s="17" t="inlineStr">
        <is>
          <t>C</t>
        </is>
      </c>
      <c r="O412" s="19" t="n">
        <v>25401.84291992188</v>
      </c>
      <c r="P412" s="18" t="inlineStr">
        <is>
          <t>KHÔNG ĐỀ XUẤT TĂNG</t>
        </is>
      </c>
      <c r="Q412" s="17" t="inlineStr">
        <is>
          <t>Không</t>
        </is>
      </c>
      <c r="R412" s="20" t="n"/>
      <c r="S412" s="20" t="n"/>
      <c r="T412" s="21" t="n"/>
      <c r="U412" s="21" t="n"/>
      <c r="V412" s="22">
        <f>IF(U412="A",K412,IF(U412="B",L412,IF(U412="C",M412,IF(N412="A",K412,IF(N412="B",L412,M412)))))</f>
        <v/>
      </c>
      <c r="W412" s="22">
        <f>IF(R412="",O412,MAX(V412-R412-N(S412),0))</f>
        <v/>
      </c>
      <c r="X412" s="20" t="n"/>
      <c r="Y412" s="23">
        <f>IF(OR(X412="",W412=0),"",X412/W412-1)</f>
        <v/>
      </c>
      <c r="Z412" s="24" t="n"/>
      <c r="AA412" s="21" t="n"/>
      <c r="AB412" s="25" t="n"/>
      <c r="AC412" s="26">
        <f>IF(T412="","Chưa quyết định",IF(OR(Z412="",AA412=""),"⚠ Thiếu lý do/người duyệt",IF(AND(X412&lt;&gt;"",N(X412)+N(R412)+N(S412)&gt;M412*1.001,R412&lt;&gt;""),"⚠ Vượt mục tiêu P90",IF(AND(Y412&lt;&gt;"",ABS(N(Y412))&gt;0.3),"⚠ Lệch &gt; 30% so với nhu cầu",IF(Q412="Có","ℹ Kiểm tra ngoại suy KM","✓ Hợp lệ")))))</f>
        <v/>
      </c>
    </row>
    <row r="413">
      <c r="A413" s="16" t="n">
        <v>409</v>
      </c>
      <c r="B413" s="17" t="inlineStr">
        <is>
          <t>DEC-S07-GROCERY_I</t>
        </is>
      </c>
      <c r="C413" s="16" t="n">
        <v>7</v>
      </c>
      <c r="D413" s="17" t="inlineStr">
        <is>
          <t>GROCERY I</t>
        </is>
      </c>
      <c r="E413" s="17" t="inlineStr">
        <is>
          <t>LOW</t>
        </is>
      </c>
      <c r="F413" s="17" t="inlineStr">
        <is>
          <t>TRUNG BÌNH</t>
        </is>
      </c>
      <c r="G413" s="18" t="inlineStr">
        <is>
          <t>RISK_LOW · LARGE_SERIES</t>
        </is>
      </c>
      <c r="H413" s="19" t="n">
        <v>59153.49580390625</v>
      </c>
      <c r="I413" s="19" t="n">
        <v>65833.23095703125</v>
      </c>
      <c r="J413" s="19" t="n">
        <v>77968.87548828125</v>
      </c>
      <c r="K413" s="19" t="n">
        <v>65833.23095703125</v>
      </c>
      <c r="L413" s="19" t="n">
        <v>73418.0087890625</v>
      </c>
      <c r="M413" s="19" t="n">
        <v>77968.87548828125</v>
      </c>
      <c r="N413" s="17" t="inlineStr">
        <is>
          <t>C</t>
        </is>
      </c>
      <c r="O413" s="19" t="n">
        <v>25302.29072265625</v>
      </c>
      <c r="P413" s="18" t="inlineStr">
        <is>
          <t>KHÔNG ĐỀ XUẤT TĂNG</t>
        </is>
      </c>
      <c r="Q413" s="17" t="inlineStr">
        <is>
          <t>Không</t>
        </is>
      </c>
      <c r="R413" s="20" t="n"/>
      <c r="S413" s="20" t="n"/>
      <c r="T413" s="21" t="n"/>
      <c r="U413" s="21" t="n"/>
      <c r="V413" s="22">
        <f>IF(U413="A",K413,IF(U413="B",L413,IF(U413="C",M413,IF(N413="A",K413,IF(N413="B",L413,M413)))))</f>
        <v/>
      </c>
      <c r="W413" s="22">
        <f>IF(R413="",O413,MAX(V413-R413-N(S413),0))</f>
        <v/>
      </c>
      <c r="X413" s="20" t="n"/>
      <c r="Y413" s="23">
        <f>IF(OR(X413="",W413=0),"",X413/W413-1)</f>
        <v/>
      </c>
      <c r="Z413" s="24" t="n"/>
      <c r="AA413" s="21" t="n"/>
      <c r="AB413" s="25" t="n"/>
      <c r="AC413" s="26">
        <f>IF(T413="","Chưa quyết định",IF(OR(Z413="",AA413=""),"⚠ Thiếu lý do/người duyệt",IF(AND(X413&lt;&gt;"",N(X413)+N(R413)+N(S413)&gt;M413*1.001,R413&lt;&gt;""),"⚠ Vượt mục tiêu P90",IF(AND(Y413&lt;&gt;"",ABS(N(Y413))&gt;0.3),"⚠ Lệch &gt; 30% so với nhu cầu",IF(Q413="Có","ℹ Kiểm tra ngoại suy KM","✓ Hợp lệ")))))</f>
        <v/>
      </c>
    </row>
    <row r="414">
      <c r="A414" s="16" t="n">
        <v>410</v>
      </c>
      <c r="B414" s="17" t="inlineStr">
        <is>
          <t>DEC-S07-BEVERAGES</t>
        </is>
      </c>
      <c r="C414" s="16" t="n">
        <v>7</v>
      </c>
      <c r="D414" s="17" t="inlineStr">
        <is>
          <t>BEVERAGES</t>
        </is>
      </c>
      <c r="E414" s="17" t="inlineStr">
        <is>
          <t>LOW</t>
        </is>
      </c>
      <c r="F414" s="17" t="inlineStr">
        <is>
          <t>TRUNG BÌNH</t>
        </is>
      </c>
      <c r="G414" s="18" t="inlineStr">
        <is>
          <t>RISK_LOW · LARGE_SERIES</t>
        </is>
      </c>
      <c r="H414" s="19" t="n">
        <v>58643.10932929687</v>
      </c>
      <c r="I414" s="19" t="n">
        <v>65322.84448242188</v>
      </c>
      <c r="J414" s="19" t="n">
        <v>77458.48901367188</v>
      </c>
      <c r="K414" s="19" t="n">
        <v>65322.84448242188</v>
      </c>
      <c r="L414" s="19" t="n">
        <v>72907.62231445312</v>
      </c>
      <c r="M414" s="19" t="n">
        <v>77458.48901367188</v>
      </c>
      <c r="N414" s="17" t="inlineStr">
        <is>
          <t>C</t>
        </is>
      </c>
      <c r="O414" s="19" t="n">
        <v>25200.21342773437</v>
      </c>
      <c r="P414" s="18" t="inlineStr">
        <is>
          <t>KHÔNG ĐỀ XUẤT TĂNG</t>
        </is>
      </c>
      <c r="Q414" s="17" t="inlineStr">
        <is>
          <t>Không</t>
        </is>
      </c>
      <c r="R414" s="20" t="n"/>
      <c r="S414" s="20" t="n"/>
      <c r="T414" s="21" t="n"/>
      <c r="U414" s="21" t="n"/>
      <c r="V414" s="22">
        <f>IF(U414="A",K414,IF(U414="B",L414,IF(U414="C",M414,IF(N414="A",K414,IF(N414="B",L414,M414)))))</f>
        <v/>
      </c>
      <c r="W414" s="22">
        <f>IF(R414="",O414,MAX(V414-R414-N(S414),0))</f>
        <v/>
      </c>
      <c r="X414" s="20" t="n"/>
      <c r="Y414" s="23">
        <f>IF(OR(X414="",W414=0),"",X414/W414-1)</f>
        <v/>
      </c>
      <c r="Z414" s="24" t="n"/>
      <c r="AA414" s="21" t="n"/>
      <c r="AB414" s="25" t="n"/>
      <c r="AC414" s="26">
        <f>IF(T414="","Chưa quyết định",IF(OR(Z414="",AA414=""),"⚠ Thiếu lý do/người duyệt",IF(AND(X414&lt;&gt;"",N(X414)+N(R414)+N(S414)&gt;M414*1.001,R414&lt;&gt;""),"⚠ Vượt mục tiêu P90",IF(AND(Y414&lt;&gt;"",ABS(N(Y414))&gt;0.3),"⚠ Lệch &gt; 30% so với nhu cầu",IF(Q414="Có","ℹ Kiểm tra ngoại suy KM","✓ Hợp lệ")))))</f>
        <v/>
      </c>
    </row>
    <row r="415">
      <c r="A415" s="16" t="n">
        <v>411</v>
      </c>
      <c r="B415" s="17" t="inlineStr">
        <is>
          <t>DEC-S29-GROCERY_I</t>
        </is>
      </c>
      <c r="C415" s="16" t="n">
        <v>29</v>
      </c>
      <c r="D415" s="17" t="inlineStr">
        <is>
          <t>GROCERY I</t>
        </is>
      </c>
      <c r="E415" s="17" t="inlineStr">
        <is>
          <t>LOW</t>
        </is>
      </c>
      <c r="F415" s="17" t="inlineStr">
        <is>
          <t>TRUNG BÌNH</t>
        </is>
      </c>
      <c r="G415" s="18" t="inlineStr">
        <is>
          <t>RISK_LOW · LARGE_SERIES</t>
        </is>
      </c>
      <c r="H415" s="19" t="n">
        <v>58328.0334015625</v>
      </c>
      <c r="I415" s="19" t="n">
        <v>65007.7685546875</v>
      </c>
      <c r="J415" s="19" t="n">
        <v>77143.4130859375</v>
      </c>
      <c r="K415" s="19" t="n">
        <v>65007.7685546875</v>
      </c>
      <c r="L415" s="19" t="n">
        <v>72592.54638671875</v>
      </c>
      <c r="M415" s="19" t="n">
        <v>77143.4130859375</v>
      </c>
      <c r="N415" s="17" t="inlineStr">
        <is>
          <t>C</t>
        </is>
      </c>
      <c r="O415" s="19" t="n">
        <v>25137.1982421875</v>
      </c>
      <c r="P415" s="18" t="inlineStr">
        <is>
          <t>KHÔNG ĐỀ XUẤT TĂNG</t>
        </is>
      </c>
      <c r="Q415" s="17" t="inlineStr">
        <is>
          <t>Không</t>
        </is>
      </c>
      <c r="R415" s="20" t="n"/>
      <c r="S415" s="20" t="n"/>
      <c r="T415" s="21" t="n"/>
      <c r="U415" s="21" t="n"/>
      <c r="V415" s="22">
        <f>IF(U415="A",K415,IF(U415="B",L415,IF(U415="C",M415,IF(N415="A",K415,IF(N415="B",L415,M415)))))</f>
        <v/>
      </c>
      <c r="W415" s="22">
        <f>IF(R415="",O415,MAX(V415-R415-N(S415),0))</f>
        <v/>
      </c>
      <c r="X415" s="20" t="n"/>
      <c r="Y415" s="23">
        <f>IF(OR(X415="",W415=0),"",X415/W415-1)</f>
        <v/>
      </c>
      <c r="Z415" s="24" t="n"/>
      <c r="AA415" s="21" t="n"/>
      <c r="AB415" s="25" t="n"/>
      <c r="AC415" s="26">
        <f>IF(T415="","Chưa quyết định",IF(OR(Z415="",AA415=""),"⚠ Thiếu lý do/người duyệt",IF(AND(X415&lt;&gt;"",N(X415)+N(R415)+N(S415)&gt;M415*1.001,R415&lt;&gt;""),"⚠ Vượt mục tiêu P90",IF(AND(Y415&lt;&gt;"",ABS(N(Y415))&gt;0.3),"⚠ Lệch &gt; 30% so với nhu cầu",IF(Q415="Có","ℹ Kiểm tra ngoại suy KM","✓ Hợp lệ")))))</f>
        <v/>
      </c>
    </row>
    <row r="416">
      <c r="A416" s="16" t="n">
        <v>412</v>
      </c>
      <c r="B416" s="17" t="inlineStr">
        <is>
          <t>DEC-S27-GROCERY_I</t>
        </is>
      </c>
      <c r="C416" s="16" t="n">
        <v>27</v>
      </c>
      <c r="D416" s="17" t="inlineStr">
        <is>
          <t>GROCERY I</t>
        </is>
      </c>
      <c r="E416" s="17" t="inlineStr">
        <is>
          <t>LOW</t>
        </is>
      </c>
      <c r="F416" s="17" t="inlineStr">
        <is>
          <t>TRUNG BÌNH</t>
        </is>
      </c>
      <c r="G416" s="18" t="inlineStr">
        <is>
          <t>RISK_LOW · LARGE_SERIES</t>
        </is>
      </c>
      <c r="H416" s="19" t="n">
        <v>58242.12544257812</v>
      </c>
      <c r="I416" s="19" t="n">
        <v>64921.86059570312</v>
      </c>
      <c r="J416" s="19" t="n">
        <v>77057.50512695312</v>
      </c>
      <c r="K416" s="19" t="n">
        <v>64921.86059570312</v>
      </c>
      <c r="L416" s="19" t="n">
        <v>72506.63842773438</v>
      </c>
      <c r="M416" s="19" t="n">
        <v>77057.50512695312</v>
      </c>
      <c r="N416" s="17" t="inlineStr">
        <is>
          <t>C</t>
        </is>
      </c>
      <c r="O416" s="19" t="n">
        <v>25120.01665039063</v>
      </c>
      <c r="P416" s="18" t="inlineStr">
        <is>
          <t>KHÔNG ĐỀ XUẤT TĂNG</t>
        </is>
      </c>
      <c r="Q416" s="17" t="inlineStr">
        <is>
          <t>Không</t>
        </is>
      </c>
      <c r="R416" s="20" t="n"/>
      <c r="S416" s="20" t="n"/>
      <c r="T416" s="21" t="n"/>
      <c r="U416" s="21" t="n"/>
      <c r="V416" s="22">
        <f>IF(U416="A",K416,IF(U416="B",L416,IF(U416="C",M416,IF(N416="A",K416,IF(N416="B",L416,M416)))))</f>
        <v/>
      </c>
      <c r="W416" s="22">
        <f>IF(R416="",O416,MAX(V416-R416-N(S416),0))</f>
        <v/>
      </c>
      <c r="X416" s="20" t="n"/>
      <c r="Y416" s="23">
        <f>IF(OR(X416="",W416=0),"",X416/W416-1)</f>
        <v/>
      </c>
      <c r="Z416" s="24" t="n"/>
      <c r="AA416" s="21" t="n"/>
      <c r="AB416" s="25" t="n"/>
      <c r="AC416" s="26">
        <f>IF(T416="","Chưa quyết định",IF(OR(Z416="",AA416=""),"⚠ Thiếu lý do/người duyệt",IF(AND(X416&lt;&gt;"",N(X416)+N(R416)+N(S416)&gt;M416*1.001,R416&lt;&gt;""),"⚠ Vượt mục tiêu P90",IF(AND(Y416&lt;&gt;"",ABS(N(Y416))&gt;0.3),"⚠ Lệch &gt; 30% so với nhu cầu",IF(Q416="Có","ℹ Kiểm tra ngoại suy KM","✓ Hợp lệ")))))</f>
        <v/>
      </c>
    </row>
    <row r="417">
      <c r="A417" s="16" t="n">
        <v>413</v>
      </c>
      <c r="B417" s="17" t="inlineStr">
        <is>
          <t>DEC-S34-GROCERY_I</t>
        </is>
      </c>
      <c r="C417" s="16" t="n">
        <v>34</v>
      </c>
      <c r="D417" s="17" t="inlineStr">
        <is>
          <t>GROCERY I</t>
        </is>
      </c>
      <c r="E417" s="17" t="inlineStr">
        <is>
          <t>LOW</t>
        </is>
      </c>
      <c r="F417" s="17" t="inlineStr">
        <is>
          <t>TRUNG BÌNH</t>
        </is>
      </c>
      <c r="G417" s="18" t="inlineStr">
        <is>
          <t>RISK_LOW · LARGE_SERIES</t>
        </is>
      </c>
      <c r="H417" s="19" t="n">
        <v>57687.84272773437</v>
      </c>
      <c r="I417" s="19" t="n">
        <v>64367.57788085938</v>
      </c>
      <c r="J417" s="19" t="n">
        <v>76503.22241210938</v>
      </c>
      <c r="K417" s="19" t="n">
        <v>64367.57788085938</v>
      </c>
      <c r="L417" s="19" t="n">
        <v>71952.35571289062</v>
      </c>
      <c r="M417" s="19" t="n">
        <v>76503.22241210938</v>
      </c>
      <c r="N417" s="17" t="inlineStr">
        <is>
          <t>C</t>
        </is>
      </c>
      <c r="O417" s="19" t="n">
        <v>25009.16010742187</v>
      </c>
      <c r="P417" s="18" t="inlineStr">
        <is>
          <t>KHÔNG ĐỀ XUẤT TĂNG</t>
        </is>
      </c>
      <c r="Q417" s="17" t="inlineStr">
        <is>
          <t>Không</t>
        </is>
      </c>
      <c r="R417" s="20" t="n"/>
      <c r="S417" s="20" t="n"/>
      <c r="T417" s="21" t="n"/>
      <c r="U417" s="21" t="n"/>
      <c r="V417" s="22">
        <f>IF(U417="A",K417,IF(U417="B",L417,IF(U417="C",M417,IF(N417="A",K417,IF(N417="B",L417,M417)))))</f>
        <v/>
      </c>
      <c r="W417" s="22">
        <f>IF(R417="",O417,MAX(V417-R417-N(S417),0))</f>
        <v/>
      </c>
      <c r="X417" s="20" t="n"/>
      <c r="Y417" s="23">
        <f>IF(OR(X417="",W417=0),"",X417/W417-1)</f>
        <v/>
      </c>
      <c r="Z417" s="24" t="n"/>
      <c r="AA417" s="21" t="n"/>
      <c r="AB417" s="25" t="n"/>
      <c r="AC417" s="26">
        <f>IF(T417="","Chưa quyết định",IF(OR(Z417="",AA417=""),"⚠ Thiếu lý do/người duyệt",IF(AND(X417&lt;&gt;"",N(X417)+N(R417)+N(S417)&gt;M417*1.001,R417&lt;&gt;""),"⚠ Vượt mục tiêu P90",IF(AND(Y417&lt;&gt;"",ABS(N(Y417))&gt;0.3),"⚠ Lệch &gt; 30% so với nhu cầu",IF(Q417="Có","ℹ Kiểm tra ngoại suy KM","✓ Hợp lệ")))))</f>
        <v/>
      </c>
    </row>
    <row r="418">
      <c r="A418" s="16" t="n">
        <v>414</v>
      </c>
      <c r="B418" s="17" t="inlineStr">
        <is>
          <t>DEC-S38-GROCERY_I</t>
        </is>
      </c>
      <c r="C418" s="16" t="n">
        <v>38</v>
      </c>
      <c r="D418" s="17" t="inlineStr">
        <is>
          <t>GROCERY I</t>
        </is>
      </c>
      <c r="E418" s="17" t="inlineStr">
        <is>
          <t>LOW</t>
        </is>
      </c>
      <c r="F418" s="17" t="inlineStr">
        <is>
          <t>TRUNG BÌNH</t>
        </is>
      </c>
      <c r="G418" s="18" t="inlineStr">
        <is>
          <t>RISK_LOW · LARGE_SERIES</t>
        </is>
      </c>
      <c r="H418" s="19" t="n">
        <v>57518.64643867187</v>
      </c>
      <c r="I418" s="19" t="n">
        <v>64198.38159179688</v>
      </c>
      <c r="J418" s="19" t="n">
        <v>76334.02612304688</v>
      </c>
      <c r="K418" s="19" t="n">
        <v>64198.38159179688</v>
      </c>
      <c r="L418" s="19" t="n">
        <v>71783.15942382812</v>
      </c>
      <c r="M418" s="19" t="n">
        <v>76334.02612304688</v>
      </c>
      <c r="N418" s="17" t="inlineStr">
        <is>
          <t>C</t>
        </is>
      </c>
      <c r="O418" s="19" t="n">
        <v>24975.32084960937</v>
      </c>
      <c r="P418" s="18" t="inlineStr">
        <is>
          <t>KHÔNG ĐỀ XUẤT TĂNG</t>
        </is>
      </c>
      <c r="Q418" s="17" t="inlineStr">
        <is>
          <t>Không</t>
        </is>
      </c>
      <c r="R418" s="20" t="n"/>
      <c r="S418" s="20" t="n"/>
      <c r="T418" s="21" t="n"/>
      <c r="U418" s="21" t="n"/>
      <c r="V418" s="22">
        <f>IF(U418="A",K418,IF(U418="B",L418,IF(U418="C",M418,IF(N418="A",K418,IF(N418="B",L418,M418)))))</f>
        <v/>
      </c>
      <c r="W418" s="22">
        <f>IF(R418="",O418,MAX(V418-R418-N(S418),0))</f>
        <v/>
      </c>
      <c r="X418" s="20" t="n"/>
      <c r="Y418" s="23">
        <f>IF(OR(X418="",W418=0),"",X418/W418-1)</f>
        <v/>
      </c>
      <c r="Z418" s="24" t="n"/>
      <c r="AA418" s="21" t="n"/>
      <c r="AB418" s="25" t="n"/>
      <c r="AC418" s="26">
        <f>IF(T418="","Chưa quyết định",IF(OR(Z418="",AA418=""),"⚠ Thiếu lý do/người duyệt",IF(AND(X418&lt;&gt;"",N(X418)+N(R418)+N(S418)&gt;M418*1.001,R418&lt;&gt;""),"⚠ Vượt mục tiêu P90",IF(AND(Y418&lt;&gt;"",ABS(N(Y418))&gt;0.3),"⚠ Lệch &gt; 30% so với nhu cầu",IF(Q418="Có","ℹ Kiểm tra ngoại suy KM","✓ Hợp lệ")))))</f>
        <v/>
      </c>
    </row>
    <row r="419">
      <c r="A419" s="16" t="n">
        <v>415</v>
      </c>
      <c r="B419" s="17" t="inlineStr">
        <is>
          <t>DEC-S41-GROCERY_I</t>
        </is>
      </c>
      <c r="C419" s="16" t="n">
        <v>41</v>
      </c>
      <c r="D419" s="17" t="inlineStr">
        <is>
          <t>GROCERY I</t>
        </is>
      </c>
      <c r="E419" s="17" t="inlineStr">
        <is>
          <t>LOW</t>
        </is>
      </c>
      <c r="F419" s="17" t="inlineStr">
        <is>
          <t>TRUNG BÌNH</t>
        </is>
      </c>
      <c r="G419" s="18" t="inlineStr">
        <is>
          <t>RISK_LOW · LARGE_SERIES</t>
        </is>
      </c>
      <c r="H419" s="19" t="n">
        <v>57371.88642890625</v>
      </c>
      <c r="I419" s="19" t="n">
        <v>64051.62158203125</v>
      </c>
      <c r="J419" s="19" t="n">
        <v>76187.26611328125</v>
      </c>
      <c r="K419" s="19" t="n">
        <v>64051.62158203125</v>
      </c>
      <c r="L419" s="19" t="n">
        <v>71636.3994140625</v>
      </c>
      <c r="M419" s="19" t="n">
        <v>76187.26611328125</v>
      </c>
      <c r="N419" s="17" t="inlineStr">
        <is>
          <t>C</t>
        </is>
      </c>
      <c r="O419" s="19" t="n">
        <v>24945.96884765624</v>
      </c>
      <c r="P419" s="18" t="inlineStr">
        <is>
          <t>KHÔNG ĐỀ XUẤT TĂNG</t>
        </is>
      </c>
      <c r="Q419" s="17" t="inlineStr">
        <is>
          <t>Không</t>
        </is>
      </c>
      <c r="R419" s="20" t="n"/>
      <c r="S419" s="20" t="n"/>
      <c r="T419" s="21" t="n"/>
      <c r="U419" s="21" t="n"/>
      <c r="V419" s="22">
        <f>IF(U419="A",K419,IF(U419="B",L419,IF(U419="C",M419,IF(N419="A",K419,IF(N419="B",L419,M419)))))</f>
        <v/>
      </c>
      <c r="W419" s="22">
        <f>IF(R419="",O419,MAX(V419-R419-N(S419),0))</f>
        <v/>
      </c>
      <c r="X419" s="20" t="n"/>
      <c r="Y419" s="23">
        <f>IF(OR(X419="",W419=0),"",X419/W419-1)</f>
        <v/>
      </c>
      <c r="Z419" s="24" t="n"/>
      <c r="AA419" s="21" t="n"/>
      <c r="AB419" s="25" t="n"/>
      <c r="AC419" s="26">
        <f>IF(T419="","Chưa quyết định",IF(OR(Z419="",AA419=""),"⚠ Thiếu lý do/người duyệt",IF(AND(X419&lt;&gt;"",N(X419)+N(R419)+N(S419)&gt;M419*1.001,R419&lt;&gt;""),"⚠ Vượt mục tiêu P90",IF(AND(Y419&lt;&gt;"",ABS(N(Y419))&gt;0.3),"⚠ Lệch &gt; 30% so với nhu cầu",IF(Q419="Có","ℹ Kiểm tra ngoại suy KM","✓ Hợp lệ")))))</f>
        <v/>
      </c>
    </row>
    <row r="420">
      <c r="A420" s="16" t="n">
        <v>416</v>
      </c>
      <c r="B420" s="17" t="inlineStr">
        <is>
          <t>DEC-S37-GROCERY_I</t>
        </is>
      </c>
      <c r="C420" s="16" t="n">
        <v>37</v>
      </c>
      <c r="D420" s="17" t="inlineStr">
        <is>
          <t>GROCERY I</t>
        </is>
      </c>
      <c r="E420" s="17" t="inlineStr">
        <is>
          <t>LOW</t>
        </is>
      </c>
      <c r="F420" s="17" t="inlineStr">
        <is>
          <t>TRUNG BÌNH</t>
        </is>
      </c>
      <c r="G420" s="18" t="inlineStr">
        <is>
          <t>RISK_LOW · LARGE_SERIES</t>
        </is>
      </c>
      <c r="H420" s="19" t="n">
        <v>55358.89131171875</v>
      </c>
      <c r="I420" s="19" t="n">
        <v>62038.62646484375</v>
      </c>
      <c r="J420" s="19" t="n">
        <v>74174.27099609375</v>
      </c>
      <c r="K420" s="19" t="n">
        <v>62038.62646484375</v>
      </c>
      <c r="L420" s="19" t="n">
        <v>69623.404296875</v>
      </c>
      <c r="M420" s="19" t="n">
        <v>74174.27099609375</v>
      </c>
      <c r="N420" s="17" t="inlineStr">
        <is>
          <t>C</t>
        </is>
      </c>
      <c r="O420" s="19" t="n">
        <v>24543.36982421875</v>
      </c>
      <c r="P420" s="18" t="inlineStr">
        <is>
          <t>KHÔNG ĐỀ XUẤT TĂNG</t>
        </is>
      </c>
      <c r="Q420" s="17" t="inlineStr">
        <is>
          <t>Không</t>
        </is>
      </c>
      <c r="R420" s="20" t="n"/>
      <c r="S420" s="20" t="n"/>
      <c r="T420" s="21" t="n"/>
      <c r="U420" s="21" t="n"/>
      <c r="V420" s="22">
        <f>IF(U420="A",K420,IF(U420="B",L420,IF(U420="C",M420,IF(N420="A",K420,IF(N420="B",L420,M420)))))</f>
        <v/>
      </c>
      <c r="W420" s="22">
        <f>IF(R420="",O420,MAX(V420-R420-N(S420),0))</f>
        <v/>
      </c>
      <c r="X420" s="20" t="n"/>
      <c r="Y420" s="23">
        <f>IF(OR(X420="",W420=0),"",X420/W420-1)</f>
        <v/>
      </c>
      <c r="Z420" s="24" t="n"/>
      <c r="AA420" s="21" t="n"/>
      <c r="AB420" s="25" t="n"/>
      <c r="AC420" s="26">
        <f>IF(T420="","Chưa quyết định",IF(OR(Z420="",AA420=""),"⚠ Thiếu lý do/người duyệt",IF(AND(X420&lt;&gt;"",N(X420)+N(R420)+N(S420)&gt;M420*1.001,R420&lt;&gt;""),"⚠ Vượt mục tiêu P90",IF(AND(Y420&lt;&gt;"",ABS(N(Y420))&gt;0.3),"⚠ Lệch &gt; 30% so với nhu cầu",IF(Q420="Có","ℹ Kiểm tra ngoại suy KM","✓ Hợp lệ")))))</f>
        <v/>
      </c>
    </row>
    <row r="421">
      <c r="A421" s="16" t="n">
        <v>417</v>
      </c>
      <c r="B421" s="17" t="inlineStr">
        <is>
          <t>DEC-S36-GROCERY_I</t>
        </is>
      </c>
      <c r="C421" s="16" t="n">
        <v>36</v>
      </c>
      <c r="D421" s="17" t="inlineStr">
        <is>
          <t>GROCERY I</t>
        </is>
      </c>
      <c r="E421" s="17" t="inlineStr">
        <is>
          <t>LOW</t>
        </is>
      </c>
      <c r="F421" s="17" t="inlineStr">
        <is>
          <t>TRUNG BÌNH</t>
        </is>
      </c>
      <c r="G421" s="18" t="inlineStr">
        <is>
          <t>RISK_LOW · LARGE_SERIES</t>
        </is>
      </c>
      <c r="H421" s="19" t="n">
        <v>54400.09907539062</v>
      </c>
      <c r="I421" s="19" t="n">
        <v>61079.83422851562</v>
      </c>
      <c r="J421" s="19" t="n">
        <v>73215.47875976562</v>
      </c>
      <c r="K421" s="19" t="n">
        <v>61079.83422851562</v>
      </c>
      <c r="L421" s="19" t="n">
        <v>68664.61206054688</v>
      </c>
      <c r="M421" s="19" t="n">
        <v>73215.47875976562</v>
      </c>
      <c r="N421" s="17" t="inlineStr">
        <is>
          <t>C</t>
        </is>
      </c>
      <c r="O421" s="19" t="n">
        <v>24351.61137695312</v>
      </c>
      <c r="P421" s="18" t="inlineStr">
        <is>
          <t>KHÔNG ĐỀ XUẤT TĂNG</t>
        </is>
      </c>
      <c r="Q421" s="17" t="inlineStr">
        <is>
          <t>Không</t>
        </is>
      </c>
      <c r="R421" s="20" t="n"/>
      <c r="S421" s="20" t="n"/>
      <c r="T421" s="21" t="n"/>
      <c r="U421" s="21" t="n"/>
      <c r="V421" s="22">
        <f>IF(U421="A",K421,IF(U421="B",L421,IF(U421="C",M421,IF(N421="A",K421,IF(N421="B",L421,M421)))))</f>
        <v/>
      </c>
      <c r="W421" s="22">
        <f>IF(R421="",O421,MAX(V421-R421-N(S421),0))</f>
        <v/>
      </c>
      <c r="X421" s="20" t="n"/>
      <c r="Y421" s="23">
        <f>IF(OR(X421="",W421=0),"",X421/W421-1)</f>
        <v/>
      </c>
      <c r="Z421" s="24" t="n"/>
      <c r="AA421" s="21" t="n"/>
      <c r="AB421" s="25" t="n"/>
      <c r="AC421" s="26">
        <f>IF(T421="","Chưa quyết định",IF(OR(Z421="",AA421=""),"⚠ Thiếu lý do/người duyệt",IF(AND(X421&lt;&gt;"",N(X421)+N(R421)+N(S421)&gt;M421*1.001,R421&lt;&gt;""),"⚠ Vượt mục tiêu P90",IF(AND(Y421&lt;&gt;"",ABS(N(Y421))&gt;0.3),"⚠ Lệch &gt; 30% so với nhu cầu",IF(Q421="Có","ℹ Kiểm tra ngoại suy KM","✓ Hợp lệ")))))</f>
        <v/>
      </c>
    </row>
    <row r="422">
      <c r="A422" s="16" t="n">
        <v>418</v>
      </c>
      <c r="B422" s="17" t="inlineStr">
        <is>
          <t>DEC-S24-PRODUCE</t>
        </is>
      </c>
      <c r="C422" s="16" t="n">
        <v>24</v>
      </c>
      <c r="D422" s="17" t="inlineStr">
        <is>
          <t>PRODUCE</t>
        </is>
      </c>
      <c r="E422" s="17" t="inlineStr">
        <is>
          <t>LOW</t>
        </is>
      </c>
      <c r="F422" s="17" t="inlineStr">
        <is>
          <t>TRUNG BÌNH</t>
        </is>
      </c>
      <c r="G422" s="18" t="inlineStr">
        <is>
          <t>RISK_LOW · LARGE_SERIES</t>
        </is>
      </c>
      <c r="H422" s="19" t="n">
        <v>54362.03096015625</v>
      </c>
      <c r="I422" s="19" t="n">
        <v>61041.76611328125</v>
      </c>
      <c r="J422" s="19" t="n">
        <v>73177.41064453125</v>
      </c>
      <c r="K422" s="19" t="n">
        <v>61041.76611328125</v>
      </c>
      <c r="L422" s="19" t="n">
        <v>68626.5439453125</v>
      </c>
      <c r="M422" s="19" t="n">
        <v>73177.41064453125</v>
      </c>
      <c r="N422" s="17" t="inlineStr">
        <is>
          <t>C</t>
        </is>
      </c>
      <c r="O422" s="19" t="n">
        <v>24343.99775390625</v>
      </c>
      <c r="P422" s="18" t="inlineStr">
        <is>
          <t>KHÔNG ĐỀ XUẤT TĂNG</t>
        </is>
      </c>
      <c r="Q422" s="17" t="inlineStr">
        <is>
          <t>Không</t>
        </is>
      </c>
      <c r="R422" s="20" t="n"/>
      <c r="S422" s="20" t="n"/>
      <c r="T422" s="21" t="n"/>
      <c r="U422" s="21" t="n"/>
      <c r="V422" s="22">
        <f>IF(U422="A",K422,IF(U422="B",L422,IF(U422="C",M422,IF(N422="A",K422,IF(N422="B",L422,M422)))))</f>
        <v/>
      </c>
      <c r="W422" s="22">
        <f>IF(R422="",O422,MAX(V422-R422-N(S422),0))</f>
        <v/>
      </c>
      <c r="X422" s="20" t="n"/>
      <c r="Y422" s="23">
        <f>IF(OR(X422="",W422=0),"",X422/W422-1)</f>
        <v/>
      </c>
      <c r="Z422" s="24" t="n"/>
      <c r="AA422" s="21" t="n"/>
      <c r="AB422" s="25" t="n"/>
      <c r="AC422" s="26">
        <f>IF(T422="","Chưa quyết định",IF(OR(Z422="",AA422=""),"⚠ Thiếu lý do/người duyệt",IF(AND(X422&lt;&gt;"",N(X422)+N(R422)+N(S422)&gt;M422*1.001,R422&lt;&gt;""),"⚠ Vượt mục tiêu P90",IF(AND(Y422&lt;&gt;"",ABS(N(Y422))&gt;0.3),"⚠ Lệch &gt; 30% so với nhu cầu",IF(Q422="Có","ℹ Kiểm tra ngoại suy KM","✓ Hợp lệ")))))</f>
        <v/>
      </c>
    </row>
    <row r="423">
      <c r="A423" s="16" t="n">
        <v>419</v>
      </c>
      <c r="B423" s="17" t="inlineStr">
        <is>
          <t>DEC-S09-BEVERAGES</t>
        </is>
      </c>
      <c r="C423" s="16" t="n">
        <v>9</v>
      </c>
      <c r="D423" s="17" t="inlineStr">
        <is>
          <t>BEVERAGES</t>
        </is>
      </c>
      <c r="E423" s="17" t="inlineStr">
        <is>
          <t>LOW</t>
        </is>
      </c>
      <c r="F423" s="17" t="inlineStr">
        <is>
          <t>TRUNG BÌNH</t>
        </is>
      </c>
      <c r="G423" s="18" t="inlineStr">
        <is>
          <t>RISK_LOW · LARGE_SERIES</t>
        </is>
      </c>
      <c r="H423" s="19" t="n">
        <v>52668.40571601562</v>
      </c>
      <c r="I423" s="19" t="n">
        <v>59348.14086914063</v>
      </c>
      <c r="J423" s="19" t="n">
        <v>71483.78540039062</v>
      </c>
      <c r="K423" s="19" t="n">
        <v>59348.14086914063</v>
      </c>
      <c r="L423" s="19" t="n">
        <v>66932.91870117188</v>
      </c>
      <c r="M423" s="19" t="n">
        <v>71483.78540039062</v>
      </c>
      <c r="N423" s="17" t="inlineStr">
        <is>
          <t>C</t>
        </is>
      </c>
      <c r="O423" s="19" t="n">
        <v>24005.27270507812</v>
      </c>
      <c r="P423" s="18" t="inlineStr">
        <is>
          <t>KHÔNG ĐỀ XUẤT TĂNG</t>
        </is>
      </c>
      <c r="Q423" s="17" t="inlineStr">
        <is>
          <t>Không</t>
        </is>
      </c>
      <c r="R423" s="20" t="n"/>
      <c r="S423" s="20" t="n"/>
      <c r="T423" s="21" t="n"/>
      <c r="U423" s="21" t="n"/>
      <c r="V423" s="22">
        <f>IF(U423="A",K423,IF(U423="B",L423,IF(U423="C",M423,IF(N423="A",K423,IF(N423="B",L423,M423)))))</f>
        <v/>
      </c>
      <c r="W423" s="22">
        <f>IF(R423="",O423,MAX(V423-R423-N(S423),0))</f>
        <v/>
      </c>
      <c r="X423" s="20" t="n"/>
      <c r="Y423" s="23">
        <f>IF(OR(X423="",W423=0),"",X423/W423-1)</f>
        <v/>
      </c>
      <c r="Z423" s="24" t="n"/>
      <c r="AA423" s="21" t="n"/>
      <c r="AB423" s="25" t="n"/>
      <c r="AC423" s="26">
        <f>IF(T423="","Chưa quyết định",IF(OR(Z423="",AA423=""),"⚠ Thiếu lý do/người duyệt",IF(AND(X423&lt;&gt;"",N(X423)+N(R423)+N(S423)&gt;M423*1.001,R423&lt;&gt;""),"⚠ Vượt mục tiêu P90",IF(AND(Y423&lt;&gt;"",ABS(N(Y423))&gt;0.3),"⚠ Lệch &gt; 30% so với nhu cầu",IF(Q423="Có","ℹ Kiểm tra ngoại suy KM","✓ Hợp lệ")))))</f>
        <v/>
      </c>
    </row>
    <row r="424">
      <c r="A424" s="16" t="n">
        <v>420</v>
      </c>
      <c r="B424" s="17" t="inlineStr">
        <is>
          <t>DEC-S06-BEVERAGES</t>
        </is>
      </c>
      <c r="C424" s="16" t="n">
        <v>6</v>
      </c>
      <c r="D424" s="17" t="inlineStr">
        <is>
          <t>BEVERAGES</t>
        </is>
      </c>
      <c r="E424" s="17" t="inlineStr">
        <is>
          <t>LOW</t>
        </is>
      </c>
      <c r="F424" s="17" t="inlineStr">
        <is>
          <t>TRUNG BÌNH</t>
        </is>
      </c>
      <c r="G424" s="18" t="inlineStr">
        <is>
          <t>RISK_LOW · LARGE_SERIES</t>
        </is>
      </c>
      <c r="H424" s="19" t="n">
        <v>52174.37690742187</v>
      </c>
      <c r="I424" s="19" t="n">
        <v>58854.11206054688</v>
      </c>
      <c r="J424" s="19" t="n">
        <v>70989.75659179688</v>
      </c>
      <c r="K424" s="19" t="n">
        <v>58854.11206054688</v>
      </c>
      <c r="L424" s="19" t="n">
        <v>66438.88989257812</v>
      </c>
      <c r="M424" s="19" t="n">
        <v>70989.75659179688</v>
      </c>
      <c r="N424" s="17" t="inlineStr">
        <is>
          <t>C</t>
        </is>
      </c>
      <c r="O424" s="19" t="n">
        <v>23906.46694335937</v>
      </c>
      <c r="P424" s="18" t="inlineStr">
        <is>
          <t>KHÔNG ĐỀ XUẤT TĂNG</t>
        </is>
      </c>
      <c r="Q424" s="17" t="inlineStr">
        <is>
          <t>Không</t>
        </is>
      </c>
      <c r="R424" s="20" t="n"/>
      <c r="S424" s="20" t="n"/>
      <c r="T424" s="21" t="n"/>
      <c r="U424" s="21" t="n"/>
      <c r="V424" s="22">
        <f>IF(U424="A",K424,IF(U424="B",L424,IF(U424="C",M424,IF(N424="A",K424,IF(N424="B",L424,M424)))))</f>
        <v/>
      </c>
      <c r="W424" s="22">
        <f>IF(R424="",O424,MAX(V424-R424-N(S424),0))</f>
        <v/>
      </c>
      <c r="X424" s="20" t="n"/>
      <c r="Y424" s="23">
        <f>IF(OR(X424="",W424=0),"",X424/W424-1)</f>
        <v/>
      </c>
      <c r="Z424" s="24" t="n"/>
      <c r="AA424" s="21" t="n"/>
      <c r="AB424" s="25" t="n"/>
      <c r="AC424" s="26">
        <f>IF(T424="","Chưa quyết định",IF(OR(Z424="",AA424=""),"⚠ Thiếu lý do/người duyệt",IF(AND(X424&lt;&gt;"",N(X424)+N(R424)+N(S424)&gt;M424*1.001,R424&lt;&gt;""),"⚠ Vượt mục tiêu P90",IF(AND(Y424&lt;&gt;"",ABS(N(Y424))&gt;0.3),"⚠ Lệch &gt; 30% so với nhu cầu",IF(Q424="Có","ℹ Kiểm tra ngoại suy KM","✓ Hợp lệ")))))</f>
        <v/>
      </c>
    </row>
    <row r="425">
      <c r="A425" s="16" t="n">
        <v>421</v>
      </c>
      <c r="B425" s="17" t="inlineStr">
        <is>
          <t>DEC-S20-BEVERAGES</t>
        </is>
      </c>
      <c r="C425" s="16" t="n">
        <v>20</v>
      </c>
      <c r="D425" s="17" t="inlineStr">
        <is>
          <t>BEVERAGES</t>
        </is>
      </c>
      <c r="E425" s="17" t="inlineStr">
        <is>
          <t>LOW</t>
        </is>
      </c>
      <c r="F425" s="17" t="inlineStr">
        <is>
          <t>TRUNG BÌNH</t>
        </is>
      </c>
      <c r="G425" s="18" t="inlineStr">
        <is>
          <t>RISK_LOW · LARGE_SERIES</t>
        </is>
      </c>
      <c r="H425" s="19" t="n">
        <v>51720.60200507812</v>
      </c>
      <c r="I425" s="19" t="n">
        <v>58400.33715820312</v>
      </c>
      <c r="J425" s="19" t="n">
        <v>70535.98168945312</v>
      </c>
      <c r="K425" s="19" t="n">
        <v>58400.33715820312</v>
      </c>
      <c r="L425" s="19" t="n">
        <v>65985.11499023438</v>
      </c>
      <c r="M425" s="19" t="n">
        <v>70535.98168945312</v>
      </c>
      <c r="N425" s="17" t="inlineStr">
        <is>
          <t>C</t>
        </is>
      </c>
      <c r="O425" s="19" t="n">
        <v>23815.71196289063</v>
      </c>
      <c r="P425" s="18" t="inlineStr">
        <is>
          <t>KHÔNG ĐỀ XUẤT TĂNG</t>
        </is>
      </c>
      <c r="Q425" s="17" t="inlineStr">
        <is>
          <t>Không</t>
        </is>
      </c>
      <c r="R425" s="20" t="n"/>
      <c r="S425" s="20" t="n"/>
      <c r="T425" s="21" t="n"/>
      <c r="U425" s="21" t="n"/>
      <c r="V425" s="22">
        <f>IF(U425="A",K425,IF(U425="B",L425,IF(U425="C",M425,IF(N425="A",K425,IF(N425="B",L425,M425)))))</f>
        <v/>
      </c>
      <c r="W425" s="22">
        <f>IF(R425="",O425,MAX(V425-R425-N(S425),0))</f>
        <v/>
      </c>
      <c r="X425" s="20" t="n"/>
      <c r="Y425" s="23">
        <f>IF(OR(X425="",W425=0),"",X425/W425-1)</f>
        <v/>
      </c>
      <c r="Z425" s="24" t="n"/>
      <c r="AA425" s="21" t="n"/>
      <c r="AB425" s="25" t="n"/>
      <c r="AC425" s="26">
        <f>IF(T425="","Chưa quyết định",IF(OR(Z425="",AA425=""),"⚠ Thiếu lý do/người duyệt",IF(AND(X425&lt;&gt;"",N(X425)+N(R425)+N(S425)&gt;M425*1.001,R425&lt;&gt;""),"⚠ Vượt mục tiêu P90",IF(AND(Y425&lt;&gt;"",ABS(N(Y425))&gt;0.3),"⚠ Lệch &gt; 30% so với nhu cầu",IF(Q425="Có","ℹ Kiểm tra ngoại suy KM","✓ Hợp lệ")))))</f>
        <v/>
      </c>
    </row>
    <row r="426">
      <c r="A426" s="16" t="n">
        <v>422</v>
      </c>
      <c r="B426" s="17" t="inlineStr">
        <is>
          <t>DEC-S28-BEVERAGES</t>
        </is>
      </c>
      <c r="C426" s="16" t="n">
        <v>28</v>
      </c>
      <c r="D426" s="17" t="inlineStr">
        <is>
          <t>BEVERAGES</t>
        </is>
      </c>
      <c r="E426" s="17" t="inlineStr">
        <is>
          <t>LOW</t>
        </is>
      </c>
      <c r="F426" s="17" t="inlineStr">
        <is>
          <t>TRUNG BÌNH</t>
        </is>
      </c>
      <c r="G426" s="18" t="inlineStr">
        <is>
          <t>RISK_LOW · LARGE_SERIES</t>
        </is>
      </c>
      <c r="H426" s="19" t="n">
        <v>51675.93232734375</v>
      </c>
      <c r="I426" s="19" t="n">
        <v>58355.66748046875</v>
      </c>
      <c r="J426" s="19" t="n">
        <v>70491.31201171875</v>
      </c>
      <c r="K426" s="19" t="n">
        <v>58355.66748046875</v>
      </c>
      <c r="L426" s="19" t="n">
        <v>65940.4453125</v>
      </c>
      <c r="M426" s="19" t="n">
        <v>70491.31201171875</v>
      </c>
      <c r="N426" s="17" t="inlineStr">
        <is>
          <t>C</t>
        </is>
      </c>
      <c r="O426" s="19" t="n">
        <v>23806.77802734375</v>
      </c>
      <c r="P426" s="18" t="inlineStr">
        <is>
          <t>KHÔNG ĐỀ XUẤT TĂNG</t>
        </is>
      </c>
      <c r="Q426" s="17" t="inlineStr">
        <is>
          <t>Không</t>
        </is>
      </c>
      <c r="R426" s="20" t="n"/>
      <c r="S426" s="20" t="n"/>
      <c r="T426" s="21" t="n"/>
      <c r="U426" s="21" t="n"/>
      <c r="V426" s="22">
        <f>IF(U426="A",K426,IF(U426="B",L426,IF(U426="C",M426,IF(N426="A",K426,IF(N426="B",L426,M426)))))</f>
        <v/>
      </c>
      <c r="W426" s="22">
        <f>IF(R426="",O426,MAX(V426-R426-N(S426),0))</f>
        <v/>
      </c>
      <c r="X426" s="20" t="n"/>
      <c r="Y426" s="23">
        <f>IF(OR(X426="",W426=0),"",X426/W426-1)</f>
        <v/>
      </c>
      <c r="Z426" s="24" t="n"/>
      <c r="AA426" s="21" t="n"/>
      <c r="AB426" s="25" t="n"/>
      <c r="AC426" s="26">
        <f>IF(T426="","Chưa quyết định",IF(OR(Z426="",AA426=""),"⚠ Thiếu lý do/người duyệt",IF(AND(X426&lt;&gt;"",N(X426)+N(R426)+N(S426)&gt;M426*1.001,R426&lt;&gt;""),"⚠ Vượt mục tiêu P90",IF(AND(Y426&lt;&gt;"",ABS(N(Y426))&gt;0.3),"⚠ Lệch &gt; 30% so với nhu cầu",IF(Q426="Có","ℹ Kiểm tra ngoại suy KM","✓ Hợp lệ")))))</f>
        <v/>
      </c>
    </row>
    <row r="427">
      <c r="A427" s="16" t="n">
        <v>423</v>
      </c>
      <c r="B427" s="17" t="inlineStr">
        <is>
          <t>DEC-S42-GROCERY_I</t>
        </is>
      </c>
      <c r="C427" s="16" t="n">
        <v>42</v>
      </c>
      <c r="D427" s="17" t="inlineStr">
        <is>
          <t>GROCERY I</t>
        </is>
      </c>
      <c r="E427" s="17" t="inlineStr">
        <is>
          <t>LOW</t>
        </is>
      </c>
      <c r="F427" s="17" t="inlineStr">
        <is>
          <t>TRUNG BÌNH</t>
        </is>
      </c>
      <c r="G427" s="18" t="inlineStr">
        <is>
          <t>RISK_LOW · LARGE_SERIES</t>
        </is>
      </c>
      <c r="H427" s="19" t="n">
        <v>51139.7834015625</v>
      </c>
      <c r="I427" s="19" t="n">
        <v>57819.5185546875</v>
      </c>
      <c r="J427" s="19" t="n">
        <v>69955.1630859375</v>
      </c>
      <c r="K427" s="19" t="n">
        <v>57819.5185546875</v>
      </c>
      <c r="L427" s="19" t="n">
        <v>65404.29638671875</v>
      </c>
      <c r="M427" s="19" t="n">
        <v>69955.1630859375</v>
      </c>
      <c r="N427" s="17" t="inlineStr">
        <is>
          <t>C</t>
        </is>
      </c>
      <c r="O427" s="19" t="n">
        <v>23699.5482421875</v>
      </c>
      <c r="P427" s="18" t="inlineStr">
        <is>
          <t>KHÔNG ĐỀ XUẤT TĂNG</t>
        </is>
      </c>
      <c r="Q427" s="17" t="inlineStr">
        <is>
          <t>Không</t>
        </is>
      </c>
      <c r="R427" s="20" t="n"/>
      <c r="S427" s="20" t="n"/>
      <c r="T427" s="21" t="n"/>
      <c r="U427" s="21" t="n"/>
      <c r="V427" s="22">
        <f>IF(U427="A",K427,IF(U427="B",L427,IF(U427="C",M427,IF(N427="A",K427,IF(N427="B",L427,M427)))))</f>
        <v/>
      </c>
      <c r="W427" s="22">
        <f>IF(R427="",O427,MAX(V427-R427-N(S427),0))</f>
        <v/>
      </c>
      <c r="X427" s="20" t="n"/>
      <c r="Y427" s="23">
        <f>IF(OR(X427="",W427=0),"",X427/W427-1)</f>
        <v/>
      </c>
      <c r="Z427" s="24" t="n"/>
      <c r="AA427" s="21" t="n"/>
      <c r="AB427" s="25" t="n"/>
      <c r="AC427" s="26">
        <f>IF(T427="","Chưa quyết định",IF(OR(Z427="",AA427=""),"⚠ Thiếu lý do/người duyệt",IF(AND(X427&lt;&gt;"",N(X427)+N(R427)+N(S427)&gt;M427*1.001,R427&lt;&gt;""),"⚠ Vượt mục tiêu P90",IF(AND(Y427&lt;&gt;"",ABS(N(Y427))&gt;0.3),"⚠ Lệch &gt; 30% so với nhu cầu",IF(Q427="Có","ℹ Kiểm tra ngoại suy KM","✓ Hợp lệ")))))</f>
        <v/>
      </c>
    </row>
    <row r="428">
      <c r="A428" s="16" t="n">
        <v>424</v>
      </c>
      <c r="B428" s="17" t="inlineStr">
        <is>
          <t>DEC-S24-BEVERAGES</t>
        </is>
      </c>
      <c r="C428" s="16" t="n">
        <v>24</v>
      </c>
      <c r="D428" s="17" t="inlineStr">
        <is>
          <t>BEVERAGES</t>
        </is>
      </c>
      <c r="E428" s="17" t="inlineStr">
        <is>
          <t>LOW</t>
        </is>
      </c>
      <c r="F428" s="17" t="inlineStr">
        <is>
          <t>TRUNG BÌNH</t>
        </is>
      </c>
      <c r="G428" s="18" t="inlineStr">
        <is>
          <t>RISK_LOW · LARGE_SERIES</t>
        </is>
      </c>
      <c r="H428" s="19" t="n">
        <v>50838.0021515625</v>
      </c>
      <c r="I428" s="19" t="n">
        <v>57517.7373046875</v>
      </c>
      <c r="J428" s="19" t="n">
        <v>69653.3818359375</v>
      </c>
      <c r="K428" s="19" t="n">
        <v>57517.7373046875</v>
      </c>
      <c r="L428" s="19" t="n">
        <v>65102.51513671875</v>
      </c>
      <c r="M428" s="19" t="n">
        <v>69653.3818359375</v>
      </c>
      <c r="N428" s="17" t="inlineStr">
        <is>
          <t>C</t>
        </is>
      </c>
      <c r="O428" s="19" t="n">
        <v>23639.19199218749</v>
      </c>
      <c r="P428" s="18" t="inlineStr">
        <is>
          <t>KHÔNG ĐỀ XUẤT TĂNG</t>
        </is>
      </c>
      <c r="Q428" s="17" t="inlineStr">
        <is>
          <t>Không</t>
        </is>
      </c>
      <c r="R428" s="20" t="n"/>
      <c r="S428" s="20" t="n"/>
      <c r="T428" s="21" t="n"/>
      <c r="U428" s="21" t="n"/>
      <c r="V428" s="22">
        <f>IF(U428="A",K428,IF(U428="B",L428,IF(U428="C",M428,IF(N428="A",K428,IF(N428="B",L428,M428)))))</f>
        <v/>
      </c>
      <c r="W428" s="22">
        <f>IF(R428="",O428,MAX(V428-R428-N(S428),0))</f>
        <v/>
      </c>
      <c r="X428" s="20" t="n"/>
      <c r="Y428" s="23">
        <f>IF(OR(X428="",W428=0),"",X428/W428-1)</f>
        <v/>
      </c>
      <c r="Z428" s="24" t="n"/>
      <c r="AA428" s="21" t="n"/>
      <c r="AB428" s="25" t="n"/>
      <c r="AC428" s="26">
        <f>IF(T428="","Chưa quyết định",IF(OR(Z428="",AA428=""),"⚠ Thiếu lý do/người duyệt",IF(AND(X428&lt;&gt;"",N(X428)+N(R428)+N(S428)&gt;M428*1.001,R428&lt;&gt;""),"⚠ Vượt mục tiêu P90",IF(AND(Y428&lt;&gt;"",ABS(N(Y428))&gt;0.3),"⚠ Lệch &gt; 30% so với nhu cầu",IF(Q428="Có","ℹ Kiểm tra ngoại suy KM","✓ Hợp lệ")))))</f>
        <v/>
      </c>
    </row>
    <row r="429">
      <c r="A429" s="16" t="n">
        <v>425</v>
      </c>
      <c r="B429" s="17" t="inlineStr">
        <is>
          <t>DEC-S04-GROCERY_I</t>
        </is>
      </c>
      <c r="C429" s="16" t="n">
        <v>4</v>
      </c>
      <c r="D429" s="17" t="inlineStr">
        <is>
          <t>GROCERY I</t>
        </is>
      </c>
      <c r="E429" s="17" t="inlineStr">
        <is>
          <t>LOW</t>
        </is>
      </c>
      <c r="F429" s="17" t="inlineStr">
        <is>
          <t>TRUNG BÌNH</t>
        </is>
      </c>
      <c r="G429" s="18" t="inlineStr">
        <is>
          <t>RISK_LOW · LARGE_SERIES</t>
        </is>
      </c>
      <c r="H429" s="19" t="n">
        <v>50110.8615265625</v>
      </c>
      <c r="I429" s="19" t="n">
        <v>56790.5966796875</v>
      </c>
      <c r="J429" s="19" t="n">
        <v>68926.2412109375</v>
      </c>
      <c r="K429" s="19" t="n">
        <v>56790.5966796875</v>
      </c>
      <c r="L429" s="19" t="n">
        <v>64375.37451171875</v>
      </c>
      <c r="M429" s="19" t="n">
        <v>68926.2412109375</v>
      </c>
      <c r="N429" s="17" t="inlineStr">
        <is>
          <t>C</t>
        </is>
      </c>
      <c r="O429" s="19" t="n">
        <v>23493.7638671875</v>
      </c>
      <c r="P429" s="18" t="inlineStr">
        <is>
          <t>KHÔNG ĐỀ XUẤT TĂNG</t>
        </is>
      </c>
      <c r="Q429" s="17" t="inlineStr">
        <is>
          <t>Không</t>
        </is>
      </c>
      <c r="R429" s="20" t="n"/>
      <c r="S429" s="20" t="n"/>
      <c r="T429" s="21" t="n"/>
      <c r="U429" s="21" t="n"/>
      <c r="V429" s="22">
        <f>IF(U429="A",K429,IF(U429="B",L429,IF(U429="C",M429,IF(N429="A",K429,IF(N429="B",L429,M429)))))</f>
        <v/>
      </c>
      <c r="W429" s="22">
        <f>IF(R429="",O429,MAX(V429-R429-N(S429),0))</f>
        <v/>
      </c>
      <c r="X429" s="20" t="n"/>
      <c r="Y429" s="23">
        <f>IF(OR(X429="",W429=0),"",X429/W429-1)</f>
        <v/>
      </c>
      <c r="Z429" s="24" t="n"/>
      <c r="AA429" s="21" t="n"/>
      <c r="AB429" s="25" t="n"/>
      <c r="AC429" s="26">
        <f>IF(T429="","Chưa quyết định",IF(OR(Z429="",AA429=""),"⚠ Thiếu lý do/người duyệt",IF(AND(X429&lt;&gt;"",N(X429)+N(R429)+N(S429)&gt;M429*1.001,R429&lt;&gt;""),"⚠ Vượt mục tiêu P90",IF(AND(Y429&lt;&gt;"",ABS(N(Y429))&gt;0.3),"⚠ Lệch &gt; 30% so với nhu cầu",IF(Q429="Có","ℹ Kiểm tra ngoại suy KM","✓ Hợp lệ")))))</f>
        <v/>
      </c>
    </row>
    <row r="430">
      <c r="A430" s="16" t="n">
        <v>426</v>
      </c>
      <c r="B430" s="17" t="inlineStr">
        <is>
          <t>DEC-S19-GROCERY_I</t>
        </is>
      </c>
      <c r="C430" s="16" t="n">
        <v>19</v>
      </c>
      <c r="D430" s="17" t="inlineStr">
        <is>
          <t>GROCERY I</t>
        </is>
      </c>
      <c r="E430" s="17" t="inlineStr">
        <is>
          <t>LOW</t>
        </is>
      </c>
      <c r="F430" s="17" t="inlineStr">
        <is>
          <t>TRUNG BÌNH</t>
        </is>
      </c>
      <c r="G430" s="18" t="inlineStr">
        <is>
          <t>RISK_LOW · LARGE_SERIES</t>
        </is>
      </c>
      <c r="H430" s="19" t="n">
        <v>49480.68403632812</v>
      </c>
      <c r="I430" s="19" t="n">
        <v>56160.41918945312</v>
      </c>
      <c r="J430" s="19" t="n">
        <v>68296.06372070312</v>
      </c>
      <c r="K430" s="19" t="n">
        <v>56160.41918945312</v>
      </c>
      <c r="L430" s="19" t="n">
        <v>63745.19702148438</v>
      </c>
      <c r="M430" s="19" t="n">
        <v>68296.06372070312</v>
      </c>
      <c r="N430" s="17" t="inlineStr">
        <is>
          <t>C</t>
        </is>
      </c>
      <c r="O430" s="19" t="n">
        <v>23367.72836914062</v>
      </c>
      <c r="P430" s="18" t="inlineStr">
        <is>
          <t>KHÔNG ĐỀ XUẤT TĂNG</t>
        </is>
      </c>
      <c r="Q430" s="17" t="inlineStr">
        <is>
          <t>Không</t>
        </is>
      </c>
      <c r="R430" s="20" t="n"/>
      <c r="S430" s="20" t="n"/>
      <c r="T430" s="21" t="n"/>
      <c r="U430" s="21" t="n"/>
      <c r="V430" s="22">
        <f>IF(U430="A",K430,IF(U430="B",L430,IF(U430="C",M430,IF(N430="A",K430,IF(N430="B",L430,M430)))))</f>
        <v/>
      </c>
      <c r="W430" s="22">
        <f>IF(R430="",O430,MAX(V430-R430-N(S430),0))</f>
        <v/>
      </c>
      <c r="X430" s="20" t="n"/>
      <c r="Y430" s="23">
        <f>IF(OR(X430="",W430=0),"",X430/W430-1)</f>
        <v/>
      </c>
      <c r="Z430" s="24" t="n"/>
      <c r="AA430" s="21" t="n"/>
      <c r="AB430" s="25" t="n"/>
      <c r="AC430" s="26">
        <f>IF(T430="","Chưa quyết định",IF(OR(Z430="",AA430=""),"⚠ Thiếu lý do/người duyệt",IF(AND(X430&lt;&gt;"",N(X430)+N(R430)+N(S430)&gt;M430*1.001,R430&lt;&gt;""),"⚠ Vượt mục tiêu P90",IF(AND(Y430&lt;&gt;"",ABS(N(Y430))&gt;0.3),"⚠ Lệch &gt; 30% so với nhu cầu",IF(Q430="Có","ℹ Kiểm tra ngoại suy KM","✓ Hợp lệ")))))</f>
        <v/>
      </c>
    </row>
    <row r="431">
      <c r="A431" s="16" t="n">
        <v>427</v>
      </c>
      <c r="B431" s="17" t="inlineStr">
        <is>
          <t>DEC-S17-BEVERAGES</t>
        </is>
      </c>
      <c r="C431" s="16" t="n">
        <v>17</v>
      </c>
      <c r="D431" s="17" t="inlineStr">
        <is>
          <t>BEVERAGES</t>
        </is>
      </c>
      <c r="E431" s="17" t="inlineStr">
        <is>
          <t>LOW</t>
        </is>
      </c>
      <c r="F431" s="17" t="inlineStr">
        <is>
          <t>TRUNG BÌNH</t>
        </is>
      </c>
      <c r="G431" s="18" t="inlineStr">
        <is>
          <t>RISK_LOW · LARGE_SERIES</t>
        </is>
      </c>
      <c r="H431" s="19" t="n">
        <v>48681.41548164062</v>
      </c>
      <c r="I431" s="19" t="n">
        <v>55361.15063476562</v>
      </c>
      <c r="J431" s="19" t="n">
        <v>67496.79516601562</v>
      </c>
      <c r="K431" s="19" t="n">
        <v>55361.15063476562</v>
      </c>
      <c r="L431" s="19" t="n">
        <v>62945.92846679688</v>
      </c>
      <c r="M431" s="19" t="n">
        <v>67496.79516601562</v>
      </c>
      <c r="N431" s="17" t="inlineStr">
        <is>
          <t>C</t>
        </is>
      </c>
      <c r="O431" s="19" t="n">
        <v>23207.87465820312</v>
      </c>
      <c r="P431" s="18" t="inlineStr">
        <is>
          <t>KHÔNG ĐỀ XUẤT TĂNG</t>
        </is>
      </c>
      <c r="Q431" s="17" t="inlineStr">
        <is>
          <t>Không</t>
        </is>
      </c>
      <c r="R431" s="20" t="n"/>
      <c r="S431" s="20" t="n"/>
      <c r="T431" s="21" t="n"/>
      <c r="U431" s="21" t="n"/>
      <c r="V431" s="22">
        <f>IF(U431="A",K431,IF(U431="B",L431,IF(U431="C",M431,IF(N431="A",K431,IF(N431="B",L431,M431)))))</f>
        <v/>
      </c>
      <c r="W431" s="22">
        <f>IF(R431="",O431,MAX(V431-R431-N(S431),0))</f>
        <v/>
      </c>
      <c r="X431" s="20" t="n"/>
      <c r="Y431" s="23">
        <f>IF(OR(X431="",W431=0),"",X431/W431-1)</f>
        <v/>
      </c>
      <c r="Z431" s="24" t="n"/>
      <c r="AA431" s="21" t="n"/>
      <c r="AB431" s="25" t="n"/>
      <c r="AC431" s="26">
        <f>IF(T431="","Chưa quyết định",IF(OR(Z431="",AA431=""),"⚠ Thiếu lý do/người duyệt",IF(AND(X431&lt;&gt;"",N(X431)+N(R431)+N(S431)&gt;M431*1.001,R431&lt;&gt;""),"⚠ Vượt mục tiêu P90",IF(AND(Y431&lt;&gt;"",ABS(N(Y431))&gt;0.3),"⚠ Lệch &gt; 30% so với nhu cầu",IF(Q431="Có","ℹ Kiểm tra ngoại suy KM","✓ Hợp lệ")))))</f>
        <v/>
      </c>
    </row>
    <row r="432">
      <c r="A432" s="16" t="n">
        <v>428</v>
      </c>
      <c r="B432" s="17" t="inlineStr">
        <is>
          <t>DEC-S54-BEVERAGES</t>
        </is>
      </c>
      <c r="C432" s="16" t="n">
        <v>54</v>
      </c>
      <c r="D432" s="17" t="inlineStr">
        <is>
          <t>BEVERAGES</t>
        </is>
      </c>
      <c r="E432" s="17" t="inlineStr">
        <is>
          <t>LOW</t>
        </is>
      </c>
      <c r="F432" s="17" t="inlineStr">
        <is>
          <t>TRUNG BÌNH</t>
        </is>
      </c>
      <c r="G432" s="18" t="inlineStr">
        <is>
          <t>RISK_LOW · LARGE_SERIES</t>
        </is>
      </c>
      <c r="H432" s="19" t="n">
        <v>48264.02192695312</v>
      </c>
      <c r="I432" s="19" t="n">
        <v>54943.75708007812</v>
      </c>
      <c r="J432" s="19" t="n">
        <v>67079.40161132812</v>
      </c>
      <c r="K432" s="19" t="n">
        <v>54943.75708007812</v>
      </c>
      <c r="L432" s="19" t="n">
        <v>62528.53491210938</v>
      </c>
      <c r="M432" s="19" t="n">
        <v>67079.40161132812</v>
      </c>
      <c r="N432" s="17" t="inlineStr">
        <is>
          <t>C</t>
        </is>
      </c>
      <c r="O432" s="19" t="n">
        <v>23124.39594726563</v>
      </c>
      <c r="P432" s="18" t="inlineStr">
        <is>
          <t>KHÔNG ĐỀ XUẤT TĂNG</t>
        </is>
      </c>
      <c r="Q432" s="17" t="inlineStr">
        <is>
          <t>Không</t>
        </is>
      </c>
      <c r="R432" s="20" t="n"/>
      <c r="S432" s="20" t="n"/>
      <c r="T432" s="21" t="n"/>
      <c r="U432" s="21" t="n"/>
      <c r="V432" s="22">
        <f>IF(U432="A",K432,IF(U432="B",L432,IF(U432="C",M432,IF(N432="A",K432,IF(N432="B",L432,M432)))))</f>
        <v/>
      </c>
      <c r="W432" s="22">
        <f>IF(R432="",O432,MAX(V432-R432-N(S432),0))</f>
        <v/>
      </c>
      <c r="X432" s="20" t="n"/>
      <c r="Y432" s="23">
        <f>IF(OR(X432="",W432=0),"",X432/W432-1)</f>
        <v/>
      </c>
      <c r="Z432" s="24" t="n"/>
      <c r="AA432" s="21" t="n"/>
      <c r="AB432" s="25" t="n"/>
      <c r="AC432" s="26">
        <f>IF(T432="","Chưa quyết định",IF(OR(Z432="",AA432=""),"⚠ Thiếu lý do/người duyệt",IF(AND(X432&lt;&gt;"",N(X432)+N(R432)+N(S432)&gt;M432*1.001,R432&lt;&gt;""),"⚠ Vượt mục tiêu P90",IF(AND(Y432&lt;&gt;"",ABS(N(Y432))&gt;0.3),"⚠ Lệch &gt; 30% so với nhu cầu",IF(Q432="Có","ℹ Kiểm tra ngoại suy KM","✓ Hợp lệ")))))</f>
        <v/>
      </c>
    </row>
    <row r="433">
      <c r="A433" s="16" t="n">
        <v>429</v>
      </c>
      <c r="B433" s="17" t="inlineStr">
        <is>
          <t>DEC-S53-GROCERY_I</t>
        </is>
      </c>
      <c r="C433" s="16" t="n">
        <v>53</v>
      </c>
      <c r="D433" s="17" t="inlineStr">
        <is>
          <t>GROCERY I</t>
        </is>
      </c>
      <c r="E433" s="17" t="inlineStr">
        <is>
          <t>LOW</t>
        </is>
      </c>
      <c r="F433" s="17" t="inlineStr">
        <is>
          <t>TRUNG BÌNH</t>
        </is>
      </c>
      <c r="G433" s="18" t="inlineStr">
        <is>
          <t>RISK_LOW · LARGE_SERIES</t>
        </is>
      </c>
      <c r="H433" s="19" t="n">
        <v>47793.21919257812</v>
      </c>
      <c r="I433" s="19" t="n">
        <v>54472.95434570312</v>
      </c>
      <c r="J433" s="19" t="n">
        <v>66608.59887695312</v>
      </c>
      <c r="K433" s="19" t="n">
        <v>54472.95434570312</v>
      </c>
      <c r="L433" s="19" t="n">
        <v>62057.73217773438</v>
      </c>
      <c r="M433" s="19" t="n">
        <v>66608.59887695312</v>
      </c>
      <c r="N433" s="17" t="inlineStr">
        <is>
          <t>C</t>
        </is>
      </c>
      <c r="O433" s="19" t="n">
        <v>23030.23540039063</v>
      </c>
      <c r="P433" s="18" t="inlineStr">
        <is>
          <t>KHÔNG ĐỀ XUẤT TĂNG</t>
        </is>
      </c>
      <c r="Q433" s="17" t="inlineStr">
        <is>
          <t>Không</t>
        </is>
      </c>
      <c r="R433" s="20" t="n"/>
      <c r="S433" s="20" t="n"/>
      <c r="T433" s="21" t="n"/>
      <c r="U433" s="21" t="n"/>
      <c r="V433" s="22">
        <f>IF(U433="A",K433,IF(U433="B",L433,IF(U433="C",M433,IF(N433="A",K433,IF(N433="B",L433,M433)))))</f>
        <v/>
      </c>
      <c r="W433" s="22">
        <f>IF(R433="",O433,MAX(V433-R433-N(S433),0))</f>
        <v/>
      </c>
      <c r="X433" s="20" t="n"/>
      <c r="Y433" s="23">
        <f>IF(OR(X433="",W433=0),"",X433/W433-1)</f>
        <v/>
      </c>
      <c r="Z433" s="24" t="n"/>
      <c r="AA433" s="21" t="n"/>
      <c r="AB433" s="25" t="n"/>
      <c r="AC433" s="26">
        <f>IF(T433="","Chưa quyết định",IF(OR(Z433="",AA433=""),"⚠ Thiếu lý do/người duyệt",IF(AND(X433&lt;&gt;"",N(X433)+N(R433)+N(S433)&gt;M433*1.001,R433&lt;&gt;""),"⚠ Vượt mục tiêu P90",IF(AND(Y433&lt;&gt;"",ABS(N(Y433))&gt;0.3),"⚠ Lệch &gt; 30% so với nhu cầu",IF(Q433="Có","ℹ Kiểm tra ngoại suy KM","✓ Hợp lệ")))))</f>
        <v/>
      </c>
    </row>
    <row r="434">
      <c r="A434" s="16" t="n">
        <v>430</v>
      </c>
      <c r="B434" s="17" t="inlineStr">
        <is>
          <t>DEC-S27-BEVERAGES</t>
        </is>
      </c>
      <c r="C434" s="16" t="n">
        <v>27</v>
      </c>
      <c r="D434" s="17" t="inlineStr">
        <is>
          <t>BEVERAGES</t>
        </is>
      </c>
      <c r="E434" s="17" t="inlineStr">
        <is>
          <t>LOW</t>
        </is>
      </c>
      <c r="F434" s="17" t="inlineStr">
        <is>
          <t>TRUNG BÌNH</t>
        </is>
      </c>
      <c r="G434" s="18" t="inlineStr">
        <is>
          <t>RISK_LOW · LARGE_SERIES</t>
        </is>
      </c>
      <c r="H434" s="19" t="n">
        <v>47340.43232734375</v>
      </c>
      <c r="I434" s="19" t="n">
        <v>54020.16748046875</v>
      </c>
      <c r="J434" s="19" t="n">
        <v>66155.81201171875</v>
      </c>
      <c r="K434" s="19" t="n">
        <v>54020.16748046875</v>
      </c>
      <c r="L434" s="19" t="n">
        <v>61604.9453125</v>
      </c>
      <c r="M434" s="19" t="n">
        <v>66155.81201171875</v>
      </c>
      <c r="N434" s="17" t="inlineStr">
        <is>
          <t>C</t>
        </is>
      </c>
      <c r="O434" s="19" t="n">
        <v>22939.67802734375</v>
      </c>
      <c r="P434" s="18" t="inlineStr">
        <is>
          <t>KHÔNG ĐỀ XUẤT TĂNG</t>
        </is>
      </c>
      <c r="Q434" s="17" t="inlineStr">
        <is>
          <t>Không</t>
        </is>
      </c>
      <c r="R434" s="20" t="n"/>
      <c r="S434" s="20" t="n"/>
      <c r="T434" s="21" t="n"/>
      <c r="U434" s="21" t="n"/>
      <c r="V434" s="22">
        <f>IF(U434="A",K434,IF(U434="B",L434,IF(U434="C",M434,IF(N434="A",K434,IF(N434="B",L434,M434)))))</f>
        <v/>
      </c>
      <c r="W434" s="22">
        <f>IF(R434="",O434,MAX(V434-R434-N(S434),0))</f>
        <v/>
      </c>
      <c r="X434" s="20" t="n"/>
      <c r="Y434" s="23">
        <f>IF(OR(X434="",W434=0),"",X434/W434-1)</f>
        <v/>
      </c>
      <c r="Z434" s="24" t="n"/>
      <c r="AA434" s="21" t="n"/>
      <c r="AB434" s="25" t="n"/>
      <c r="AC434" s="26">
        <f>IF(T434="","Chưa quyết định",IF(OR(Z434="",AA434=""),"⚠ Thiếu lý do/người duyệt",IF(AND(X434&lt;&gt;"",N(X434)+N(R434)+N(S434)&gt;M434*1.001,R434&lt;&gt;""),"⚠ Vượt mục tiêu P90",IF(AND(Y434&lt;&gt;"",ABS(N(Y434))&gt;0.3),"⚠ Lệch &gt; 30% so với nhu cầu",IF(Q434="Có","ℹ Kiểm tra ngoại suy KM","✓ Hợp lệ")))))</f>
        <v/>
      </c>
    </row>
    <row r="435">
      <c r="A435" s="16" t="n">
        <v>431</v>
      </c>
      <c r="B435" s="17" t="inlineStr">
        <is>
          <t>DEC-S02-CLEANING</t>
        </is>
      </c>
      <c r="C435" s="16" t="n">
        <v>2</v>
      </c>
      <c r="D435" s="17" t="inlineStr">
        <is>
          <t>CLEANING</t>
        </is>
      </c>
      <c r="E435" s="17" t="inlineStr">
        <is>
          <t>LOW</t>
        </is>
      </c>
      <c r="F435" s="17" t="inlineStr">
        <is>
          <t>TRUNG BÌNH</t>
        </is>
      </c>
      <c r="G435" s="18" t="inlineStr">
        <is>
          <t>RISK_LOW · LARGE_SERIES</t>
        </is>
      </c>
      <c r="H435" s="19" t="n">
        <v>13809.2212038086</v>
      </c>
      <c r="I435" s="19" t="n">
        <v>16064.44818115234</v>
      </c>
      <c r="J435" s="19" t="n">
        <v>19131.46134765625</v>
      </c>
      <c r="K435" s="19" t="n">
        <v>16064.44818115234</v>
      </c>
      <c r="L435" s="19" t="n">
        <v>17981.33141021728</v>
      </c>
      <c r="M435" s="19" t="n">
        <v>19131.46134765625</v>
      </c>
      <c r="N435" s="17" t="inlineStr">
        <is>
          <t>C</t>
        </is>
      </c>
      <c r="O435" s="19" t="n">
        <v>6279.902802734372</v>
      </c>
      <c r="P435" s="18" t="inlineStr">
        <is>
          <t>KHÔNG ĐỀ XUẤT TĂNG</t>
        </is>
      </c>
      <c r="Q435" s="17" t="inlineStr">
        <is>
          <t>Không</t>
        </is>
      </c>
      <c r="R435" s="20" t="n"/>
      <c r="S435" s="20" t="n"/>
      <c r="T435" s="21" t="n"/>
      <c r="U435" s="21" t="n"/>
      <c r="V435" s="22">
        <f>IF(U435="A",K435,IF(U435="B",L435,IF(U435="C",M435,IF(N435="A",K435,IF(N435="B",L435,M435)))))</f>
        <v/>
      </c>
      <c r="W435" s="22">
        <f>IF(R435="",O435,MAX(V435-R435-N(S435),0))</f>
        <v/>
      </c>
      <c r="X435" s="20" t="n"/>
      <c r="Y435" s="23">
        <f>IF(OR(X435="",W435=0),"",X435/W435-1)</f>
        <v/>
      </c>
      <c r="Z435" s="24" t="n"/>
      <c r="AA435" s="21" t="n"/>
      <c r="AB435" s="25" t="n"/>
      <c r="AC435" s="26">
        <f>IF(T435="","Chưa quyết định",IF(OR(Z435="",AA435=""),"⚠ Thiếu lý do/người duyệt",IF(AND(X435&lt;&gt;"",N(X435)+N(R435)+N(S435)&gt;M435*1.001,R435&lt;&gt;""),"⚠ Vượt mục tiêu P90",IF(AND(Y435&lt;&gt;"",ABS(N(Y435))&gt;0.3),"⚠ Lệch &gt; 30% so với nhu cầu",IF(Q435="Có","ℹ Kiểm tra ngoại suy KM","✓ Hợp lệ")))))</f>
        <v/>
      </c>
    </row>
    <row r="436">
      <c r="A436" s="16" t="n">
        <v>432</v>
      </c>
      <c r="B436" s="17" t="inlineStr">
        <is>
          <t>DEC-S05-CLEANING</t>
        </is>
      </c>
      <c r="C436" s="16" t="n">
        <v>5</v>
      </c>
      <c r="D436" s="17" t="inlineStr">
        <is>
          <t>CLEANING</t>
        </is>
      </c>
      <c r="E436" s="17" t="inlineStr">
        <is>
          <t>LOW</t>
        </is>
      </c>
      <c r="F436" s="17" t="inlineStr">
        <is>
          <t>TRUNG BÌNH</t>
        </is>
      </c>
      <c r="G436" s="18" t="inlineStr">
        <is>
          <t>RISK_LOW · LARGE_SERIES</t>
        </is>
      </c>
      <c r="H436" s="19" t="n">
        <v>13613.70336914062</v>
      </c>
      <c r="I436" s="19" t="n">
        <v>15573.96313476562</v>
      </c>
      <c r="J436" s="19" t="n">
        <v>18036.40087695312</v>
      </c>
      <c r="K436" s="19" t="n">
        <v>15573.96313476562</v>
      </c>
      <c r="L436" s="19" t="n">
        <v>17112.98672363281</v>
      </c>
      <c r="M436" s="19" t="n">
        <v>18036.40087695312</v>
      </c>
      <c r="N436" s="17" t="inlineStr">
        <is>
          <t>C</t>
        </is>
      </c>
      <c r="O436" s="19" t="n">
        <v>5577.230369140625</v>
      </c>
      <c r="P436" s="18" t="inlineStr">
        <is>
          <t>KHÔNG ĐỀ XUẤT TĂNG</t>
        </is>
      </c>
      <c r="Q436" s="17" t="inlineStr">
        <is>
          <t>Không</t>
        </is>
      </c>
      <c r="R436" s="20" t="n"/>
      <c r="S436" s="20" t="n"/>
      <c r="T436" s="21" t="n"/>
      <c r="U436" s="21" t="n"/>
      <c r="V436" s="22">
        <f>IF(U436="A",K436,IF(U436="B",L436,IF(U436="C",M436,IF(N436="A",K436,IF(N436="B",L436,M436)))))</f>
        <v/>
      </c>
      <c r="W436" s="22">
        <f>IF(R436="",O436,MAX(V436-R436-N(S436),0))</f>
        <v/>
      </c>
      <c r="X436" s="20" t="n"/>
      <c r="Y436" s="23">
        <f>IF(OR(X436="",W436=0),"",X436/W436-1)</f>
        <v/>
      </c>
      <c r="Z436" s="24" t="n"/>
      <c r="AA436" s="21" t="n"/>
      <c r="AB436" s="25" t="n"/>
      <c r="AC436" s="26">
        <f>IF(T436="","Chưa quyết định",IF(OR(Z436="",AA436=""),"⚠ Thiếu lý do/người duyệt",IF(AND(X436&lt;&gt;"",N(X436)+N(R436)+N(S436)&gt;M436*1.001,R436&lt;&gt;""),"⚠ Vượt mục tiêu P90",IF(AND(Y436&lt;&gt;"",ABS(N(Y436))&gt;0.3),"⚠ Lệch &gt; 30% so với nhu cầu",IF(Q436="Có","ℹ Kiểm tra ngoại suy KM","✓ Hợp lệ")))))</f>
        <v/>
      </c>
    </row>
    <row r="437">
      <c r="A437" s="16" t="n">
        <v>433</v>
      </c>
      <c r="B437" s="17" t="inlineStr">
        <is>
          <t>DEC-S27-CLEANING</t>
        </is>
      </c>
      <c r="C437" s="16" t="n">
        <v>27</v>
      </c>
      <c r="D437" s="17" t="inlineStr">
        <is>
          <t>CLEANING</t>
        </is>
      </c>
      <c r="E437" s="17" t="inlineStr">
        <is>
          <t>LOW</t>
        </is>
      </c>
      <c r="F437" s="17" t="inlineStr">
        <is>
          <t>TRUNG BÌNH</t>
        </is>
      </c>
      <c r="G437" s="18" t="inlineStr">
        <is>
          <t>RISK_LOW · LARGE_SERIES</t>
        </is>
      </c>
      <c r="H437" s="19" t="n">
        <v>13056.6836671875</v>
      </c>
      <c r="I437" s="19" t="n">
        <v>15311.91064453125</v>
      </c>
      <c r="J437" s="19" t="n">
        <v>18378.92381103515</v>
      </c>
      <c r="K437" s="19" t="n">
        <v>15311.91064453125</v>
      </c>
      <c r="L437" s="19" t="n">
        <v>17228.79387359619</v>
      </c>
      <c r="M437" s="19" t="n">
        <v>18378.92381103515</v>
      </c>
      <c r="N437" s="17" t="inlineStr">
        <is>
          <t>C</t>
        </is>
      </c>
      <c r="O437" s="19" t="n">
        <v>6129.395295410155</v>
      </c>
      <c r="P437" s="18" t="inlineStr">
        <is>
          <t>KHÔNG ĐỀ XUẤT TĂNG</t>
        </is>
      </c>
      <c r="Q437" s="17" t="inlineStr">
        <is>
          <t>Không</t>
        </is>
      </c>
      <c r="R437" s="20" t="n"/>
      <c r="S437" s="20" t="n"/>
      <c r="T437" s="21" t="n"/>
      <c r="U437" s="21" t="n"/>
      <c r="V437" s="22">
        <f>IF(U437="A",K437,IF(U437="B",L437,IF(U437="C",M437,IF(N437="A",K437,IF(N437="B",L437,M437)))))</f>
        <v/>
      </c>
      <c r="W437" s="22">
        <f>IF(R437="",O437,MAX(V437-R437-N(S437),0))</f>
        <v/>
      </c>
      <c r="X437" s="20" t="n"/>
      <c r="Y437" s="23">
        <f>IF(OR(X437="",W437=0),"",X437/W437-1)</f>
        <v/>
      </c>
      <c r="Z437" s="24" t="n"/>
      <c r="AA437" s="21" t="n"/>
      <c r="AB437" s="25" t="n"/>
      <c r="AC437" s="26">
        <f>IF(T437="","Chưa quyết định",IF(OR(Z437="",AA437=""),"⚠ Thiếu lý do/người duyệt",IF(AND(X437&lt;&gt;"",N(X437)+N(R437)+N(S437)&gt;M437*1.001,R437&lt;&gt;""),"⚠ Vượt mục tiêu P90",IF(AND(Y437&lt;&gt;"",ABS(N(Y437))&gt;0.3),"⚠ Lệch &gt; 30% so với nhu cầu",IF(Q437="Có","ℹ Kiểm tra ngoại suy KM","✓ Hợp lệ")))))</f>
        <v/>
      </c>
    </row>
    <row r="438">
      <c r="A438" s="16" t="n">
        <v>434</v>
      </c>
      <c r="B438" s="17" t="inlineStr">
        <is>
          <t>DEC-S37-DAIRY</t>
        </is>
      </c>
      <c r="C438" s="16" t="n">
        <v>37</v>
      </c>
      <c r="D438" s="17" t="inlineStr">
        <is>
          <t>DAIRY</t>
        </is>
      </c>
      <c r="E438" s="17" t="inlineStr">
        <is>
          <t>LOW</t>
        </is>
      </c>
      <c r="F438" s="17" t="inlineStr">
        <is>
          <t>TRUNG BÌNH</t>
        </is>
      </c>
      <c r="G438" s="18" t="inlineStr">
        <is>
          <t>RISK_LOW · LARGE_SERIES</t>
        </is>
      </c>
      <c r="H438" s="19" t="n">
        <v>13003.34320068359</v>
      </c>
      <c r="I438" s="19" t="n">
        <v>14963.60296630859</v>
      </c>
      <c r="J438" s="19" t="n">
        <v>17426.04070849609</v>
      </c>
      <c r="K438" s="19" t="n">
        <v>14963.60296630859</v>
      </c>
      <c r="L438" s="19" t="n">
        <v>16502.62655517578</v>
      </c>
      <c r="M438" s="19" t="n">
        <v>17426.04070849609</v>
      </c>
      <c r="N438" s="17" t="inlineStr">
        <is>
          <t>C</t>
        </is>
      </c>
      <c r="O438" s="19" t="n">
        <v>5455.158335449218</v>
      </c>
      <c r="P438" s="18" t="inlineStr">
        <is>
          <t>KHÔNG ĐỀ XUẤT TĂNG</t>
        </is>
      </c>
      <c r="Q438" s="17" t="inlineStr">
        <is>
          <t>Không</t>
        </is>
      </c>
      <c r="R438" s="20" t="n"/>
      <c r="S438" s="20" t="n"/>
      <c r="T438" s="21" t="n"/>
      <c r="U438" s="21" t="n"/>
      <c r="V438" s="22">
        <f>IF(U438="A",K438,IF(U438="B",L438,IF(U438="C",M438,IF(N438="A",K438,IF(N438="B",L438,M438)))))</f>
        <v/>
      </c>
      <c r="W438" s="22">
        <f>IF(R438="",O438,MAX(V438-R438-N(S438),0))</f>
        <v/>
      </c>
      <c r="X438" s="20" t="n"/>
      <c r="Y438" s="23">
        <f>IF(OR(X438="",W438=0),"",X438/W438-1)</f>
        <v/>
      </c>
      <c r="Z438" s="24" t="n"/>
      <c r="AA438" s="21" t="n"/>
      <c r="AB438" s="25" t="n"/>
      <c r="AC438" s="26">
        <f>IF(T438="","Chưa quyết định",IF(OR(Z438="",AA438=""),"⚠ Thiếu lý do/người duyệt",IF(AND(X438&lt;&gt;"",N(X438)+N(R438)+N(S438)&gt;M438*1.001,R438&lt;&gt;""),"⚠ Vượt mục tiêu P90",IF(AND(Y438&lt;&gt;"",ABS(N(Y438))&gt;0.3),"⚠ Lệch &gt; 30% so với nhu cầu",IF(Q438="Có","ℹ Kiểm tra ngoại suy KM","✓ Hợp lệ")))))</f>
        <v/>
      </c>
    </row>
    <row r="439">
      <c r="A439" s="16" t="n">
        <v>435</v>
      </c>
      <c r="B439" s="17" t="inlineStr">
        <is>
          <t>DEC-S36-CLEANING</t>
        </is>
      </c>
      <c r="C439" s="16" t="n">
        <v>36</v>
      </c>
      <c r="D439" s="17" t="inlineStr">
        <is>
          <t>CLEANING</t>
        </is>
      </c>
      <c r="E439" s="17" t="inlineStr">
        <is>
          <t>LOW</t>
        </is>
      </c>
      <c r="F439" s="17" t="inlineStr">
        <is>
          <t>TRUNG BÌNH</t>
        </is>
      </c>
      <c r="G439" s="18" t="inlineStr">
        <is>
          <t>RISK_LOW · LARGE_SERIES</t>
        </is>
      </c>
      <c r="H439" s="19" t="n">
        <v>12446.80072021484</v>
      </c>
      <c r="I439" s="19" t="n">
        <v>14407.06048583984</v>
      </c>
      <c r="J439" s="19" t="n">
        <v>16869.49822802734</v>
      </c>
      <c r="K439" s="19" t="n">
        <v>14407.06048583984</v>
      </c>
      <c r="L439" s="19" t="n">
        <v>15946.08407470703</v>
      </c>
      <c r="M439" s="19" t="n">
        <v>16869.49822802734</v>
      </c>
      <c r="N439" s="17" t="inlineStr">
        <is>
          <t>C</t>
        </is>
      </c>
      <c r="O439" s="19" t="n">
        <v>5343.849839355467</v>
      </c>
      <c r="P439" s="18" t="inlineStr">
        <is>
          <t>KHÔNG ĐỀ XUẤT TĂNG</t>
        </is>
      </c>
      <c r="Q439" s="17" t="inlineStr">
        <is>
          <t>Không</t>
        </is>
      </c>
      <c r="R439" s="20" t="n"/>
      <c r="S439" s="20" t="n"/>
      <c r="T439" s="21" t="n"/>
      <c r="U439" s="21" t="n"/>
      <c r="V439" s="22">
        <f>IF(U439="A",K439,IF(U439="B",L439,IF(U439="C",M439,IF(N439="A",K439,IF(N439="B",L439,M439)))))</f>
        <v/>
      </c>
      <c r="W439" s="22">
        <f>IF(R439="",O439,MAX(V439-R439-N(S439),0))</f>
        <v/>
      </c>
      <c r="X439" s="20" t="n"/>
      <c r="Y439" s="23">
        <f>IF(OR(X439="",W439=0),"",X439/W439-1)</f>
        <v/>
      </c>
      <c r="Z439" s="24" t="n"/>
      <c r="AA439" s="21" t="n"/>
      <c r="AB439" s="25" t="n"/>
      <c r="AC439" s="26">
        <f>IF(T439="","Chưa quyết định",IF(OR(Z439="",AA439=""),"⚠ Thiếu lý do/người duyệt",IF(AND(X439&lt;&gt;"",N(X439)+N(R439)+N(S439)&gt;M439*1.001,R439&lt;&gt;""),"⚠ Vượt mục tiêu P90",IF(AND(Y439&lt;&gt;"",ABS(N(Y439))&gt;0.3),"⚠ Lệch &gt; 30% so với nhu cầu",IF(Q439="Có","ℹ Kiểm tra ngoại suy KM","✓ Hợp lệ")))))</f>
        <v/>
      </c>
    </row>
    <row r="440">
      <c r="A440" s="16" t="n">
        <v>436</v>
      </c>
      <c r="B440" s="17" t="inlineStr">
        <is>
          <t>DEC-S15-CLEANING</t>
        </is>
      </c>
      <c r="C440" s="16" t="n">
        <v>15</v>
      </c>
      <c r="D440" s="17" t="inlineStr">
        <is>
          <t>CLEANING</t>
        </is>
      </c>
      <c r="E440" s="17" t="inlineStr">
        <is>
          <t>LOW</t>
        </is>
      </c>
      <c r="F440" s="17" t="inlineStr">
        <is>
          <t>TRUNG BÌNH</t>
        </is>
      </c>
      <c r="G440" s="18" t="inlineStr">
        <is>
          <t>RISK_LOW · LARGE_SERIES</t>
        </is>
      </c>
      <c r="H440" s="19" t="n">
        <v>12208.96081542969</v>
      </c>
      <c r="I440" s="19" t="n">
        <v>14169.22058105469</v>
      </c>
      <c r="J440" s="19" t="n">
        <v>16631.65832324219</v>
      </c>
      <c r="K440" s="19" t="n">
        <v>14169.22058105469</v>
      </c>
      <c r="L440" s="19" t="n">
        <v>15708.24416992187</v>
      </c>
      <c r="M440" s="19" t="n">
        <v>16631.65832324219</v>
      </c>
      <c r="N440" s="17" t="inlineStr">
        <is>
          <t>C</t>
        </is>
      </c>
      <c r="O440" s="19" t="n">
        <v>5296.281858398437</v>
      </c>
      <c r="P440" s="18" t="inlineStr">
        <is>
          <t>KHÔNG ĐỀ XUẤT TĂNG</t>
        </is>
      </c>
      <c r="Q440" s="17" t="inlineStr">
        <is>
          <t>Không</t>
        </is>
      </c>
      <c r="R440" s="20" t="n"/>
      <c r="S440" s="20" t="n"/>
      <c r="T440" s="21" t="n"/>
      <c r="U440" s="21" t="n"/>
      <c r="V440" s="22">
        <f>IF(U440="A",K440,IF(U440="B",L440,IF(U440="C",M440,IF(N440="A",K440,IF(N440="B",L440,M440)))))</f>
        <v/>
      </c>
      <c r="W440" s="22">
        <f>IF(R440="",O440,MAX(V440-R440-N(S440),0))</f>
        <v/>
      </c>
      <c r="X440" s="20" t="n"/>
      <c r="Y440" s="23">
        <f>IF(OR(X440="",W440=0),"",X440/W440-1)</f>
        <v/>
      </c>
      <c r="Z440" s="24" t="n"/>
      <c r="AA440" s="21" t="n"/>
      <c r="AB440" s="25" t="n"/>
      <c r="AC440" s="26">
        <f>IF(T440="","Chưa quyết định",IF(OR(Z440="",AA440=""),"⚠ Thiếu lý do/người duyệt",IF(AND(X440&lt;&gt;"",N(X440)+N(R440)+N(S440)&gt;M440*1.001,R440&lt;&gt;""),"⚠ Vượt mục tiêu P90",IF(AND(Y440&lt;&gt;"",ABS(N(Y440))&gt;0.3),"⚠ Lệch &gt; 30% so với nhu cầu",IF(Q440="Có","ℹ Kiểm tra ngoại suy KM","✓ Hợp lệ")))))</f>
        <v/>
      </c>
    </row>
    <row r="441">
      <c r="A441" s="16" t="n">
        <v>437</v>
      </c>
      <c r="B441" s="17" t="inlineStr">
        <is>
          <t>DEC-S42-CLEANING</t>
        </is>
      </c>
      <c r="C441" s="16" t="n">
        <v>42</v>
      </c>
      <c r="D441" s="17" t="inlineStr">
        <is>
          <t>CLEANING</t>
        </is>
      </c>
      <c r="E441" s="17" t="inlineStr">
        <is>
          <t>LOW</t>
        </is>
      </c>
      <c r="F441" s="17" t="inlineStr">
        <is>
          <t>TRUNG BÌNH</t>
        </is>
      </c>
      <c r="G441" s="18" t="inlineStr">
        <is>
          <t>RISK_LOW · LARGE_SERIES</t>
        </is>
      </c>
      <c r="H441" s="19" t="n">
        <v>12111.64422607422</v>
      </c>
      <c r="I441" s="19" t="n">
        <v>14071.90399169922</v>
      </c>
      <c r="J441" s="19" t="n">
        <v>16534.34173388672</v>
      </c>
      <c r="K441" s="19" t="n">
        <v>14071.90399169922</v>
      </c>
      <c r="L441" s="19" t="n">
        <v>15610.92758056641</v>
      </c>
      <c r="M441" s="19" t="n">
        <v>16534.34173388672</v>
      </c>
      <c r="N441" s="17" t="inlineStr">
        <is>
          <t>C</t>
        </is>
      </c>
      <c r="O441" s="19" t="n">
        <v>5276.818540527342</v>
      </c>
      <c r="P441" s="18" t="inlineStr">
        <is>
          <t>KHÔNG ĐỀ XUẤT TĂNG</t>
        </is>
      </c>
      <c r="Q441" s="17" t="inlineStr">
        <is>
          <t>Không</t>
        </is>
      </c>
      <c r="R441" s="20" t="n"/>
      <c r="S441" s="20" t="n"/>
      <c r="T441" s="21" t="n"/>
      <c r="U441" s="21" t="n"/>
      <c r="V441" s="22">
        <f>IF(U441="A",K441,IF(U441="B",L441,IF(U441="C",M441,IF(N441="A",K441,IF(N441="B",L441,M441)))))</f>
        <v/>
      </c>
      <c r="W441" s="22">
        <f>IF(R441="",O441,MAX(V441-R441-N(S441),0))</f>
        <v/>
      </c>
      <c r="X441" s="20" t="n"/>
      <c r="Y441" s="23">
        <f>IF(OR(X441="",W441=0),"",X441/W441-1)</f>
        <v/>
      </c>
      <c r="Z441" s="24" t="n"/>
      <c r="AA441" s="21" t="n"/>
      <c r="AB441" s="25" t="n"/>
      <c r="AC441" s="26">
        <f>IF(T441="","Chưa quyết định",IF(OR(Z441="",AA441=""),"⚠ Thiếu lý do/người duyệt",IF(AND(X441&lt;&gt;"",N(X441)+N(R441)+N(S441)&gt;M441*1.001,R441&lt;&gt;""),"⚠ Vượt mục tiêu P90",IF(AND(Y441&lt;&gt;"",ABS(N(Y441))&gt;0.3),"⚠ Lệch &gt; 30% so với nhu cầu",IF(Q441="Có","ℹ Kiểm tra ngoại suy KM","✓ Hợp lệ")))))</f>
        <v/>
      </c>
    </row>
    <row r="442">
      <c r="A442" s="16" t="n">
        <v>438</v>
      </c>
      <c r="B442" s="17" t="inlineStr">
        <is>
          <t>DEC-S08-BREAD_BAKERY</t>
        </is>
      </c>
      <c r="C442" s="16" t="n">
        <v>8</v>
      </c>
      <c r="D442" s="17" t="inlineStr">
        <is>
          <t>BREAD/BAKERY</t>
        </is>
      </c>
      <c r="E442" s="17" t="inlineStr">
        <is>
          <t>LOW</t>
        </is>
      </c>
      <c r="F442" s="17" t="inlineStr">
        <is>
          <t>TRUNG BÌNH</t>
        </is>
      </c>
      <c r="G442" s="18" t="inlineStr">
        <is>
          <t>RISK_LOW · LARGE_SERIES</t>
        </is>
      </c>
      <c r="H442" s="19" t="n">
        <v>12098.46136474609</v>
      </c>
      <c r="I442" s="19" t="n">
        <v>14058.72113037109</v>
      </c>
      <c r="J442" s="19" t="n">
        <v>16521.15887255859</v>
      </c>
      <c r="K442" s="19" t="n">
        <v>14058.72113037109</v>
      </c>
      <c r="L442" s="19" t="n">
        <v>15597.74471923828</v>
      </c>
      <c r="M442" s="19" t="n">
        <v>16521.15887255859</v>
      </c>
      <c r="N442" s="17" t="inlineStr">
        <is>
          <t>C</t>
        </is>
      </c>
      <c r="O442" s="19" t="n">
        <v>5274.181968261717</v>
      </c>
      <c r="P442" s="18" t="inlineStr">
        <is>
          <t>KHÔNG ĐỀ XUẤT TĂNG</t>
        </is>
      </c>
      <c r="Q442" s="17" t="inlineStr">
        <is>
          <t>Không</t>
        </is>
      </c>
      <c r="R442" s="20" t="n"/>
      <c r="S442" s="20" t="n"/>
      <c r="T442" s="21" t="n"/>
      <c r="U442" s="21" t="n"/>
      <c r="V442" s="22">
        <f>IF(U442="A",K442,IF(U442="B",L442,IF(U442="C",M442,IF(N442="A",K442,IF(N442="B",L442,M442)))))</f>
        <v/>
      </c>
      <c r="W442" s="22">
        <f>IF(R442="",O442,MAX(V442-R442-N(S442),0))</f>
        <v/>
      </c>
      <c r="X442" s="20" t="n"/>
      <c r="Y442" s="23">
        <f>IF(OR(X442="",W442=0),"",X442/W442-1)</f>
        <v/>
      </c>
      <c r="Z442" s="24" t="n"/>
      <c r="AA442" s="21" t="n"/>
      <c r="AB442" s="25" t="n"/>
      <c r="AC442" s="26">
        <f>IF(T442="","Chưa quyết định",IF(OR(Z442="",AA442=""),"⚠ Thiếu lý do/người duyệt",IF(AND(X442&lt;&gt;"",N(X442)+N(R442)+N(S442)&gt;M442*1.001,R442&lt;&gt;""),"⚠ Vượt mục tiêu P90",IF(AND(Y442&lt;&gt;"",ABS(N(Y442))&gt;0.3),"⚠ Lệch &gt; 30% so với nhu cầu",IF(Q442="Có","ℹ Kiểm tra ngoại suy KM","✓ Hợp lệ")))))</f>
        <v/>
      </c>
    </row>
    <row r="443">
      <c r="A443" s="16" t="n">
        <v>439</v>
      </c>
      <c r="B443" s="17" t="inlineStr">
        <is>
          <t>DEC-S34-CLEANING</t>
        </is>
      </c>
      <c r="C443" s="16" t="n">
        <v>34</v>
      </c>
      <c r="D443" s="17" t="inlineStr">
        <is>
          <t>CLEANING</t>
        </is>
      </c>
      <c r="E443" s="17" t="inlineStr">
        <is>
          <t>LOW</t>
        </is>
      </c>
      <c r="F443" s="17" t="inlineStr">
        <is>
          <t>TRUNG BÌNH</t>
        </is>
      </c>
      <c r="G443" s="18" t="inlineStr">
        <is>
          <t>RISK_LOW · LARGE_SERIES</t>
        </is>
      </c>
      <c r="H443" s="19" t="n">
        <v>11852.26843261719</v>
      </c>
      <c r="I443" s="19" t="n">
        <v>13812.52819824219</v>
      </c>
      <c r="J443" s="19" t="n">
        <v>16274.96594042969</v>
      </c>
      <c r="K443" s="19" t="n">
        <v>13812.52819824219</v>
      </c>
      <c r="L443" s="19" t="n">
        <v>15351.55178710937</v>
      </c>
      <c r="M443" s="19" t="n">
        <v>16274.96594042969</v>
      </c>
      <c r="N443" s="17" t="inlineStr">
        <is>
          <t>C</t>
        </is>
      </c>
      <c r="O443" s="19" t="n">
        <v>5224.943381835936</v>
      </c>
      <c r="P443" s="18" t="inlineStr">
        <is>
          <t>KHÔNG ĐỀ XUẤT TĂNG</t>
        </is>
      </c>
      <c r="Q443" s="17" t="inlineStr">
        <is>
          <t>Không</t>
        </is>
      </c>
      <c r="R443" s="20" t="n"/>
      <c r="S443" s="20" t="n"/>
      <c r="T443" s="21" t="n"/>
      <c r="U443" s="21" t="n"/>
      <c r="V443" s="22">
        <f>IF(U443="A",K443,IF(U443="B",L443,IF(U443="C",M443,IF(N443="A",K443,IF(N443="B",L443,M443)))))</f>
        <v/>
      </c>
      <c r="W443" s="22">
        <f>IF(R443="",O443,MAX(V443-R443-N(S443),0))</f>
        <v/>
      </c>
      <c r="X443" s="20" t="n"/>
      <c r="Y443" s="23">
        <f>IF(OR(X443="",W443=0),"",X443/W443-1)</f>
        <v/>
      </c>
      <c r="Z443" s="24" t="n"/>
      <c r="AA443" s="21" t="n"/>
      <c r="AB443" s="25" t="n"/>
      <c r="AC443" s="26">
        <f>IF(T443="","Chưa quyết định",IF(OR(Z443="",AA443=""),"⚠ Thiếu lý do/người duyệt",IF(AND(X443&lt;&gt;"",N(X443)+N(R443)+N(S443)&gt;M443*1.001,R443&lt;&gt;""),"⚠ Vượt mục tiêu P90",IF(AND(Y443&lt;&gt;"",ABS(N(Y443))&gt;0.3),"⚠ Lệch &gt; 30% so với nhu cầu",IF(Q443="Có","ℹ Kiểm tra ngoại suy KM","✓ Hợp lệ")))))</f>
        <v/>
      </c>
    </row>
    <row r="444">
      <c r="A444" s="16" t="n">
        <v>440</v>
      </c>
      <c r="B444" s="17" t="inlineStr">
        <is>
          <t>DEC-S38-DAIRY</t>
        </is>
      </c>
      <c r="C444" s="16" t="n">
        <v>38</v>
      </c>
      <c r="D444" s="17" t="inlineStr">
        <is>
          <t>DAIRY</t>
        </is>
      </c>
      <c r="E444" s="17" t="inlineStr">
        <is>
          <t>LOW</t>
        </is>
      </c>
      <c r="F444" s="17" t="inlineStr">
        <is>
          <t>TRUNG BÌNH</t>
        </is>
      </c>
      <c r="G444" s="18" t="inlineStr">
        <is>
          <t>RISK_LOW · LARGE_SERIES</t>
        </is>
      </c>
      <c r="H444" s="19" t="n">
        <v>11700.76666259766</v>
      </c>
      <c r="I444" s="19" t="n">
        <v>13661.02642822266</v>
      </c>
      <c r="J444" s="19" t="n">
        <v>16123.46417041016</v>
      </c>
      <c r="K444" s="19" t="n">
        <v>13661.02642822266</v>
      </c>
      <c r="L444" s="19" t="n">
        <v>15200.05001708984</v>
      </c>
      <c r="M444" s="19" t="n">
        <v>16123.46417041016</v>
      </c>
      <c r="N444" s="17" t="inlineStr">
        <is>
          <t>C</t>
        </is>
      </c>
      <c r="O444" s="19" t="n">
        <v>5194.643027832029</v>
      </c>
      <c r="P444" s="18" t="inlineStr">
        <is>
          <t>KHÔNG ĐỀ XUẤT TĂNG</t>
        </is>
      </c>
      <c r="Q444" s="17" t="inlineStr">
        <is>
          <t>Không</t>
        </is>
      </c>
      <c r="R444" s="20" t="n"/>
      <c r="S444" s="20" t="n"/>
      <c r="T444" s="21" t="n"/>
      <c r="U444" s="21" t="n"/>
      <c r="V444" s="22">
        <f>IF(U444="A",K444,IF(U444="B",L444,IF(U444="C",M444,IF(N444="A",K444,IF(N444="B",L444,M444)))))</f>
        <v/>
      </c>
      <c r="W444" s="22">
        <f>IF(R444="",O444,MAX(V444-R444-N(S444),0))</f>
        <v/>
      </c>
      <c r="X444" s="20" t="n"/>
      <c r="Y444" s="23">
        <f>IF(OR(X444="",W444=0),"",X444/W444-1)</f>
        <v/>
      </c>
      <c r="Z444" s="24" t="n"/>
      <c r="AA444" s="21" t="n"/>
      <c r="AB444" s="25" t="n"/>
      <c r="AC444" s="26">
        <f>IF(T444="","Chưa quyết định",IF(OR(Z444="",AA444=""),"⚠ Thiếu lý do/người duyệt",IF(AND(X444&lt;&gt;"",N(X444)+N(R444)+N(S444)&gt;M444*1.001,R444&lt;&gt;""),"⚠ Vượt mục tiêu P90",IF(AND(Y444&lt;&gt;"",ABS(N(Y444))&gt;0.3),"⚠ Lệch &gt; 30% so với nhu cầu",IF(Q444="Có","ℹ Kiểm tra ngoại suy KM","✓ Hợp lệ")))))</f>
        <v/>
      </c>
    </row>
    <row r="445">
      <c r="A445" s="16" t="n">
        <v>441</v>
      </c>
      <c r="B445" s="17" t="inlineStr">
        <is>
          <t>DEC-S39-BREAD_BAKERY</t>
        </is>
      </c>
      <c r="C445" s="16" t="n">
        <v>39</v>
      </c>
      <c r="D445" s="17" t="inlineStr">
        <is>
          <t>BREAD/BAKERY</t>
        </is>
      </c>
      <c r="E445" s="17" t="inlineStr">
        <is>
          <t>LOW</t>
        </is>
      </c>
      <c r="F445" s="17" t="inlineStr">
        <is>
          <t>TRUNG BÌNH</t>
        </is>
      </c>
      <c r="G445" s="18" t="inlineStr">
        <is>
          <t>RISK_LOW · LARGE_SERIES</t>
        </is>
      </c>
      <c r="H445" s="19" t="n">
        <v>11042.36541748047</v>
      </c>
      <c r="I445" s="19" t="n">
        <v>13002.62518310547</v>
      </c>
      <c r="J445" s="19" t="n">
        <v>15465.06292529297</v>
      </c>
      <c r="K445" s="19" t="n">
        <v>13002.62518310547</v>
      </c>
      <c r="L445" s="19" t="n">
        <v>14541.64877197266</v>
      </c>
      <c r="M445" s="19" t="n">
        <v>15465.06292529297</v>
      </c>
      <c r="N445" s="17" t="inlineStr">
        <is>
          <t>C</t>
        </is>
      </c>
      <c r="O445" s="19" t="n">
        <v>5062.962778808593</v>
      </c>
      <c r="P445" s="18" t="inlineStr">
        <is>
          <t>KHÔNG ĐỀ XUẤT TĂNG</t>
        </is>
      </c>
      <c r="Q445" s="17" t="inlineStr">
        <is>
          <t>Không</t>
        </is>
      </c>
      <c r="R445" s="20" t="n"/>
      <c r="S445" s="20" t="n"/>
      <c r="T445" s="21" t="n"/>
      <c r="U445" s="21" t="n"/>
      <c r="V445" s="22">
        <f>IF(U445="A",K445,IF(U445="B",L445,IF(U445="C",M445,IF(N445="A",K445,IF(N445="B",L445,M445)))))</f>
        <v/>
      </c>
      <c r="W445" s="22">
        <f>IF(R445="",O445,MAX(V445-R445-N(S445),0))</f>
        <v/>
      </c>
      <c r="X445" s="20" t="n"/>
      <c r="Y445" s="23">
        <f>IF(OR(X445="",W445=0),"",X445/W445-1)</f>
        <v/>
      </c>
      <c r="Z445" s="24" t="n"/>
      <c r="AA445" s="21" t="n"/>
      <c r="AB445" s="25" t="n"/>
      <c r="AC445" s="26">
        <f>IF(T445="","Chưa quyết định",IF(OR(Z445="",AA445=""),"⚠ Thiếu lý do/người duyệt",IF(AND(X445&lt;&gt;"",N(X445)+N(R445)+N(S445)&gt;M445*1.001,R445&lt;&gt;""),"⚠ Vượt mục tiêu P90",IF(AND(Y445&lt;&gt;"",ABS(N(Y445))&gt;0.3),"⚠ Lệch &gt; 30% so với nhu cầu",IF(Q445="Có","ℹ Kiểm tra ngoại suy KM","✓ Hợp lệ")))))</f>
        <v/>
      </c>
    </row>
    <row r="446">
      <c r="A446" s="16" t="n">
        <v>442</v>
      </c>
      <c r="B446" s="17" t="inlineStr">
        <is>
          <t>DEC-S17-DAIRY</t>
        </is>
      </c>
      <c r="C446" s="16" t="n">
        <v>17</v>
      </c>
      <c r="D446" s="17" t="inlineStr">
        <is>
          <t>DAIRY</t>
        </is>
      </c>
      <c r="E446" s="17" t="inlineStr">
        <is>
          <t>LOW</t>
        </is>
      </c>
      <c r="F446" s="17" t="inlineStr">
        <is>
          <t>TRUNG BÌNH</t>
        </is>
      </c>
      <c r="G446" s="18" t="inlineStr">
        <is>
          <t>RISK_LOW · LARGE_SERIES</t>
        </is>
      </c>
      <c r="H446" s="19" t="n">
        <v>10850.94354248047</v>
      </c>
      <c r="I446" s="19" t="n">
        <v>12811.20330810547</v>
      </c>
      <c r="J446" s="19" t="n">
        <v>15273.64105029297</v>
      </c>
      <c r="K446" s="19" t="n">
        <v>12811.20330810547</v>
      </c>
      <c r="L446" s="19" t="n">
        <v>14350.22689697266</v>
      </c>
      <c r="M446" s="19" t="n">
        <v>15273.64105029297</v>
      </c>
      <c r="N446" s="17" t="inlineStr">
        <is>
          <t>C</t>
        </is>
      </c>
      <c r="O446" s="19" t="n">
        <v>5024.678403808592</v>
      </c>
      <c r="P446" s="18" t="inlineStr">
        <is>
          <t>KHÔNG ĐỀ XUẤT TĂNG</t>
        </is>
      </c>
      <c r="Q446" s="17" t="inlineStr">
        <is>
          <t>Không</t>
        </is>
      </c>
      <c r="R446" s="20" t="n"/>
      <c r="S446" s="20" t="n"/>
      <c r="T446" s="21" t="n"/>
      <c r="U446" s="21" t="n"/>
      <c r="V446" s="22">
        <f>IF(U446="A",K446,IF(U446="B",L446,IF(U446="C",M446,IF(N446="A",K446,IF(N446="B",L446,M446)))))</f>
        <v/>
      </c>
      <c r="W446" s="22">
        <f>IF(R446="",O446,MAX(V446-R446-N(S446),0))</f>
        <v/>
      </c>
      <c r="X446" s="20" t="n"/>
      <c r="Y446" s="23">
        <f>IF(OR(X446="",W446=0),"",X446/W446-1)</f>
        <v/>
      </c>
      <c r="Z446" s="24" t="n"/>
      <c r="AA446" s="21" t="n"/>
      <c r="AB446" s="25" t="n"/>
      <c r="AC446" s="26">
        <f>IF(T446="","Chưa quyết định",IF(OR(Z446="",AA446=""),"⚠ Thiếu lý do/người duyệt",IF(AND(X446&lt;&gt;"",N(X446)+N(R446)+N(S446)&gt;M446*1.001,R446&lt;&gt;""),"⚠ Vượt mục tiêu P90",IF(AND(Y446&lt;&gt;"",ABS(N(Y446))&gt;0.3),"⚠ Lệch &gt; 30% so với nhu cầu",IF(Q446="Có","ℹ Kiểm tra ngoại suy KM","✓ Hợp lệ")))))</f>
        <v/>
      </c>
    </row>
    <row r="447">
      <c r="A447" s="16" t="n">
        <v>443</v>
      </c>
      <c r="B447" s="17" t="inlineStr">
        <is>
          <t>DEC-S52-BREAD_BAKERY</t>
        </is>
      </c>
      <c r="C447" s="16" t="n">
        <v>52</v>
      </c>
      <c r="D447" s="17" t="inlineStr">
        <is>
          <t>BREAD/BAKERY</t>
        </is>
      </c>
      <c r="E447" s="17" t="inlineStr">
        <is>
          <t>LOW</t>
        </is>
      </c>
      <c r="F447" s="17" t="inlineStr">
        <is>
          <t>TRUNG BÌNH</t>
        </is>
      </c>
      <c r="G447" s="18" t="inlineStr">
        <is>
          <t>RISK_LOW · LARGE_SERIES</t>
        </is>
      </c>
      <c r="H447" s="19" t="n">
        <v>10828.89099121094</v>
      </c>
      <c r="I447" s="19" t="n">
        <v>12789.15075683594</v>
      </c>
      <c r="J447" s="19" t="n">
        <v>15251.58849902344</v>
      </c>
      <c r="K447" s="19" t="n">
        <v>12789.15075683594</v>
      </c>
      <c r="L447" s="19" t="n">
        <v>14328.17434570312</v>
      </c>
      <c r="M447" s="19" t="n">
        <v>15251.58849902344</v>
      </c>
      <c r="N447" s="17" t="inlineStr">
        <is>
          <t>C</t>
        </is>
      </c>
      <c r="O447" s="19" t="n">
        <v>5020.267893554685</v>
      </c>
      <c r="P447" s="18" t="inlineStr">
        <is>
          <t>KHÔNG ĐỀ XUẤT TĂNG</t>
        </is>
      </c>
      <c r="Q447" s="17" t="inlineStr">
        <is>
          <t>Không</t>
        </is>
      </c>
      <c r="R447" s="20" t="n"/>
      <c r="S447" s="20" t="n"/>
      <c r="T447" s="21" t="n"/>
      <c r="U447" s="21" t="n"/>
      <c r="V447" s="22">
        <f>IF(U447="A",K447,IF(U447="B",L447,IF(U447="C",M447,IF(N447="A",K447,IF(N447="B",L447,M447)))))</f>
        <v/>
      </c>
      <c r="W447" s="22">
        <f>IF(R447="",O447,MAX(V447-R447-N(S447),0))</f>
        <v/>
      </c>
      <c r="X447" s="20" t="n"/>
      <c r="Y447" s="23">
        <f>IF(OR(X447="",W447=0),"",X447/W447-1)</f>
        <v/>
      </c>
      <c r="Z447" s="24" t="n"/>
      <c r="AA447" s="21" t="n"/>
      <c r="AB447" s="25" t="n"/>
      <c r="AC447" s="26">
        <f>IF(T447="","Chưa quyết định",IF(OR(Z447="",AA447=""),"⚠ Thiếu lý do/người duyệt",IF(AND(X447&lt;&gt;"",N(X447)+N(R447)+N(S447)&gt;M447*1.001,R447&lt;&gt;""),"⚠ Vượt mục tiêu P90",IF(AND(Y447&lt;&gt;"",ABS(N(Y447))&gt;0.3),"⚠ Lệch &gt; 30% so với nhu cầu",IF(Q447="Có","ℹ Kiểm tra ngoại suy KM","✓ Hợp lệ")))))</f>
        <v/>
      </c>
    </row>
    <row r="448">
      <c r="A448" s="16" t="n">
        <v>444</v>
      </c>
      <c r="B448" s="17" t="inlineStr">
        <is>
          <t>DEC-S12-CLEANING</t>
        </is>
      </c>
      <c r="C448" s="16" t="n">
        <v>12</v>
      </c>
      <c r="D448" s="17" t="inlineStr">
        <is>
          <t>CLEANING</t>
        </is>
      </c>
      <c r="E448" s="17" t="inlineStr">
        <is>
          <t>LOW</t>
        </is>
      </c>
      <c r="F448" s="17" t="inlineStr">
        <is>
          <t>TRUNG BÌNH</t>
        </is>
      </c>
      <c r="G448" s="18" t="inlineStr">
        <is>
          <t>RISK_LOW · LARGE_SERIES</t>
        </is>
      </c>
      <c r="H448" s="19" t="n">
        <v>10756.75085449219</v>
      </c>
      <c r="I448" s="19" t="n">
        <v>12717.01062011719</v>
      </c>
      <c r="J448" s="19" t="n">
        <v>15179.44836230469</v>
      </c>
      <c r="K448" s="19" t="n">
        <v>12717.01062011719</v>
      </c>
      <c r="L448" s="19" t="n">
        <v>14256.03420898437</v>
      </c>
      <c r="M448" s="19" t="n">
        <v>15179.44836230469</v>
      </c>
      <c r="N448" s="17" t="inlineStr">
        <is>
          <t>C</t>
        </is>
      </c>
      <c r="O448" s="19" t="n">
        <v>5005.839866210936</v>
      </c>
      <c r="P448" s="18" t="inlineStr">
        <is>
          <t>KHÔNG ĐỀ XUẤT TĂNG</t>
        </is>
      </c>
      <c r="Q448" s="17" t="inlineStr">
        <is>
          <t>Không</t>
        </is>
      </c>
      <c r="R448" s="20" t="n"/>
      <c r="S448" s="20" t="n"/>
      <c r="T448" s="21" t="n"/>
      <c r="U448" s="21" t="n"/>
      <c r="V448" s="22">
        <f>IF(U448="A",K448,IF(U448="B",L448,IF(U448="C",M448,IF(N448="A",K448,IF(N448="B",L448,M448)))))</f>
        <v/>
      </c>
      <c r="W448" s="22">
        <f>IF(R448="",O448,MAX(V448-R448-N(S448),0))</f>
        <v/>
      </c>
      <c r="X448" s="20" t="n"/>
      <c r="Y448" s="23">
        <f>IF(OR(X448="",W448=0),"",X448/W448-1)</f>
        <v/>
      </c>
      <c r="Z448" s="24" t="n"/>
      <c r="AA448" s="21" t="n"/>
      <c r="AB448" s="25" t="n"/>
      <c r="AC448" s="26">
        <f>IF(T448="","Chưa quyết định",IF(OR(Z448="",AA448=""),"⚠ Thiếu lý do/người duyệt",IF(AND(X448&lt;&gt;"",N(X448)+N(R448)+N(S448)&gt;M448*1.001,R448&lt;&gt;""),"⚠ Vượt mục tiêu P90",IF(AND(Y448&lt;&gt;"",ABS(N(Y448))&gt;0.3),"⚠ Lệch &gt; 30% so với nhu cầu",IF(Q448="Có","ℹ Kiểm tra ngoại suy KM","✓ Hợp lệ")))))</f>
        <v/>
      </c>
    </row>
    <row r="449">
      <c r="A449" s="16" t="n">
        <v>445</v>
      </c>
      <c r="B449" s="17" t="inlineStr">
        <is>
          <t>DEC-S11-SCHOOL_AND_OFFICE_SUPPLIES</t>
        </is>
      </c>
      <c r="C449" s="16" t="n">
        <v>11</v>
      </c>
      <c r="D449" s="17" t="inlineStr">
        <is>
          <t>SCHOOL AND OFFICE SUPPLIES</t>
        </is>
      </c>
      <c r="E449" s="17" t="inlineStr">
        <is>
          <t>HIGH</t>
        </is>
      </c>
      <c r="F449" s="17" t="inlineStr">
        <is>
          <t>TRUNG BÌNH</t>
        </is>
      </c>
      <c r="G449" s="18" t="inlineStr">
        <is>
          <t>RISK_HIGH · PROMO_EXTRAPOLATION</t>
        </is>
      </c>
      <c r="H449" s="19" t="n">
        <v>293.4311599731445</v>
      </c>
      <c r="I449" s="19" t="n">
        <v>530.5359592437744</v>
      </c>
      <c r="J449" s="19" t="n">
        <v>857.5986747741699</v>
      </c>
      <c r="K449" s="19" t="n">
        <v>530.5359592437744</v>
      </c>
      <c r="L449" s="19" t="n">
        <v>734.9501564502716</v>
      </c>
      <c r="M449" s="19" t="n">
        <v>857.5986747741699</v>
      </c>
      <c r="N449" s="17" t="inlineStr">
        <is>
          <t>B</t>
        </is>
      </c>
      <c r="O449" s="19" t="n">
        <v>310.521389055252</v>
      </c>
      <c r="P449" s="18" t="inlineStr">
        <is>
          <t>KHÔNG ĐỀ XUẤT TĂNG</t>
        </is>
      </c>
      <c r="Q449" s="17" t="inlineStr">
        <is>
          <t>Có</t>
        </is>
      </c>
      <c r="R449" s="20" t="n"/>
      <c r="S449" s="20" t="n"/>
      <c r="T449" s="21" t="n"/>
      <c r="U449" s="21" t="n"/>
      <c r="V449" s="22">
        <f>IF(U449="A",K449,IF(U449="B",L449,IF(U449="C",M449,IF(N449="A",K449,IF(N449="B",L449,M449)))))</f>
        <v/>
      </c>
      <c r="W449" s="22">
        <f>IF(R449="",O449,MAX(V449-R449-N(S449),0))</f>
        <v/>
      </c>
      <c r="X449" s="20" t="n"/>
      <c r="Y449" s="23">
        <f>IF(OR(X449="",W449=0),"",X449/W449-1)</f>
        <v/>
      </c>
      <c r="Z449" s="24" t="n"/>
      <c r="AA449" s="21" t="n"/>
      <c r="AB449" s="25" t="n"/>
      <c r="AC449" s="26">
        <f>IF(T449="","Chưa quyết định",IF(OR(Z449="",AA449=""),"⚠ Thiếu lý do/người duyệt",IF(AND(X449&lt;&gt;"",N(X449)+N(R449)+N(S449)&gt;M449*1.001,R449&lt;&gt;""),"⚠ Vượt mục tiêu P90",IF(AND(Y449&lt;&gt;"",ABS(N(Y449))&gt;0.3),"⚠ Lệch &gt; 30% so với nhu cầu",IF(Q449="Có","ℹ Kiểm tra ngoại suy KM","✓ Hợp lệ")))))</f>
        <v/>
      </c>
    </row>
    <row r="450">
      <c r="A450" s="16" t="n">
        <v>446</v>
      </c>
      <c r="B450" s="17" t="inlineStr">
        <is>
          <t>DEC-S10-SCHOOL_AND_OFFICE_SUPPLIES</t>
        </is>
      </c>
      <c r="C450" s="16" t="n">
        <v>10</v>
      </c>
      <c r="D450" s="17" t="inlineStr">
        <is>
          <t>SCHOOL AND OFFICE SUPPLIES</t>
        </is>
      </c>
      <c r="E450" s="17" t="inlineStr">
        <is>
          <t>HIGH</t>
        </is>
      </c>
      <c r="F450" s="17" t="inlineStr">
        <is>
          <t>TRUNG BÌNH</t>
        </is>
      </c>
      <c r="G450" s="18" t="inlineStr">
        <is>
          <t>RISK_HIGH · PROMO_EXTRAPOLATION</t>
        </is>
      </c>
      <c r="H450" s="19" t="n">
        <v>360.0933418273926</v>
      </c>
      <c r="I450" s="19" t="n">
        <v>528.2018203735352</v>
      </c>
      <c r="J450" s="19" t="n">
        <v>773.4250416145325</v>
      </c>
      <c r="K450" s="19" t="n">
        <v>528.2018203735352</v>
      </c>
      <c r="L450" s="19" t="n">
        <v>681.4663336491585</v>
      </c>
      <c r="M450" s="19" t="n">
        <v>773.4250416145325</v>
      </c>
      <c r="N450" s="17" t="inlineStr">
        <is>
          <t>B</t>
        </is>
      </c>
      <c r="O450" s="19" t="n">
        <v>258.9048773503304</v>
      </c>
      <c r="P450" s="18" t="inlineStr">
        <is>
          <t>KHÔNG ĐỀ XUẤT TĂNG</t>
        </is>
      </c>
      <c r="Q450" s="17" t="inlineStr">
        <is>
          <t>Có</t>
        </is>
      </c>
      <c r="R450" s="20" t="n"/>
      <c r="S450" s="20" t="n"/>
      <c r="T450" s="21" t="n"/>
      <c r="U450" s="21" t="n"/>
      <c r="V450" s="22">
        <f>IF(U450="A",K450,IF(U450="B",L450,IF(U450="C",M450,IF(N450="A",K450,IF(N450="B",L450,M450)))))</f>
        <v/>
      </c>
      <c r="W450" s="22">
        <f>IF(R450="",O450,MAX(V450-R450-N(S450),0))</f>
        <v/>
      </c>
      <c r="X450" s="20" t="n"/>
      <c r="Y450" s="23">
        <f>IF(OR(X450="",W450=0),"",X450/W450-1)</f>
        <v/>
      </c>
      <c r="Z450" s="24" t="n"/>
      <c r="AA450" s="21" t="n"/>
      <c r="AB450" s="25" t="n"/>
      <c r="AC450" s="26">
        <f>IF(T450="","Chưa quyết định",IF(OR(Z450="",AA450=""),"⚠ Thiếu lý do/người duyệt",IF(AND(X450&lt;&gt;"",N(X450)+N(R450)+N(S450)&gt;M450*1.001,R450&lt;&gt;""),"⚠ Vượt mục tiêu P90",IF(AND(Y450&lt;&gt;"",ABS(N(Y450))&gt;0.3),"⚠ Lệch &gt; 30% so với nhu cầu",IF(Q450="Có","ℹ Kiểm tra ngoại suy KM","✓ Hợp lệ")))))</f>
        <v/>
      </c>
    </row>
    <row r="451">
      <c r="A451" s="16" t="n">
        <v>447</v>
      </c>
      <c r="B451" s="17" t="inlineStr">
        <is>
          <t>DEC-S12-SCHOOL_AND_OFFICE_SUPPLIES</t>
        </is>
      </c>
      <c r="C451" s="16" t="n">
        <v>12</v>
      </c>
      <c r="D451" s="17" t="inlineStr">
        <is>
          <t>SCHOOL AND OFFICE SUPPLIES</t>
        </is>
      </c>
      <c r="E451" s="17" t="inlineStr">
        <is>
          <t>HIGH</t>
        </is>
      </c>
      <c r="F451" s="17" t="inlineStr">
        <is>
          <t>TRUNG BÌNH</t>
        </is>
      </c>
      <c r="G451" s="18" t="inlineStr">
        <is>
          <t>RISK_HIGH · PROMO_EXTRAPOLATION</t>
        </is>
      </c>
      <c r="H451" s="19" t="n">
        <v>245.3273944854736</v>
      </c>
      <c r="I451" s="19" t="n">
        <v>409.8410367965698</v>
      </c>
      <c r="J451" s="19" t="n">
        <v>668.0589959144593</v>
      </c>
      <c r="K451" s="19" t="n">
        <v>409.8410367965698</v>
      </c>
      <c r="L451" s="19" t="n">
        <v>571.2272612452507</v>
      </c>
      <c r="M451" s="19" t="n">
        <v>668.0589959144593</v>
      </c>
      <c r="N451" s="17" t="inlineStr">
        <is>
          <t>B</t>
        </is>
      </c>
      <c r="O451" s="19" t="n">
        <v>243.3544318079948</v>
      </c>
      <c r="P451" s="18" t="inlineStr">
        <is>
          <t>CÂN NHẮC THỬ NGHIỆM</t>
        </is>
      </c>
      <c r="Q451" s="17" t="inlineStr">
        <is>
          <t>Có</t>
        </is>
      </c>
      <c r="R451" s="20" t="n"/>
      <c r="S451" s="20" t="n"/>
      <c r="T451" s="21" t="n"/>
      <c r="U451" s="21" t="n"/>
      <c r="V451" s="22">
        <f>IF(U451="A",K451,IF(U451="B",L451,IF(U451="C",M451,IF(N451="A",K451,IF(N451="B",L451,M451)))))</f>
        <v/>
      </c>
      <c r="W451" s="22">
        <f>IF(R451="",O451,MAX(V451-R451-N(S451),0))</f>
        <v/>
      </c>
      <c r="X451" s="20" t="n"/>
      <c r="Y451" s="23">
        <f>IF(OR(X451="",W451=0),"",X451/W451-1)</f>
        <v/>
      </c>
      <c r="Z451" s="24" t="n"/>
      <c r="AA451" s="21" t="n"/>
      <c r="AB451" s="25" t="n"/>
      <c r="AC451" s="26">
        <f>IF(T451="","Chưa quyết định",IF(OR(Z451="",AA451=""),"⚠ Thiếu lý do/người duyệt",IF(AND(X451&lt;&gt;"",N(X451)+N(R451)+N(S451)&gt;M451*1.001,R451&lt;&gt;""),"⚠ Vượt mục tiêu P90",IF(AND(Y451&lt;&gt;"",ABS(N(Y451))&gt;0.3),"⚠ Lệch &gt; 30% so với nhu cầu",IF(Q451="Có","ℹ Kiểm tra ngoại suy KM","✓ Hợp lệ")))))</f>
        <v/>
      </c>
    </row>
    <row r="452">
      <c r="A452" s="16" t="n">
        <v>448</v>
      </c>
      <c r="B452" s="17" t="inlineStr">
        <is>
          <t>DEC-S11-CELEBRATION</t>
        </is>
      </c>
      <c r="C452" s="16" t="n">
        <v>11</v>
      </c>
      <c r="D452" s="17" t="inlineStr">
        <is>
          <t>CELEBRATION</t>
        </is>
      </c>
      <c r="E452" s="17" t="inlineStr">
        <is>
          <t>HIGH</t>
        </is>
      </c>
      <c r="F452" s="17" t="inlineStr">
        <is>
          <t>TRUNG BÌNH</t>
        </is>
      </c>
      <c r="G452" s="18" t="inlineStr">
        <is>
          <t>RISK_HIGH · PROMO_EXTRAPOLATION</t>
        </is>
      </c>
      <c r="H452" s="19" t="n">
        <v>161.9200487136841</v>
      </c>
      <c r="I452" s="19" t="n">
        <v>372.0910596847534</v>
      </c>
      <c r="J452" s="19" t="n">
        <v>659.1570596694946</v>
      </c>
      <c r="K452" s="19" t="n">
        <v>372.0910596847534</v>
      </c>
      <c r="L452" s="19" t="n">
        <v>551.5073096752167</v>
      </c>
      <c r="M452" s="19" t="n">
        <v>659.1570596694946</v>
      </c>
      <c r="N452" s="17" t="inlineStr">
        <is>
          <t>B</t>
        </is>
      </c>
      <c r="O452" s="19" t="n">
        <v>253.834461927414</v>
      </c>
      <c r="P452" s="18" t="inlineStr">
        <is>
          <t>CÂN NHẮC THỬ NGHIỆM</t>
        </is>
      </c>
      <c r="Q452" s="17" t="inlineStr">
        <is>
          <t>Có</t>
        </is>
      </c>
      <c r="R452" s="20" t="n"/>
      <c r="S452" s="20" t="n"/>
      <c r="T452" s="21" t="n"/>
      <c r="U452" s="21" t="n"/>
      <c r="V452" s="22">
        <f>IF(U452="A",K452,IF(U452="B",L452,IF(U452="C",M452,IF(N452="A",K452,IF(N452="B",L452,M452)))))</f>
        <v/>
      </c>
      <c r="W452" s="22">
        <f>IF(R452="",O452,MAX(V452-R452-N(S452),0))</f>
        <v/>
      </c>
      <c r="X452" s="20" t="n"/>
      <c r="Y452" s="23">
        <f>IF(OR(X452="",W452=0),"",X452/W452-1)</f>
        <v/>
      </c>
      <c r="Z452" s="24" t="n"/>
      <c r="AA452" s="21" t="n"/>
      <c r="AB452" s="25" t="n"/>
      <c r="AC452" s="26">
        <f>IF(T452="","Chưa quyết định",IF(OR(Z452="",AA452=""),"⚠ Thiếu lý do/người duyệt",IF(AND(X452&lt;&gt;"",N(X452)+N(R452)+N(S452)&gt;M452*1.001,R452&lt;&gt;""),"⚠ Vượt mục tiêu P90",IF(AND(Y452&lt;&gt;"",ABS(N(Y452))&gt;0.3),"⚠ Lệch &gt; 30% so với nhu cầu",IF(Q452="Có","ℹ Kiểm tra ngoại suy KM","✓ Hợp lệ")))))</f>
        <v/>
      </c>
    </row>
    <row r="453">
      <c r="A453" s="16" t="n">
        <v>449</v>
      </c>
      <c r="B453" s="17" t="inlineStr">
        <is>
          <t>DEC-S29-GROCERY_II</t>
        </is>
      </c>
      <c r="C453" s="16" t="n">
        <v>29</v>
      </c>
      <c r="D453" s="17" t="inlineStr">
        <is>
          <t>GROCERY II</t>
        </is>
      </c>
      <c r="E453" s="17" t="inlineStr">
        <is>
          <t>HIGH</t>
        </is>
      </c>
      <c r="F453" s="17" t="inlineStr">
        <is>
          <t>TRUNG BÌNH</t>
        </is>
      </c>
      <c r="G453" s="18" t="inlineStr">
        <is>
          <t>RISK_HIGH · PROMO_EXTRAPOLATION</t>
        </is>
      </c>
      <c r="H453" s="19" t="n">
        <v>156.4779605865479</v>
      </c>
      <c r="I453" s="19" t="n">
        <v>366.6489715576172</v>
      </c>
      <c r="J453" s="19" t="n">
        <v>653.7149715423584</v>
      </c>
      <c r="K453" s="19" t="n">
        <v>366.6489715576172</v>
      </c>
      <c r="L453" s="19" t="n">
        <v>546.0652215480804</v>
      </c>
      <c r="M453" s="19" t="n">
        <v>653.7149715423584</v>
      </c>
      <c r="N453" s="17" t="inlineStr">
        <is>
          <t>B</t>
        </is>
      </c>
      <c r="O453" s="19" t="n">
        <v>252.7460443019867</v>
      </c>
      <c r="P453" s="18" t="inlineStr">
        <is>
          <t>CÂN NHẮC THỬ NGHIỆM</t>
        </is>
      </c>
      <c r="Q453" s="17" t="inlineStr">
        <is>
          <t>Có</t>
        </is>
      </c>
      <c r="R453" s="20" t="n"/>
      <c r="S453" s="20" t="n"/>
      <c r="T453" s="21" t="n"/>
      <c r="U453" s="21" t="n"/>
      <c r="V453" s="22">
        <f>IF(U453="A",K453,IF(U453="B",L453,IF(U453="C",M453,IF(N453="A",K453,IF(N453="B",L453,M453)))))</f>
        <v/>
      </c>
      <c r="W453" s="22">
        <f>IF(R453="",O453,MAX(V453-R453-N(S453),0))</f>
        <v/>
      </c>
      <c r="X453" s="20" t="n"/>
      <c r="Y453" s="23">
        <f>IF(OR(X453="",W453=0),"",X453/W453-1)</f>
        <v/>
      </c>
      <c r="Z453" s="24" t="n"/>
      <c r="AA453" s="21" t="n"/>
      <c r="AB453" s="25" t="n"/>
      <c r="AC453" s="26">
        <f>IF(T453="","Chưa quyết định",IF(OR(Z453="",AA453=""),"⚠ Thiếu lý do/người duyệt",IF(AND(X453&lt;&gt;"",N(X453)+N(R453)+N(S453)&gt;M453*1.001,R453&lt;&gt;""),"⚠ Vượt mục tiêu P90",IF(AND(Y453&lt;&gt;"",ABS(N(Y453))&gt;0.3),"⚠ Lệch &gt; 30% so với nhu cầu",IF(Q453="Có","ℹ Kiểm tra ngoại suy KM","✓ Hợp lệ")))))</f>
        <v/>
      </c>
    </row>
    <row r="454">
      <c r="A454" s="16" t="n">
        <v>450</v>
      </c>
      <c r="B454" s="17" t="inlineStr">
        <is>
          <t>DEC-S02-HOME_AND_KITCHEN_I</t>
        </is>
      </c>
      <c r="C454" s="16" t="n">
        <v>2</v>
      </c>
      <c r="D454" s="17" t="inlineStr">
        <is>
          <t>HOME AND KITCHEN I</t>
        </is>
      </c>
      <c r="E454" s="17" t="inlineStr">
        <is>
          <t>HIGH</t>
        </is>
      </c>
      <c r="F454" s="17" t="inlineStr">
        <is>
          <t>TRUNG BÌNH</t>
        </is>
      </c>
      <c r="G454" s="18" t="inlineStr">
        <is>
          <t>RISK_HIGH · PROMO_EXTRAPOLATION</t>
        </is>
      </c>
      <c r="H454" s="19" t="n">
        <v>153.9893169403076</v>
      </c>
      <c r="I454" s="19" t="n">
        <v>354.822582244873</v>
      </c>
      <c r="J454" s="19" t="n">
        <v>626.1358123626709</v>
      </c>
      <c r="K454" s="19" t="n">
        <v>354.822582244873</v>
      </c>
      <c r="L454" s="19" t="n">
        <v>524.3933510684967</v>
      </c>
      <c r="M454" s="19" t="n">
        <v>626.1358123626709</v>
      </c>
      <c r="N454" s="17" t="inlineStr">
        <is>
          <t>B</t>
        </is>
      </c>
      <c r="O454" s="19" t="n">
        <v>240.5352852725983</v>
      </c>
      <c r="P454" s="18" t="inlineStr">
        <is>
          <t>CÂN NHẮC THỬ NGHIỆM</t>
        </is>
      </c>
      <c r="Q454" s="17" t="inlineStr">
        <is>
          <t>Có</t>
        </is>
      </c>
      <c r="R454" s="20" t="n"/>
      <c r="S454" s="20" t="n"/>
      <c r="T454" s="21" t="n"/>
      <c r="U454" s="21" t="n"/>
      <c r="V454" s="22">
        <f>IF(U454="A",K454,IF(U454="B",L454,IF(U454="C",M454,IF(N454="A",K454,IF(N454="B",L454,M454)))))</f>
        <v/>
      </c>
      <c r="W454" s="22">
        <f>IF(R454="",O454,MAX(V454-R454-N(S454),0))</f>
        <v/>
      </c>
      <c r="X454" s="20" t="n"/>
      <c r="Y454" s="23">
        <f>IF(OR(X454="",W454=0),"",X454/W454-1)</f>
        <v/>
      </c>
      <c r="Z454" s="24" t="n"/>
      <c r="AA454" s="21" t="n"/>
      <c r="AB454" s="25" t="n"/>
      <c r="AC454" s="26">
        <f>IF(T454="","Chưa quyết định",IF(OR(Z454="",AA454=""),"⚠ Thiếu lý do/người duyệt",IF(AND(X454&lt;&gt;"",N(X454)+N(R454)+N(S454)&gt;M454*1.001,R454&lt;&gt;""),"⚠ Vượt mục tiêu P90",IF(AND(Y454&lt;&gt;"",ABS(N(Y454))&gt;0.3),"⚠ Lệch &gt; 30% so với nhu cầu",IF(Q454="Có","ℹ Kiểm tra ngoại suy KM","✓ Hợp lệ")))))</f>
        <v/>
      </c>
    </row>
    <row r="455">
      <c r="A455" s="16" t="n">
        <v>451</v>
      </c>
      <c r="B455" s="17" t="inlineStr">
        <is>
          <t>DEC-S06-LINGERIE</t>
        </is>
      </c>
      <c r="C455" s="16" t="n">
        <v>6</v>
      </c>
      <c r="D455" s="17" t="inlineStr">
        <is>
          <t>LINGERIE</t>
        </is>
      </c>
      <c r="E455" s="17" t="inlineStr">
        <is>
          <t>HIGH</t>
        </is>
      </c>
      <c r="F455" s="17" t="inlineStr">
        <is>
          <t>TRUNG BÌNH</t>
        </is>
      </c>
      <c r="G455" s="18" t="inlineStr">
        <is>
          <t>RISK_HIGH · PROMO_EXTRAPOLATION</t>
        </is>
      </c>
      <c r="H455" s="19" t="n">
        <v>138.2102336883545</v>
      </c>
      <c r="I455" s="19" t="n">
        <v>346.9431438446045</v>
      </c>
      <c r="J455" s="19" t="n">
        <v>635.8344869613647</v>
      </c>
      <c r="K455" s="19" t="n">
        <v>346.9431438446045</v>
      </c>
      <c r="L455" s="19" t="n">
        <v>527.5002332925797</v>
      </c>
      <c r="M455" s="19" t="n">
        <v>635.8344869613647</v>
      </c>
      <c r="N455" s="17" t="inlineStr">
        <is>
          <t>B</t>
        </is>
      </c>
      <c r="O455" s="19" t="n">
        <v>249.9457182168961</v>
      </c>
      <c r="P455" s="18" t="inlineStr">
        <is>
          <t>CÂN NHẮC THỬ NGHIỆM</t>
        </is>
      </c>
      <c r="Q455" s="17" t="inlineStr">
        <is>
          <t>Có</t>
        </is>
      </c>
      <c r="R455" s="20" t="n"/>
      <c r="S455" s="20" t="n"/>
      <c r="T455" s="21" t="n"/>
      <c r="U455" s="21" t="n"/>
      <c r="V455" s="22">
        <f>IF(U455="A",K455,IF(U455="B",L455,IF(U455="C",M455,IF(N455="A",K455,IF(N455="B",L455,M455)))))</f>
        <v/>
      </c>
      <c r="W455" s="22">
        <f>IF(R455="",O455,MAX(V455-R455-N(S455),0))</f>
        <v/>
      </c>
      <c r="X455" s="20" t="n"/>
      <c r="Y455" s="23">
        <f>IF(OR(X455="",W455=0),"",X455/W455-1)</f>
        <v/>
      </c>
      <c r="Z455" s="24" t="n"/>
      <c r="AA455" s="21" t="n"/>
      <c r="AB455" s="25" t="n"/>
      <c r="AC455" s="26">
        <f>IF(T455="","Chưa quyết định",IF(OR(Z455="",AA455=""),"⚠ Thiếu lý do/người duyệt",IF(AND(X455&lt;&gt;"",N(X455)+N(R455)+N(S455)&gt;M455*1.001,R455&lt;&gt;""),"⚠ Vượt mục tiêu P90",IF(AND(Y455&lt;&gt;"",ABS(N(Y455))&gt;0.3),"⚠ Lệch &gt; 30% so với nhu cầu",IF(Q455="Có","ℹ Kiểm tra ngoại suy KM","✓ Hợp lệ")))))</f>
        <v/>
      </c>
    </row>
    <row r="456">
      <c r="A456" s="16" t="n">
        <v>452</v>
      </c>
      <c r="B456" s="17" t="inlineStr">
        <is>
          <t>DEC-S47-BEAUTY</t>
        </is>
      </c>
      <c r="C456" s="16" t="n">
        <v>47</v>
      </c>
      <c r="D456" s="17" t="inlineStr">
        <is>
          <t>BEAUTY</t>
        </is>
      </c>
      <c r="E456" s="17" t="inlineStr">
        <is>
          <t>HIGH</t>
        </is>
      </c>
      <c r="F456" s="17" t="inlineStr">
        <is>
          <t>TRUNG BÌNH</t>
        </is>
      </c>
      <c r="G456" s="18" t="inlineStr">
        <is>
          <t>RISK_HIGH · PROMO_EXTRAPOLATION</t>
        </is>
      </c>
      <c r="H456" s="19" t="n">
        <v>148.7106742858887</v>
      </c>
      <c r="I456" s="19" t="n">
        <v>346.0073251724243</v>
      </c>
      <c r="J456" s="19" t="n">
        <v>614.9003105163574</v>
      </c>
      <c r="K456" s="19" t="n">
        <v>346.0073251724243</v>
      </c>
      <c r="L456" s="19" t="n">
        <v>514.0654410123825</v>
      </c>
      <c r="M456" s="19" t="n">
        <v>614.9003105163574</v>
      </c>
      <c r="N456" s="17" t="inlineStr">
        <is>
          <t>B</t>
        </is>
      </c>
      <c r="O456" s="19" t="n">
        <v>237.259580874443</v>
      </c>
      <c r="P456" s="18" t="inlineStr">
        <is>
          <t>CÂN NHẮC THỬ NGHIỆM</t>
        </is>
      </c>
      <c r="Q456" s="17" t="inlineStr">
        <is>
          <t>Có</t>
        </is>
      </c>
      <c r="R456" s="20" t="n"/>
      <c r="S456" s="20" t="n"/>
      <c r="T456" s="21" t="n"/>
      <c r="U456" s="21" t="n"/>
      <c r="V456" s="22">
        <f>IF(U456="A",K456,IF(U456="B",L456,IF(U456="C",M456,IF(N456="A",K456,IF(N456="B",L456,M456)))))</f>
        <v/>
      </c>
      <c r="W456" s="22">
        <f>IF(R456="",O456,MAX(V456-R456-N(S456),0))</f>
        <v/>
      </c>
      <c r="X456" s="20" t="n"/>
      <c r="Y456" s="23">
        <f>IF(OR(X456="",W456=0),"",X456/W456-1)</f>
        <v/>
      </c>
      <c r="Z456" s="24" t="n"/>
      <c r="AA456" s="21" t="n"/>
      <c r="AB456" s="25" t="n"/>
      <c r="AC456" s="26">
        <f>IF(T456="","Chưa quyết định",IF(OR(Z456="",AA456=""),"⚠ Thiếu lý do/người duyệt",IF(AND(X456&lt;&gt;"",N(X456)+N(R456)+N(S456)&gt;M456*1.001,R456&lt;&gt;""),"⚠ Vượt mục tiêu P90",IF(AND(Y456&lt;&gt;"",ABS(N(Y456))&gt;0.3),"⚠ Lệch &gt; 30% so với nhu cầu",IF(Q456="Có","ℹ Kiểm tra ngoại suy KM","✓ Hợp lệ")))))</f>
        <v/>
      </c>
    </row>
    <row r="457">
      <c r="A457" s="16" t="n">
        <v>453</v>
      </c>
      <c r="B457" s="17" t="inlineStr">
        <is>
          <t>DEC-S48-PET_SUPPLIES</t>
        </is>
      </c>
      <c r="C457" s="16" t="n">
        <v>48</v>
      </c>
      <c r="D457" s="17" t="inlineStr">
        <is>
          <t>PET SUPPLIES</t>
        </is>
      </c>
      <c r="E457" s="17" t="inlineStr">
        <is>
          <t>HIGH</t>
        </is>
      </c>
      <c r="F457" s="17" t="inlineStr">
        <is>
          <t>TRUNG BÌNH</t>
        </is>
      </c>
      <c r="G457" s="18" t="inlineStr">
        <is>
          <t>RISK_HIGH · PROMO_EXTRAPOLATION</t>
        </is>
      </c>
      <c r="H457" s="19" t="n">
        <v>130.7133922576904</v>
      </c>
      <c r="I457" s="19" t="n">
        <v>341.5248622894287</v>
      </c>
      <c r="J457" s="19" t="n">
        <v>630.416205406189</v>
      </c>
      <c r="K457" s="19" t="n">
        <v>341.5248622894287</v>
      </c>
      <c r="L457" s="19" t="n">
        <v>522.0819517374039</v>
      </c>
      <c r="M457" s="19" t="n">
        <v>630.416205406189</v>
      </c>
      <c r="N457" s="17" t="inlineStr">
        <is>
          <t>B</t>
        </is>
      </c>
      <c r="O457" s="19" t="n">
        <v>248.8620619058609</v>
      </c>
      <c r="P457" s="18" t="inlineStr">
        <is>
          <t>CÂN NHẮC THỬ NGHIỆM</t>
        </is>
      </c>
      <c r="Q457" s="17" t="inlineStr">
        <is>
          <t>Có</t>
        </is>
      </c>
      <c r="R457" s="20" t="n"/>
      <c r="S457" s="20" t="n"/>
      <c r="T457" s="21" t="n"/>
      <c r="U457" s="21" t="n"/>
      <c r="V457" s="22">
        <f>IF(U457="A",K457,IF(U457="B",L457,IF(U457="C",M457,IF(N457="A",K457,IF(N457="B",L457,M457)))))</f>
        <v/>
      </c>
      <c r="W457" s="22">
        <f>IF(R457="",O457,MAX(V457-R457-N(S457),0))</f>
        <v/>
      </c>
      <c r="X457" s="20" t="n"/>
      <c r="Y457" s="23">
        <f>IF(OR(X457="",W457=0),"",X457/W457-1)</f>
        <v/>
      </c>
      <c r="Z457" s="24" t="n"/>
      <c r="AA457" s="21" t="n"/>
      <c r="AB457" s="25" t="n"/>
      <c r="AC457" s="26">
        <f>IF(T457="","Chưa quyết định",IF(OR(Z457="",AA457=""),"⚠ Thiếu lý do/người duyệt",IF(AND(X457&lt;&gt;"",N(X457)+N(R457)+N(S457)&gt;M457*1.001,R457&lt;&gt;""),"⚠ Vượt mục tiêu P90",IF(AND(Y457&lt;&gt;"",ABS(N(Y457))&gt;0.3),"⚠ Lệch &gt; 30% so với nhu cầu",IF(Q457="Có","ℹ Kiểm tra ngoại suy KM","✓ Hợp lệ")))))</f>
        <v/>
      </c>
    </row>
    <row r="458">
      <c r="A458" s="16" t="n">
        <v>454</v>
      </c>
      <c r="B458" s="17" t="inlineStr">
        <is>
          <t>DEC-S49-LINGERIE</t>
        </is>
      </c>
      <c r="C458" s="16" t="n">
        <v>49</v>
      </c>
      <c r="D458" s="17" t="inlineStr">
        <is>
          <t>LINGERIE</t>
        </is>
      </c>
      <c r="E458" s="17" t="inlineStr">
        <is>
          <t>HIGH</t>
        </is>
      </c>
      <c r="F458" s="17" t="inlineStr">
        <is>
          <t>TRUNG BÌNH</t>
        </is>
      </c>
      <c r="G458" s="18" t="inlineStr">
        <is>
          <t>RISK_HIGH · PROMO_EXTRAPOLATION</t>
        </is>
      </c>
      <c r="H458" s="19" t="n">
        <v>134.282603263855</v>
      </c>
      <c r="I458" s="19" t="n">
        <v>339.2015151977539</v>
      </c>
      <c r="J458" s="19" t="n">
        <v>619.9190225601196</v>
      </c>
      <c r="K458" s="19" t="n">
        <v>339.2015151977539</v>
      </c>
      <c r="L458" s="19" t="n">
        <v>514.6499572992325</v>
      </c>
      <c r="M458" s="19" t="n">
        <v>619.9190225601196</v>
      </c>
      <c r="N458" s="17" t="inlineStr">
        <is>
          <t>B</t>
        </is>
      </c>
      <c r="O458" s="19" t="n">
        <v>243.2887451410293</v>
      </c>
      <c r="P458" s="18" t="inlineStr">
        <is>
          <t>CÂN NHẮC THỬ NGHIỆM</t>
        </is>
      </c>
      <c r="Q458" s="17" t="inlineStr">
        <is>
          <t>Có</t>
        </is>
      </c>
      <c r="R458" s="20" t="n"/>
      <c r="S458" s="20" t="n"/>
      <c r="T458" s="21" t="n"/>
      <c r="U458" s="21" t="n"/>
      <c r="V458" s="22">
        <f>IF(U458="A",K458,IF(U458="B",L458,IF(U458="C",M458,IF(N458="A",K458,IF(N458="B",L458,M458)))))</f>
        <v/>
      </c>
      <c r="W458" s="22">
        <f>IF(R458="",O458,MAX(V458-R458-N(S458),0))</f>
        <v/>
      </c>
      <c r="X458" s="20" t="n"/>
      <c r="Y458" s="23">
        <f>IF(OR(X458="",W458=0),"",X458/W458-1)</f>
        <v/>
      </c>
      <c r="Z458" s="24" t="n"/>
      <c r="AA458" s="21" t="n"/>
      <c r="AB458" s="25" t="n"/>
      <c r="AC458" s="26">
        <f>IF(T458="","Chưa quyết định",IF(OR(Z458="",AA458=""),"⚠ Thiếu lý do/người duyệt",IF(AND(X458&lt;&gt;"",N(X458)+N(R458)+N(S458)&gt;M458*1.001,R458&lt;&gt;""),"⚠ Vượt mục tiêu P90",IF(AND(Y458&lt;&gt;"",ABS(N(Y458))&gt;0.3),"⚠ Lệch &gt; 30% so với nhu cầu",IF(Q458="Có","ℹ Kiểm tra ngoại suy KM","✓ Hợp lệ")))))</f>
        <v/>
      </c>
    </row>
    <row r="459">
      <c r="A459" s="16" t="n">
        <v>455</v>
      </c>
      <c r="B459" s="17" t="inlineStr">
        <is>
          <t>DEC-S30-PREPARED_FOODS</t>
        </is>
      </c>
      <c r="C459" s="16" t="n">
        <v>30</v>
      </c>
      <c r="D459" s="17" t="inlineStr">
        <is>
          <t>PREPARED FOODS</t>
        </is>
      </c>
      <c r="E459" s="17" t="inlineStr">
        <is>
          <t>HIGH</t>
        </is>
      </c>
      <c r="F459" s="17" t="inlineStr">
        <is>
          <t>TRUNG BÌNH</t>
        </is>
      </c>
      <c r="G459" s="18" t="inlineStr">
        <is>
          <t>RISK_HIGH · PROMO_EXTRAPOLATION</t>
        </is>
      </c>
      <c r="H459" s="19" t="n">
        <v>136.8545475006104</v>
      </c>
      <c r="I459" s="19" t="n">
        <v>333.5586643218994</v>
      </c>
      <c r="J459" s="19" t="n">
        <v>600.6263065338135</v>
      </c>
      <c r="K459" s="19" t="n">
        <v>333.5586643218994</v>
      </c>
      <c r="L459" s="19" t="n">
        <v>500.4759407043457</v>
      </c>
      <c r="M459" s="19" t="n">
        <v>600.6263065338135</v>
      </c>
      <c r="N459" s="17" t="inlineStr">
        <is>
          <t>B</t>
        </is>
      </c>
      <c r="O459" s="19" t="n">
        <v>233.6290092468261</v>
      </c>
      <c r="P459" s="18" t="inlineStr">
        <is>
          <t>CÂN NHẮC THỬ NGHIỆM</t>
        </is>
      </c>
      <c r="Q459" s="17" t="inlineStr">
        <is>
          <t>Có</t>
        </is>
      </c>
      <c r="R459" s="20" t="n"/>
      <c r="S459" s="20" t="n"/>
      <c r="T459" s="21" t="n"/>
      <c r="U459" s="21" t="n"/>
      <c r="V459" s="22">
        <f>IF(U459="A",K459,IF(U459="B",L459,IF(U459="C",M459,IF(N459="A",K459,IF(N459="B",L459,M459)))))</f>
        <v/>
      </c>
      <c r="W459" s="22">
        <f>IF(R459="",O459,MAX(V459-R459-N(S459),0))</f>
        <v/>
      </c>
      <c r="X459" s="20" t="n"/>
      <c r="Y459" s="23">
        <f>IF(OR(X459="",W459=0),"",X459/W459-1)</f>
        <v/>
      </c>
      <c r="Z459" s="24" t="n"/>
      <c r="AA459" s="21" t="n"/>
      <c r="AB459" s="25" t="n"/>
      <c r="AC459" s="26">
        <f>IF(T459="","Chưa quyết định",IF(OR(Z459="",AA459=""),"⚠ Thiếu lý do/người duyệt",IF(AND(X459&lt;&gt;"",N(X459)+N(R459)+N(S459)&gt;M459*1.001,R459&lt;&gt;""),"⚠ Vượt mục tiêu P90",IF(AND(Y459&lt;&gt;"",ABS(N(Y459))&gt;0.3),"⚠ Lệch &gt; 30% so với nhu cầu",IF(Q459="Có","ℹ Kiểm tra ngoại suy KM","✓ Hợp lệ")))))</f>
        <v/>
      </c>
    </row>
    <row r="460">
      <c r="A460" s="16" t="n">
        <v>456</v>
      </c>
      <c r="B460" s="17" t="inlineStr">
        <is>
          <t>DEC-S49-CELEBRATION</t>
        </is>
      </c>
      <c r="C460" s="16" t="n">
        <v>49</v>
      </c>
      <c r="D460" s="17" t="inlineStr">
        <is>
          <t>CELEBRATION</t>
        </is>
      </c>
      <c r="E460" s="17" t="inlineStr">
        <is>
          <t>HIGH</t>
        </is>
      </c>
      <c r="F460" s="17" t="inlineStr">
        <is>
          <t>TRUNG BÌNH</t>
        </is>
      </c>
      <c r="G460" s="18" t="inlineStr">
        <is>
          <t>RISK_HIGH · PROMO_EXTRAPOLATION</t>
        </is>
      </c>
      <c r="H460" s="19" t="n">
        <v>115.5748653411865</v>
      </c>
      <c r="I460" s="19" t="n">
        <v>331.1633396148682</v>
      </c>
      <c r="J460" s="19" t="n">
        <v>628.2285184860229</v>
      </c>
      <c r="K460" s="19" t="n">
        <v>331.1633396148682</v>
      </c>
      <c r="L460" s="19" t="n">
        <v>516.8290764093399</v>
      </c>
      <c r="M460" s="19" t="n">
        <v>628.2285184860229</v>
      </c>
      <c r="N460" s="17" t="inlineStr">
        <is>
          <t>B</t>
        </is>
      </c>
      <c r="O460" s="19" t="n">
        <v>251.8984047174454</v>
      </c>
      <c r="P460" s="18" t="inlineStr">
        <is>
          <t>CÂN NHẮC THỬ NGHIỆM</t>
        </is>
      </c>
      <c r="Q460" s="17" t="inlineStr">
        <is>
          <t>Có</t>
        </is>
      </c>
      <c r="R460" s="20" t="n"/>
      <c r="S460" s="20" t="n"/>
      <c r="T460" s="21" t="n"/>
      <c r="U460" s="21" t="n"/>
      <c r="V460" s="22">
        <f>IF(U460="A",K460,IF(U460="B",L460,IF(U460="C",M460,IF(N460="A",K460,IF(N460="B",L460,M460)))))</f>
        <v/>
      </c>
      <c r="W460" s="22">
        <f>IF(R460="",O460,MAX(V460-R460-N(S460),0))</f>
        <v/>
      </c>
      <c r="X460" s="20" t="n"/>
      <c r="Y460" s="23">
        <f>IF(OR(X460="",W460=0),"",X460/W460-1)</f>
        <v/>
      </c>
      <c r="Z460" s="24" t="n"/>
      <c r="AA460" s="21" t="n"/>
      <c r="AB460" s="25" t="n"/>
      <c r="AC460" s="26">
        <f>IF(T460="","Chưa quyết định",IF(OR(Z460="",AA460=""),"⚠ Thiếu lý do/người duyệt",IF(AND(X460&lt;&gt;"",N(X460)+N(R460)+N(S460)&gt;M460*1.001,R460&lt;&gt;""),"⚠ Vượt mục tiêu P90",IF(AND(Y460&lt;&gt;"",ABS(N(Y460))&gt;0.3),"⚠ Lệch &gt; 30% so với nhu cầu",IF(Q460="Có","ℹ Kiểm tra ngoại suy KM","✓ Hợp lệ")))))</f>
        <v/>
      </c>
    </row>
    <row r="461">
      <c r="A461" s="16" t="n">
        <v>457</v>
      </c>
      <c r="B461" s="17" t="inlineStr">
        <is>
          <t>DEC-S48-CELEBRATION</t>
        </is>
      </c>
      <c r="C461" s="16" t="n">
        <v>48</v>
      </c>
      <c r="D461" s="17" t="inlineStr">
        <is>
          <t>CELEBRATION</t>
        </is>
      </c>
      <c r="E461" s="17" t="inlineStr">
        <is>
          <t>HIGH</t>
        </is>
      </c>
      <c r="F461" s="17" t="inlineStr">
        <is>
          <t>TRUNG BÌNH</t>
        </is>
      </c>
      <c r="G461" s="18" t="inlineStr">
        <is>
          <t>RISK_HIGH · PROMO_EXTRAPOLATION</t>
        </is>
      </c>
      <c r="H461" s="19" t="n">
        <v>127.5426340103149</v>
      </c>
      <c r="I461" s="19" t="n">
        <v>330.9801979064941</v>
      </c>
      <c r="J461" s="19" t="n">
        <v>608.0470190048218</v>
      </c>
      <c r="K461" s="19" t="n">
        <v>330.9801979064941</v>
      </c>
      <c r="L461" s="19" t="n">
        <v>504.1469610929489</v>
      </c>
      <c r="M461" s="19" t="n">
        <v>608.0470190048218</v>
      </c>
      <c r="N461" s="17" t="inlineStr">
        <is>
          <t>B</t>
        </is>
      </c>
      <c r="O461" s="19" t="n">
        <v>239.3628027677536</v>
      </c>
      <c r="P461" s="18" t="inlineStr">
        <is>
          <t>CÂN NHẮC THỬ NGHIỆM</t>
        </is>
      </c>
      <c r="Q461" s="17" t="inlineStr">
        <is>
          <t>Có</t>
        </is>
      </c>
      <c r="R461" s="20" t="n"/>
      <c r="S461" s="20" t="n"/>
      <c r="T461" s="21" t="n"/>
      <c r="U461" s="21" t="n"/>
      <c r="V461" s="22">
        <f>IF(U461="A",K461,IF(U461="B",L461,IF(U461="C",M461,IF(N461="A",K461,IF(N461="B",L461,M461)))))</f>
        <v/>
      </c>
      <c r="W461" s="22">
        <f>IF(R461="",O461,MAX(V461-R461-N(S461),0))</f>
        <v/>
      </c>
      <c r="X461" s="20" t="n"/>
      <c r="Y461" s="23">
        <f>IF(OR(X461="",W461=0),"",X461/W461-1)</f>
        <v/>
      </c>
      <c r="Z461" s="24" t="n"/>
      <c r="AA461" s="21" t="n"/>
      <c r="AB461" s="25" t="n"/>
      <c r="AC461" s="26">
        <f>IF(T461="","Chưa quyết định",IF(OR(Z461="",AA461=""),"⚠ Thiếu lý do/người duyệt",IF(AND(X461&lt;&gt;"",N(X461)+N(R461)+N(S461)&gt;M461*1.001,R461&lt;&gt;""),"⚠ Vượt mục tiêu P90",IF(AND(Y461&lt;&gt;"",ABS(N(Y461))&gt;0.3),"⚠ Lệch &gt; 30% so với nhu cầu",IF(Q461="Có","ℹ Kiểm tra ngoại suy KM","✓ Hợp lệ")))))</f>
        <v/>
      </c>
    </row>
    <row r="462">
      <c r="A462" s="16" t="n">
        <v>458</v>
      </c>
      <c r="B462" s="17" t="inlineStr">
        <is>
          <t>DEC-S46-LINGERIE</t>
        </is>
      </c>
      <c r="C462" s="16" t="n">
        <v>46</v>
      </c>
      <c r="D462" s="17" t="inlineStr">
        <is>
          <t>LINGERIE</t>
        </is>
      </c>
      <c r="E462" s="17" t="inlineStr">
        <is>
          <t>HIGH</t>
        </is>
      </c>
      <c r="F462" s="17" t="inlineStr">
        <is>
          <t>TRUNG BÌNH</t>
        </is>
      </c>
      <c r="G462" s="18" t="inlineStr">
        <is>
          <t>RISK_HIGH · PROMO_EXTRAPOLATION</t>
        </is>
      </c>
      <c r="H462" s="19" t="n">
        <v>116.6879653930664</v>
      </c>
      <c r="I462" s="19" t="n">
        <v>330.126091003418</v>
      </c>
      <c r="J462" s="19" t="n">
        <v>628.4530041217804</v>
      </c>
      <c r="K462" s="19" t="n">
        <v>330.126091003418</v>
      </c>
      <c r="L462" s="19" t="n">
        <v>516.5804117023945</v>
      </c>
      <c r="M462" s="19" t="n">
        <v>628.4530041217804</v>
      </c>
      <c r="N462" s="17" t="inlineStr">
        <is>
          <t>B</t>
        </is>
      </c>
      <c r="O462" s="19" t="n">
        <v>252.4795388996601</v>
      </c>
      <c r="P462" s="18" t="inlineStr">
        <is>
          <t>CÂN NHẮC THỬ NGHIỆM</t>
        </is>
      </c>
      <c r="Q462" s="17" t="inlineStr">
        <is>
          <t>Có</t>
        </is>
      </c>
      <c r="R462" s="20" t="n"/>
      <c r="S462" s="20" t="n"/>
      <c r="T462" s="21" t="n"/>
      <c r="U462" s="21" t="n"/>
      <c r="V462" s="22">
        <f>IF(U462="A",K462,IF(U462="B",L462,IF(U462="C",M462,IF(N462="A",K462,IF(N462="B",L462,M462)))))</f>
        <v/>
      </c>
      <c r="W462" s="22">
        <f>IF(R462="",O462,MAX(V462-R462-N(S462),0))</f>
        <v/>
      </c>
      <c r="X462" s="20" t="n"/>
      <c r="Y462" s="23">
        <f>IF(OR(X462="",W462=0),"",X462/W462-1)</f>
        <v/>
      </c>
      <c r="Z462" s="24" t="n"/>
      <c r="AA462" s="21" t="n"/>
      <c r="AB462" s="25" t="n"/>
      <c r="AC462" s="26">
        <f>IF(T462="","Chưa quyết định",IF(OR(Z462="",AA462=""),"⚠ Thiếu lý do/người duyệt",IF(AND(X462&lt;&gt;"",N(X462)+N(R462)+N(S462)&gt;M462*1.001,R462&lt;&gt;""),"⚠ Vượt mục tiêu P90",IF(AND(Y462&lt;&gt;"",ABS(N(Y462))&gt;0.3),"⚠ Lệch &gt; 30% so với nhu cầu",IF(Q462="Có","ℹ Kiểm tra ngoại suy KM","✓ Hợp lệ")))))</f>
        <v/>
      </c>
    </row>
    <row r="463">
      <c r="A463" s="16" t="n">
        <v>459</v>
      </c>
      <c r="B463" s="17" t="inlineStr">
        <is>
          <t>DEC-S28-GROCERY_II</t>
        </is>
      </c>
      <c r="C463" s="16" t="n">
        <v>28</v>
      </c>
      <c r="D463" s="17" t="inlineStr">
        <is>
          <t>GROCERY II</t>
        </is>
      </c>
      <c r="E463" s="17" t="inlineStr">
        <is>
          <t>HIGH</t>
        </is>
      </c>
      <c r="F463" s="17" t="inlineStr">
        <is>
          <t>TRUNG BÌNH</t>
        </is>
      </c>
      <c r="G463" s="18" t="inlineStr">
        <is>
          <t>RISK_HIGH · PROMO_EXTRAPOLATION</t>
        </is>
      </c>
      <c r="H463" s="19" t="n">
        <v>122.3821401596069</v>
      </c>
      <c r="I463" s="19" t="n">
        <v>326.1316795349121</v>
      </c>
      <c r="J463" s="19" t="n">
        <v>605.0238437652588</v>
      </c>
      <c r="K463" s="19" t="n">
        <v>326.1316795349121</v>
      </c>
      <c r="L463" s="19" t="n">
        <v>500.4392821788788</v>
      </c>
      <c r="M463" s="19" t="n">
        <v>605.0238437652588</v>
      </c>
      <c r="N463" s="17" t="inlineStr">
        <is>
          <t>B</t>
        </is>
      </c>
      <c r="O463" s="19" t="n">
        <v>239.5339385509491</v>
      </c>
      <c r="P463" s="18" t="inlineStr">
        <is>
          <t>CÂN NHẮC THỬ NGHIỆM</t>
        </is>
      </c>
      <c r="Q463" s="17" t="inlineStr">
        <is>
          <t>Có</t>
        </is>
      </c>
      <c r="R463" s="20" t="n"/>
      <c r="S463" s="20" t="n"/>
      <c r="T463" s="21" t="n"/>
      <c r="U463" s="21" t="n"/>
      <c r="V463" s="22">
        <f>IF(U463="A",K463,IF(U463="B",L463,IF(U463="C",M463,IF(N463="A",K463,IF(N463="B",L463,M463)))))</f>
        <v/>
      </c>
      <c r="W463" s="22">
        <f>IF(R463="",O463,MAX(V463-R463-N(S463),0))</f>
        <v/>
      </c>
      <c r="X463" s="20" t="n"/>
      <c r="Y463" s="23">
        <f>IF(OR(X463="",W463=0),"",X463/W463-1)</f>
        <v/>
      </c>
      <c r="Z463" s="24" t="n"/>
      <c r="AA463" s="21" t="n"/>
      <c r="AB463" s="25" t="n"/>
      <c r="AC463" s="26">
        <f>IF(T463="","Chưa quyết định",IF(OR(Z463="",AA463=""),"⚠ Thiếu lý do/người duyệt",IF(AND(X463&lt;&gt;"",N(X463)+N(R463)+N(S463)&gt;M463*1.001,R463&lt;&gt;""),"⚠ Vượt mục tiêu P90",IF(AND(Y463&lt;&gt;"",ABS(N(Y463))&gt;0.3),"⚠ Lệch &gt; 30% so với nhu cầu",IF(Q463="Có","ℹ Kiểm tra ngoại suy KM","✓ Hợp lệ")))))</f>
        <v/>
      </c>
    </row>
    <row r="464">
      <c r="A464" s="16" t="n">
        <v>460</v>
      </c>
      <c r="B464" s="17" t="inlineStr">
        <is>
          <t>DEC-S19-PREPARED_FOODS</t>
        </is>
      </c>
      <c r="C464" s="16" t="n">
        <v>19</v>
      </c>
      <c r="D464" s="17" t="inlineStr">
        <is>
          <t>PREPARED FOODS</t>
        </is>
      </c>
      <c r="E464" s="17" t="inlineStr">
        <is>
          <t>HIGH</t>
        </is>
      </c>
      <c r="F464" s="17" t="inlineStr">
        <is>
          <t>TRUNG BÌNH</t>
        </is>
      </c>
      <c r="G464" s="18" t="inlineStr">
        <is>
          <t>RISK_HIGH · PROMO_EXTRAPOLATION</t>
        </is>
      </c>
      <c r="H464" s="19" t="n">
        <v>128.3768692016602</v>
      </c>
      <c r="I464" s="19" t="n">
        <v>325.0809860229492</v>
      </c>
      <c r="J464" s="19" t="n">
        <v>592.1486282348633</v>
      </c>
      <c r="K464" s="19" t="n">
        <v>325.0809860229492</v>
      </c>
      <c r="L464" s="19" t="n">
        <v>491.9982624053955</v>
      </c>
      <c r="M464" s="19" t="n">
        <v>592.1486282348633</v>
      </c>
      <c r="N464" s="17" t="inlineStr">
        <is>
          <t>B</t>
        </is>
      </c>
      <c r="O464" s="19" t="n">
        <v>231.9334735870361</v>
      </c>
      <c r="P464" s="18" t="inlineStr">
        <is>
          <t>CÂN NHẮC THỬ NGHIỆM</t>
        </is>
      </c>
      <c r="Q464" s="17" t="inlineStr">
        <is>
          <t>Có</t>
        </is>
      </c>
      <c r="R464" s="20" t="n"/>
      <c r="S464" s="20" t="n"/>
      <c r="T464" s="21" t="n"/>
      <c r="U464" s="21" t="n"/>
      <c r="V464" s="22">
        <f>IF(U464="A",K464,IF(U464="B",L464,IF(U464="C",M464,IF(N464="A",K464,IF(N464="B",L464,M464)))))</f>
        <v/>
      </c>
      <c r="W464" s="22">
        <f>IF(R464="",O464,MAX(V464-R464-N(S464),0))</f>
        <v/>
      </c>
      <c r="X464" s="20" t="n"/>
      <c r="Y464" s="23">
        <f>IF(OR(X464="",W464=0),"",X464/W464-1)</f>
        <v/>
      </c>
      <c r="Z464" s="24" t="n"/>
      <c r="AA464" s="21" t="n"/>
      <c r="AB464" s="25" t="n"/>
      <c r="AC464" s="26">
        <f>IF(T464="","Chưa quyết định",IF(OR(Z464="",AA464=""),"⚠ Thiếu lý do/người duyệt",IF(AND(X464&lt;&gt;"",N(X464)+N(R464)+N(S464)&gt;M464*1.001,R464&lt;&gt;""),"⚠ Vượt mục tiêu P90",IF(AND(Y464&lt;&gt;"",ABS(N(Y464))&gt;0.3),"⚠ Lệch &gt; 30% so với nhu cầu",IF(Q464="Có","ℹ Kiểm tra ngoại suy KM","✓ Hợp lệ")))))</f>
        <v/>
      </c>
    </row>
    <row r="465">
      <c r="A465" s="16" t="n">
        <v>461</v>
      </c>
      <c r="B465" s="17" t="inlineStr">
        <is>
          <t>DEC-S26-GROCERY_II</t>
        </is>
      </c>
      <c r="C465" s="16" t="n">
        <v>26</v>
      </c>
      <c r="D465" s="17" t="inlineStr">
        <is>
          <t>GROCERY II</t>
        </is>
      </c>
      <c r="E465" s="17" t="inlineStr">
        <is>
          <t>HIGH</t>
        </is>
      </c>
      <c r="F465" s="17" t="inlineStr">
        <is>
          <t>TRUNG BÌNH</t>
        </is>
      </c>
      <c r="G465" s="18" t="inlineStr">
        <is>
          <t>RISK_HIGH · PROMO_EXTRAPOLATION</t>
        </is>
      </c>
      <c r="H465" s="19" t="n">
        <v>122.6911134719849</v>
      </c>
      <c r="I465" s="19" t="n">
        <v>319.3952302932739</v>
      </c>
      <c r="J465" s="19" t="n">
        <v>586.462872505188</v>
      </c>
      <c r="K465" s="19" t="n">
        <v>319.3952302932739</v>
      </c>
      <c r="L465" s="19" t="n">
        <v>486.3125066757202</v>
      </c>
      <c r="M465" s="19" t="n">
        <v>586.462872505188</v>
      </c>
      <c r="N465" s="17" t="inlineStr">
        <is>
          <t>B</t>
        </is>
      </c>
      <c r="O465" s="19" t="n">
        <v>230.7963224411011</v>
      </c>
      <c r="P465" s="18" t="inlineStr">
        <is>
          <t>CÂN NHẮC THỬ NGHIỆM</t>
        </is>
      </c>
      <c r="Q465" s="17" t="inlineStr">
        <is>
          <t>Có</t>
        </is>
      </c>
      <c r="R465" s="20" t="n"/>
      <c r="S465" s="20" t="n"/>
      <c r="T465" s="21" t="n"/>
      <c r="U465" s="21" t="n"/>
      <c r="V465" s="22">
        <f>IF(U465="A",K465,IF(U465="B",L465,IF(U465="C",M465,IF(N465="A",K465,IF(N465="B",L465,M465)))))</f>
        <v/>
      </c>
      <c r="W465" s="22">
        <f>IF(R465="",O465,MAX(V465-R465-N(S465),0))</f>
        <v/>
      </c>
      <c r="X465" s="20" t="n"/>
      <c r="Y465" s="23">
        <f>IF(OR(X465="",W465=0),"",X465/W465-1)</f>
        <v/>
      </c>
      <c r="Z465" s="24" t="n"/>
      <c r="AA465" s="21" t="n"/>
      <c r="AB465" s="25" t="n"/>
      <c r="AC465" s="26">
        <f>IF(T465="","Chưa quyết định",IF(OR(Z465="",AA465=""),"⚠ Thiếu lý do/người duyệt",IF(AND(X465&lt;&gt;"",N(X465)+N(R465)+N(S465)&gt;M465*1.001,R465&lt;&gt;""),"⚠ Vượt mục tiêu P90",IF(AND(Y465&lt;&gt;"",ABS(N(Y465))&gt;0.3),"⚠ Lệch &gt; 30% so với nhu cầu",IF(Q465="Có","ℹ Kiểm tra ngoại suy KM","✓ Hợp lệ")))))</f>
        <v/>
      </c>
    </row>
    <row r="466">
      <c r="A466" s="16" t="n">
        <v>462</v>
      </c>
      <c r="B466" s="17" t="inlineStr">
        <is>
          <t>DEC-S42-HOME_AND_KITCHEN_II</t>
        </is>
      </c>
      <c r="C466" s="16" t="n">
        <v>42</v>
      </c>
      <c r="D466" s="17" t="inlineStr">
        <is>
          <t>HOME AND KITCHEN II</t>
        </is>
      </c>
      <c r="E466" s="17" t="inlineStr">
        <is>
          <t>HIGH</t>
        </is>
      </c>
      <c r="F466" s="17" t="inlineStr">
        <is>
          <t>TRUNG BÌNH</t>
        </is>
      </c>
      <c r="G466" s="18" t="inlineStr">
        <is>
          <t>RISK_HIGH · PROMO_EXTRAPOLATION</t>
        </is>
      </c>
      <c r="H466" s="19" t="n">
        <v>132.3208484649658</v>
      </c>
      <c r="I466" s="19" t="n">
        <v>311.9383735656738</v>
      </c>
      <c r="J466" s="19" t="n">
        <v>559.9605379104614</v>
      </c>
      <c r="K466" s="19" t="n">
        <v>311.9383735656738</v>
      </c>
      <c r="L466" s="19" t="n">
        <v>466.9522262811661</v>
      </c>
      <c r="M466" s="19" t="n">
        <v>559.9605379104614</v>
      </c>
      <c r="N466" s="17" t="inlineStr">
        <is>
          <t>B</t>
        </is>
      </c>
      <c r="O466" s="19" t="n">
        <v>217.401527428627</v>
      </c>
      <c r="P466" s="18" t="inlineStr">
        <is>
          <t>CÂN NHẮC THỬ NGHIỆM</t>
        </is>
      </c>
      <c r="Q466" s="17" t="inlineStr">
        <is>
          <t>Có</t>
        </is>
      </c>
      <c r="R466" s="20" t="n"/>
      <c r="S466" s="20" t="n"/>
      <c r="T466" s="21" t="n"/>
      <c r="U466" s="21" t="n"/>
      <c r="V466" s="22">
        <f>IF(U466="A",K466,IF(U466="B",L466,IF(U466="C",M466,IF(N466="A",K466,IF(N466="B",L466,M466)))))</f>
        <v/>
      </c>
      <c r="W466" s="22">
        <f>IF(R466="",O466,MAX(V466-R466-N(S466),0))</f>
        <v/>
      </c>
      <c r="X466" s="20" t="n"/>
      <c r="Y466" s="23">
        <f>IF(OR(X466="",W466=0),"",X466/W466-1)</f>
        <v/>
      </c>
      <c r="Z466" s="24" t="n"/>
      <c r="AA466" s="21" t="n"/>
      <c r="AB466" s="25" t="n"/>
      <c r="AC466" s="26">
        <f>IF(T466="","Chưa quyết định",IF(OR(Z466="",AA466=""),"⚠ Thiếu lý do/người duyệt",IF(AND(X466&lt;&gt;"",N(X466)+N(R466)+N(S466)&gt;M466*1.001,R466&lt;&gt;""),"⚠ Vượt mục tiêu P90",IF(AND(Y466&lt;&gt;"",ABS(N(Y466))&gt;0.3),"⚠ Lệch &gt; 30% so với nhu cầu",IF(Q466="Có","ℹ Kiểm tra ngoại suy KM","✓ Hợp lệ")))))</f>
        <v/>
      </c>
    </row>
    <row r="467">
      <c r="A467" s="16" t="n">
        <v>463</v>
      </c>
      <c r="B467" s="17" t="inlineStr">
        <is>
          <t>DEC-S13-PREPARED_FOODS</t>
        </is>
      </c>
      <c r="C467" s="16" t="n">
        <v>13</v>
      </c>
      <c r="D467" s="17" t="inlineStr">
        <is>
          <t>PREPARED FOODS</t>
        </is>
      </c>
      <c r="E467" s="17" t="inlineStr">
        <is>
          <t>HIGH</t>
        </is>
      </c>
      <c r="F467" s="17" t="inlineStr">
        <is>
          <t>TRUNG BÌNH</t>
        </is>
      </c>
      <c r="G467" s="18" t="inlineStr">
        <is>
          <t>RISK_HIGH · PROMO_EXTRAPOLATION</t>
        </is>
      </c>
      <c r="H467" s="19" t="n">
        <v>120.3633575439453</v>
      </c>
      <c r="I467" s="19" t="n">
        <v>311.0747013092041</v>
      </c>
      <c r="J467" s="19" t="n">
        <v>569.9685077667236</v>
      </c>
      <c r="K467" s="19" t="n">
        <v>311.0747013092041</v>
      </c>
      <c r="L467" s="19" t="n">
        <v>472.8833303451538</v>
      </c>
      <c r="M467" s="19" t="n">
        <v>569.9685077667236</v>
      </c>
      <c r="N467" s="17" t="inlineStr">
        <is>
          <t>B</t>
        </is>
      </c>
      <c r="O467" s="19" t="n">
        <v>224.0235692977905</v>
      </c>
      <c r="P467" s="18" t="inlineStr">
        <is>
          <t>CÂN NHẮC THỬ NGHIỆM</t>
        </is>
      </c>
      <c r="Q467" s="17" t="inlineStr">
        <is>
          <t>Có</t>
        </is>
      </c>
      <c r="R467" s="20" t="n"/>
      <c r="S467" s="20" t="n"/>
      <c r="T467" s="21" t="n"/>
      <c r="U467" s="21" t="n"/>
      <c r="V467" s="22">
        <f>IF(U467="A",K467,IF(U467="B",L467,IF(U467="C",M467,IF(N467="A",K467,IF(N467="B",L467,M467)))))</f>
        <v/>
      </c>
      <c r="W467" s="22">
        <f>IF(R467="",O467,MAX(V467-R467-N(S467),0))</f>
        <v/>
      </c>
      <c r="X467" s="20" t="n"/>
      <c r="Y467" s="23">
        <f>IF(OR(X467="",W467=0),"",X467/W467-1)</f>
        <v/>
      </c>
      <c r="Z467" s="24" t="n"/>
      <c r="AA467" s="21" t="n"/>
      <c r="AB467" s="25" t="n"/>
      <c r="AC467" s="26">
        <f>IF(T467="","Chưa quyết định",IF(OR(Z467="",AA467=""),"⚠ Thiếu lý do/người duyệt",IF(AND(X467&lt;&gt;"",N(X467)+N(R467)+N(S467)&gt;M467*1.001,R467&lt;&gt;""),"⚠ Vượt mục tiêu P90",IF(AND(Y467&lt;&gt;"",ABS(N(Y467))&gt;0.3),"⚠ Lệch &gt; 30% so với nhu cầu",IF(Q467="Có","ℹ Kiểm tra ngoại suy KM","✓ Hợp lệ")))))</f>
        <v/>
      </c>
    </row>
    <row r="468">
      <c r="A468" s="16" t="n">
        <v>464</v>
      </c>
      <c r="B468" s="17" t="inlineStr">
        <is>
          <t>DEC-S15-HOME_AND_KITCHEN_I</t>
        </is>
      </c>
      <c r="C468" s="16" t="n">
        <v>15</v>
      </c>
      <c r="D468" s="17" t="inlineStr">
        <is>
          <t>HOME AND KITCHEN I</t>
        </is>
      </c>
      <c r="E468" s="17" t="inlineStr">
        <is>
          <t>HIGH</t>
        </is>
      </c>
      <c r="F468" s="17" t="inlineStr">
        <is>
          <t>TRUNG BÌNH</t>
        </is>
      </c>
      <c r="G468" s="18" t="inlineStr">
        <is>
          <t>RISK_HIGH · PROMO_EXTRAPOLATION</t>
        </is>
      </c>
      <c r="H468" s="19" t="n">
        <v>101.107029914856</v>
      </c>
      <c r="I468" s="19" t="n">
        <v>302.0607929229736</v>
      </c>
      <c r="J468" s="19" t="n">
        <v>589.1267929077148</v>
      </c>
      <c r="K468" s="19" t="n">
        <v>302.0607929229736</v>
      </c>
      <c r="L468" s="19" t="n">
        <v>481.4770429134369</v>
      </c>
      <c r="M468" s="19" t="n">
        <v>589.1267929077148</v>
      </c>
      <c r="N468" s="17" t="inlineStr">
        <is>
          <t>B</t>
        </is>
      </c>
      <c r="O468" s="19" t="n">
        <v>239.828408575058</v>
      </c>
      <c r="P468" s="18" t="inlineStr">
        <is>
          <t>CÂN NHẮC THỬ NGHIỆM</t>
        </is>
      </c>
      <c r="Q468" s="17" t="inlineStr">
        <is>
          <t>Có</t>
        </is>
      </c>
      <c r="R468" s="20" t="n"/>
      <c r="S468" s="20" t="n"/>
      <c r="T468" s="21" t="n"/>
      <c r="U468" s="21" t="n"/>
      <c r="V468" s="22">
        <f>IF(U468="A",K468,IF(U468="B",L468,IF(U468="C",M468,IF(N468="A",K468,IF(N468="B",L468,M468)))))</f>
        <v/>
      </c>
      <c r="W468" s="22">
        <f>IF(R468="",O468,MAX(V468-R468-N(S468),0))</f>
        <v/>
      </c>
      <c r="X468" s="20" t="n"/>
      <c r="Y468" s="23">
        <f>IF(OR(X468="",W468=0),"",X468/W468-1)</f>
        <v/>
      </c>
      <c r="Z468" s="24" t="n"/>
      <c r="AA468" s="21" t="n"/>
      <c r="AB468" s="25" t="n"/>
      <c r="AC468" s="26">
        <f>IF(T468="","Chưa quyết định",IF(OR(Z468="",AA468=""),"⚠ Thiếu lý do/người duyệt",IF(AND(X468&lt;&gt;"",N(X468)+N(R468)+N(S468)&gt;M468*1.001,R468&lt;&gt;""),"⚠ Vượt mục tiêu P90",IF(AND(Y468&lt;&gt;"",ABS(N(Y468))&gt;0.3),"⚠ Lệch &gt; 30% so với nhu cầu",IF(Q468="Có","ℹ Kiểm tra ngoại suy KM","✓ Hợp lệ")))))</f>
        <v/>
      </c>
    </row>
    <row r="469">
      <c r="A469" s="16" t="n">
        <v>465</v>
      </c>
      <c r="B469" s="17" t="inlineStr">
        <is>
          <t>DEC-S36-HOME_AND_KITCHEN_I</t>
        </is>
      </c>
      <c r="C469" s="16" t="n">
        <v>36</v>
      </c>
      <c r="D469" s="17" t="inlineStr">
        <is>
          <t>HOME AND KITCHEN I</t>
        </is>
      </c>
      <c r="E469" s="17" t="inlineStr">
        <is>
          <t>HIGH</t>
        </is>
      </c>
      <c r="F469" s="17" t="inlineStr">
        <is>
          <t>TRUNG BÌNH</t>
        </is>
      </c>
      <c r="G469" s="18" t="inlineStr">
        <is>
          <t>RISK_HIGH · PROMO_EXTRAPOLATION</t>
        </is>
      </c>
      <c r="H469" s="19" t="n">
        <v>110.4142141342163</v>
      </c>
      <c r="I469" s="19" t="n">
        <v>301.1972551345825</v>
      </c>
      <c r="J469" s="19" t="n">
        <v>570.0902404785156</v>
      </c>
      <c r="K469" s="19" t="n">
        <v>301.1972551345825</v>
      </c>
      <c r="L469" s="19" t="n">
        <v>469.2553709745407</v>
      </c>
      <c r="M469" s="19" t="n">
        <v>570.0902404785156</v>
      </c>
      <c r="N469" s="17" t="inlineStr">
        <is>
          <t>B</t>
        </is>
      </c>
      <c r="O469" s="19" t="n">
        <v>228.2975668668747</v>
      </c>
      <c r="P469" s="18" t="inlineStr">
        <is>
          <t>CÂN NHẮC THỬ NGHIỆM</t>
        </is>
      </c>
      <c r="Q469" s="17" t="inlineStr">
        <is>
          <t>Có</t>
        </is>
      </c>
      <c r="R469" s="20" t="n"/>
      <c r="S469" s="20" t="n"/>
      <c r="T469" s="21" t="n"/>
      <c r="U469" s="21" t="n"/>
      <c r="V469" s="22">
        <f>IF(U469="A",K469,IF(U469="B",L469,IF(U469="C",M469,IF(N469="A",K469,IF(N469="B",L469,M469)))))</f>
        <v/>
      </c>
      <c r="W469" s="22">
        <f>IF(R469="",O469,MAX(V469-R469-N(S469),0))</f>
        <v/>
      </c>
      <c r="X469" s="20" t="n"/>
      <c r="Y469" s="23">
        <f>IF(OR(X469="",W469=0),"",X469/W469-1)</f>
        <v/>
      </c>
      <c r="Z469" s="24" t="n"/>
      <c r="AA469" s="21" t="n"/>
      <c r="AB469" s="25" t="n"/>
      <c r="AC469" s="26">
        <f>IF(T469="","Chưa quyết định",IF(OR(Z469="",AA469=""),"⚠ Thiếu lý do/người duyệt",IF(AND(X469&lt;&gt;"",N(X469)+N(R469)+N(S469)&gt;M469*1.001,R469&lt;&gt;""),"⚠ Vượt mục tiêu P90",IF(AND(Y469&lt;&gt;"",ABS(N(Y469))&gt;0.3),"⚠ Lệch &gt; 30% so với nhu cầu",IF(Q469="Có","ℹ Kiểm tra ngoại suy KM","✓ Hợp lệ")))))</f>
        <v/>
      </c>
    </row>
    <row r="470">
      <c r="A470" s="16" t="n">
        <v>466</v>
      </c>
      <c r="B470" s="17" t="inlineStr">
        <is>
          <t>DEC-S50-BEAUTY</t>
        </is>
      </c>
      <c r="C470" s="16" t="n">
        <v>50</v>
      </c>
      <c r="D470" s="17" t="inlineStr">
        <is>
          <t>BEAUTY</t>
        </is>
      </c>
      <c r="E470" s="17" t="inlineStr">
        <is>
          <t>HIGH</t>
        </is>
      </c>
      <c r="F470" s="17" t="inlineStr">
        <is>
          <t>TRUNG BÌNH</t>
        </is>
      </c>
      <c r="G470" s="18" t="inlineStr">
        <is>
          <t>RISK_HIGH · PROMO_EXTRAPOLATION</t>
        </is>
      </c>
      <c r="H470" s="19" t="n">
        <v>108.5984811782837</v>
      </c>
      <c r="I470" s="19" t="n">
        <v>300.0504989624023</v>
      </c>
      <c r="J470" s="19" t="n">
        <v>560.7696485519409</v>
      </c>
      <c r="K470" s="19" t="n">
        <v>300.0504989624023</v>
      </c>
      <c r="L470" s="19" t="n">
        <v>462.999967455864</v>
      </c>
      <c r="M470" s="19" t="n">
        <v>560.7696485519409</v>
      </c>
      <c r="N470" s="17" t="inlineStr">
        <is>
          <t>B</t>
        </is>
      </c>
      <c r="O470" s="19" t="n">
        <v>222.959568285942</v>
      </c>
      <c r="P470" s="18" t="inlineStr">
        <is>
          <t>CÂN NHẮC THỬ NGHIỆM</t>
        </is>
      </c>
      <c r="Q470" s="17" t="inlineStr">
        <is>
          <t>Có</t>
        </is>
      </c>
      <c r="R470" s="20" t="n"/>
      <c r="S470" s="20" t="n"/>
      <c r="T470" s="21" t="n"/>
      <c r="U470" s="21" t="n"/>
      <c r="V470" s="22">
        <f>IF(U470="A",K470,IF(U470="B",L470,IF(U470="C",M470,IF(N470="A",K470,IF(N470="B",L470,M470)))))</f>
        <v/>
      </c>
      <c r="W470" s="22">
        <f>IF(R470="",O470,MAX(V470-R470-N(S470),0))</f>
        <v/>
      </c>
      <c r="X470" s="20" t="n"/>
      <c r="Y470" s="23">
        <f>IF(OR(X470="",W470=0),"",X470/W470-1)</f>
        <v/>
      </c>
      <c r="Z470" s="24" t="n"/>
      <c r="AA470" s="21" t="n"/>
      <c r="AB470" s="25" t="n"/>
      <c r="AC470" s="26">
        <f>IF(T470="","Chưa quyết định",IF(OR(Z470="",AA470=""),"⚠ Thiếu lý do/người duyệt",IF(AND(X470&lt;&gt;"",N(X470)+N(R470)+N(S470)&gt;M470*1.001,R470&lt;&gt;""),"⚠ Vượt mục tiêu P90",IF(AND(Y470&lt;&gt;"",ABS(N(Y470))&gt;0.3),"⚠ Lệch &gt; 30% so với nhu cầu",IF(Q470="Có","ℹ Kiểm tra ngoại suy KM","✓ Hợp lệ")))))</f>
        <v/>
      </c>
    </row>
    <row r="471">
      <c r="A471" s="16" t="n">
        <v>467</v>
      </c>
      <c r="B471" s="17" t="inlineStr">
        <is>
          <t>DEC-S22-HOME_AND_KITCHEN_I</t>
        </is>
      </c>
      <c r="C471" s="16" t="n">
        <v>22</v>
      </c>
      <c r="D471" s="17" t="inlineStr">
        <is>
          <t>HOME AND KITCHEN I</t>
        </is>
      </c>
      <c r="E471" s="17" t="inlineStr">
        <is>
          <t>HIGH</t>
        </is>
      </c>
      <c r="F471" s="17" t="inlineStr">
        <is>
          <t>TRUNG BÌNH</t>
        </is>
      </c>
      <c r="G471" s="18" t="inlineStr">
        <is>
          <t>RISK_HIGH · PROMO_EXTRAPOLATION</t>
        </is>
      </c>
      <c r="H471" s="19" t="n">
        <v>114.8827962875366</v>
      </c>
      <c r="I471" s="19" t="n">
        <v>297.511025428772</v>
      </c>
      <c r="J471" s="19" t="n">
        <v>550.056339263916</v>
      </c>
      <c r="K471" s="19" t="n">
        <v>297.511025428772</v>
      </c>
      <c r="L471" s="19" t="n">
        <v>455.351846575737</v>
      </c>
      <c r="M471" s="19" t="n">
        <v>550.056339263916</v>
      </c>
      <c r="N471" s="17" t="inlineStr">
        <is>
          <t>B</t>
        </is>
      </c>
      <c r="O471" s="19" t="n">
        <v>217.3430262327194</v>
      </c>
      <c r="P471" s="18" t="inlineStr">
        <is>
          <t>CÂN NHẮC THỬ NGHIỆM</t>
        </is>
      </c>
      <c r="Q471" s="17" t="inlineStr">
        <is>
          <t>Có</t>
        </is>
      </c>
      <c r="R471" s="20" t="n"/>
      <c r="S471" s="20" t="n"/>
      <c r="T471" s="21" t="n"/>
      <c r="U471" s="21" t="n"/>
      <c r="V471" s="22">
        <f>IF(U471="A",K471,IF(U471="B",L471,IF(U471="C",M471,IF(N471="A",K471,IF(N471="B",L471,M471)))))</f>
        <v/>
      </c>
      <c r="W471" s="22">
        <f>IF(R471="",O471,MAX(V471-R471-N(S471),0))</f>
        <v/>
      </c>
      <c r="X471" s="20" t="n"/>
      <c r="Y471" s="23">
        <f>IF(OR(X471="",W471=0),"",X471/W471-1)</f>
        <v/>
      </c>
      <c r="Z471" s="24" t="n"/>
      <c r="AA471" s="21" t="n"/>
      <c r="AB471" s="25" t="n"/>
      <c r="AC471" s="26">
        <f>IF(T471="","Chưa quyết định",IF(OR(Z471="",AA471=""),"⚠ Thiếu lý do/người duyệt",IF(AND(X471&lt;&gt;"",N(X471)+N(R471)+N(S471)&gt;M471*1.001,R471&lt;&gt;""),"⚠ Vượt mục tiêu P90",IF(AND(Y471&lt;&gt;"",ABS(N(Y471))&gt;0.3),"⚠ Lệch &gt; 30% so với nhu cầu",IF(Q471="Có","ℹ Kiểm tra ngoại suy KM","✓ Hợp lệ")))))</f>
        <v/>
      </c>
    </row>
    <row r="472">
      <c r="A472" s="16" t="n">
        <v>468</v>
      </c>
      <c r="B472" s="17" t="inlineStr">
        <is>
          <t>DEC-S35-PREPARED_FOODS</t>
        </is>
      </c>
      <c r="C472" s="16" t="n">
        <v>35</v>
      </c>
      <c r="D472" s="17" t="inlineStr">
        <is>
          <t>PREPARED FOODS</t>
        </is>
      </c>
      <c r="E472" s="17" t="inlineStr">
        <is>
          <t>HIGH</t>
        </is>
      </c>
      <c r="F472" s="17" t="inlineStr">
        <is>
          <t>TRUNG BÌNH</t>
        </is>
      </c>
      <c r="G472" s="18" t="inlineStr">
        <is>
          <t>RISK_HIGH · PROMO_EXTRAPOLATION</t>
        </is>
      </c>
      <c r="H472" s="19" t="n">
        <v>106.4918231964111</v>
      </c>
      <c r="I472" s="19" t="n">
        <v>297.2031669616699</v>
      </c>
      <c r="J472" s="19" t="n">
        <v>556.0969734191895</v>
      </c>
      <c r="K472" s="19" t="n">
        <v>297.2031669616699</v>
      </c>
      <c r="L472" s="19" t="n">
        <v>459.0117959976196</v>
      </c>
      <c r="M472" s="19" t="n">
        <v>556.0969734191895</v>
      </c>
      <c r="N472" s="17" t="inlineStr">
        <is>
          <t>B</t>
        </is>
      </c>
      <c r="O472" s="19" t="n">
        <v>221.2492624282837</v>
      </c>
      <c r="P472" s="18" t="inlineStr">
        <is>
          <t>CÂN NHẮC THỬ NGHIỆM</t>
        </is>
      </c>
      <c r="Q472" s="17" t="inlineStr">
        <is>
          <t>Có</t>
        </is>
      </c>
      <c r="R472" s="20" t="n"/>
      <c r="S472" s="20" t="n"/>
      <c r="T472" s="21" t="n"/>
      <c r="U472" s="21" t="n"/>
      <c r="V472" s="22">
        <f>IF(U472="A",K472,IF(U472="B",L472,IF(U472="C",M472,IF(N472="A",K472,IF(N472="B",L472,M472)))))</f>
        <v/>
      </c>
      <c r="W472" s="22">
        <f>IF(R472="",O472,MAX(V472-R472-N(S472),0))</f>
        <v/>
      </c>
      <c r="X472" s="20" t="n"/>
      <c r="Y472" s="23">
        <f>IF(OR(X472="",W472=0),"",X472/W472-1)</f>
        <v/>
      </c>
      <c r="Z472" s="24" t="n"/>
      <c r="AA472" s="21" t="n"/>
      <c r="AB472" s="25" t="n"/>
      <c r="AC472" s="26">
        <f>IF(T472="","Chưa quyết định",IF(OR(Z472="",AA472=""),"⚠ Thiếu lý do/người duyệt",IF(AND(X472&lt;&gt;"",N(X472)+N(R472)+N(S472)&gt;M472*1.001,R472&lt;&gt;""),"⚠ Vượt mục tiêu P90",IF(AND(Y472&lt;&gt;"",ABS(N(Y472))&gt;0.3),"⚠ Lệch &gt; 30% so với nhu cầu",IF(Q472="Có","ℹ Kiểm tra ngoại suy KM","✓ Hợp lệ")))))</f>
        <v/>
      </c>
    </row>
    <row r="473">
      <c r="A473" s="16" t="n">
        <v>469</v>
      </c>
      <c r="B473" s="17" t="inlineStr">
        <is>
          <t>DEC-S20-HOME_AND_KITCHEN_II</t>
        </is>
      </c>
      <c r="C473" s="16" t="n">
        <v>20</v>
      </c>
      <c r="D473" s="17" t="inlineStr">
        <is>
          <t>HOME AND KITCHEN II</t>
        </is>
      </c>
      <c r="E473" s="17" t="inlineStr">
        <is>
          <t>HIGH</t>
        </is>
      </c>
      <c r="F473" s="17" t="inlineStr">
        <is>
          <t>TRUNG BÌNH</t>
        </is>
      </c>
      <c r="G473" s="18" t="inlineStr">
        <is>
          <t>RISK_HIGH · PROMO_EXTRAPOLATION</t>
        </is>
      </c>
      <c r="H473" s="19" t="n">
        <v>98.7365789413452</v>
      </c>
      <c r="I473" s="19" t="n">
        <v>294.6758489608765</v>
      </c>
      <c r="J473" s="19" t="n">
        <v>563.5688343048096</v>
      </c>
      <c r="K473" s="19" t="n">
        <v>294.6758489608765</v>
      </c>
      <c r="L473" s="19" t="n">
        <v>462.7339648008347</v>
      </c>
      <c r="M473" s="19" t="n">
        <v>563.5688343048096</v>
      </c>
      <c r="N473" s="17" t="inlineStr">
        <is>
          <t>B</t>
        </is>
      </c>
      <c r="O473" s="19" t="n">
        <v>226.9932856321334</v>
      </c>
      <c r="P473" s="18" t="inlineStr">
        <is>
          <t>CÂN NHẮC THỬ NGHIỆM</t>
        </is>
      </c>
      <c r="Q473" s="17" t="inlineStr">
        <is>
          <t>Có</t>
        </is>
      </c>
      <c r="R473" s="20" t="n"/>
      <c r="S473" s="20" t="n"/>
      <c r="T473" s="21" t="n"/>
      <c r="U473" s="21" t="n"/>
      <c r="V473" s="22">
        <f>IF(U473="A",K473,IF(U473="B",L473,IF(U473="C",M473,IF(N473="A",K473,IF(N473="B",L473,M473)))))</f>
        <v/>
      </c>
      <c r="W473" s="22">
        <f>IF(R473="",O473,MAX(V473-R473-N(S473),0))</f>
        <v/>
      </c>
      <c r="X473" s="20" t="n"/>
      <c r="Y473" s="23">
        <f>IF(OR(X473="",W473=0),"",X473/W473-1)</f>
        <v/>
      </c>
      <c r="Z473" s="24" t="n"/>
      <c r="AA473" s="21" t="n"/>
      <c r="AB473" s="25" t="n"/>
      <c r="AC473" s="26">
        <f>IF(T473="","Chưa quyết định",IF(OR(Z473="",AA473=""),"⚠ Thiếu lý do/người duyệt",IF(AND(X473&lt;&gt;"",N(X473)+N(R473)+N(S473)&gt;M473*1.001,R473&lt;&gt;""),"⚠ Vượt mục tiêu P90",IF(AND(Y473&lt;&gt;"",ABS(N(Y473))&gt;0.3),"⚠ Lệch &gt; 30% so với nhu cầu",IF(Q473="Có","ℹ Kiểm tra ngoại suy KM","✓ Hợp lệ")))))</f>
        <v/>
      </c>
    </row>
    <row r="474">
      <c r="A474" s="16" t="n">
        <v>470</v>
      </c>
      <c r="B474" s="17" t="inlineStr">
        <is>
          <t>DEC-S25-HOME_AND_KITCHEN_II</t>
        </is>
      </c>
      <c r="C474" s="16" t="n">
        <v>25</v>
      </c>
      <c r="D474" s="17" t="inlineStr">
        <is>
          <t>HOME AND KITCHEN II</t>
        </is>
      </c>
      <c r="E474" s="17" t="inlineStr">
        <is>
          <t>HIGH</t>
        </is>
      </c>
      <c r="F474" s="17" t="inlineStr">
        <is>
          <t>TRUNG BÌNH</t>
        </is>
      </c>
      <c r="G474" s="18" t="inlineStr">
        <is>
          <t>RISK_HIGH · PROMO_EXTRAPOLATION</t>
        </is>
      </c>
      <c r="H474" s="19" t="n">
        <v>115.5090126991272</v>
      </c>
      <c r="I474" s="19" t="n">
        <v>293.9014706611633</v>
      </c>
      <c r="J474" s="19" t="n">
        <v>538.2729487419128</v>
      </c>
      <c r="K474" s="19" t="n">
        <v>293.9014706611633</v>
      </c>
      <c r="L474" s="19" t="n">
        <v>446.6336444616318</v>
      </c>
      <c r="M474" s="19" t="n">
        <v>538.2729487419128</v>
      </c>
      <c r="N474" s="17" t="inlineStr">
        <is>
          <t>B</t>
        </is>
      </c>
      <c r="O474" s="19" t="n">
        <v>211.5124679327011</v>
      </c>
      <c r="P474" s="18" t="inlineStr">
        <is>
          <t>CÂN NHẮC THỬ NGHIỆM</t>
        </is>
      </c>
      <c r="Q474" s="17" t="inlineStr">
        <is>
          <t>Có</t>
        </is>
      </c>
      <c r="R474" s="20" t="n"/>
      <c r="S474" s="20" t="n"/>
      <c r="T474" s="21" t="n"/>
      <c r="U474" s="21" t="n"/>
      <c r="V474" s="22">
        <f>IF(U474="A",K474,IF(U474="B",L474,IF(U474="C",M474,IF(N474="A",K474,IF(N474="B",L474,M474)))))</f>
        <v/>
      </c>
      <c r="W474" s="22">
        <f>IF(R474="",O474,MAX(V474-R474-N(S474),0))</f>
        <v/>
      </c>
      <c r="X474" s="20" t="n"/>
      <c r="Y474" s="23">
        <f>IF(OR(X474="",W474=0),"",X474/W474-1)</f>
        <v/>
      </c>
      <c r="Z474" s="24" t="n"/>
      <c r="AA474" s="21" t="n"/>
      <c r="AB474" s="25" t="n"/>
      <c r="AC474" s="26">
        <f>IF(T474="","Chưa quyết định",IF(OR(Z474="",AA474=""),"⚠ Thiếu lý do/người duyệt",IF(AND(X474&lt;&gt;"",N(X474)+N(R474)+N(S474)&gt;M474*1.001,R474&lt;&gt;""),"⚠ Vượt mục tiêu P90",IF(AND(Y474&lt;&gt;"",ABS(N(Y474))&gt;0.3),"⚠ Lệch &gt; 30% so với nhu cầu",IF(Q474="Có","ℹ Kiểm tra ngoại suy KM","✓ Hợp lệ")))))</f>
        <v/>
      </c>
    </row>
    <row r="475">
      <c r="A475" s="16" t="n">
        <v>471</v>
      </c>
      <c r="B475" s="17" t="inlineStr">
        <is>
          <t>DEC-S22-HOME_AND_KITCHEN_II</t>
        </is>
      </c>
      <c r="C475" s="16" t="n">
        <v>22</v>
      </c>
      <c r="D475" s="17" t="inlineStr">
        <is>
          <t>HOME AND KITCHEN II</t>
        </is>
      </c>
      <c r="E475" s="17" t="inlineStr">
        <is>
          <t>HIGH</t>
        </is>
      </c>
      <c r="F475" s="17" t="inlineStr">
        <is>
          <t>TRUNG BÌNH</t>
        </is>
      </c>
      <c r="G475" s="18" t="inlineStr">
        <is>
          <t>RISK_HIGH · PROMO_EXTRAPOLATION</t>
        </is>
      </c>
      <c r="H475" s="19" t="n">
        <v>93.01051139831544</v>
      </c>
      <c r="I475" s="19" t="n">
        <v>291.4632215499878</v>
      </c>
      <c r="J475" s="19" t="n">
        <v>568.5300426483154</v>
      </c>
      <c r="K475" s="19" t="n">
        <v>291.4632215499878</v>
      </c>
      <c r="L475" s="19" t="n">
        <v>464.6299847364426</v>
      </c>
      <c r="M475" s="19" t="n">
        <v>568.5300426483154</v>
      </c>
      <c r="N475" s="17" t="inlineStr">
        <is>
          <t>B</t>
        </is>
      </c>
      <c r="O475" s="19" t="n">
        <v>231.4594074964523</v>
      </c>
      <c r="P475" s="18" t="inlineStr">
        <is>
          <t>CÂN NHẮC THỬ NGHIỆM</t>
        </is>
      </c>
      <c r="Q475" s="17" t="inlineStr">
        <is>
          <t>Có</t>
        </is>
      </c>
      <c r="R475" s="20" t="n"/>
      <c r="S475" s="20" t="n"/>
      <c r="T475" s="21" t="n"/>
      <c r="U475" s="21" t="n"/>
      <c r="V475" s="22">
        <f>IF(U475="A",K475,IF(U475="B",L475,IF(U475="C",M475,IF(N475="A",K475,IF(N475="B",L475,M475)))))</f>
        <v/>
      </c>
      <c r="W475" s="22">
        <f>IF(R475="",O475,MAX(V475-R475-N(S475),0))</f>
        <v/>
      </c>
      <c r="X475" s="20" t="n"/>
      <c r="Y475" s="23">
        <f>IF(OR(X475="",W475=0),"",X475/W475-1)</f>
        <v/>
      </c>
      <c r="Z475" s="24" t="n"/>
      <c r="AA475" s="21" t="n"/>
      <c r="AB475" s="25" t="n"/>
      <c r="AC475" s="26">
        <f>IF(T475="","Chưa quyết định",IF(OR(Z475="",AA475=""),"⚠ Thiếu lý do/người duyệt",IF(AND(X475&lt;&gt;"",N(X475)+N(R475)+N(S475)&gt;M475*1.001,R475&lt;&gt;""),"⚠ Vượt mục tiêu P90",IF(AND(Y475&lt;&gt;"",ABS(N(Y475))&gt;0.3),"⚠ Lệch &gt; 30% so với nhu cầu",IF(Q475="Có","ℹ Kiểm tra ngoại suy KM","✓ Hợp lệ")))))</f>
        <v/>
      </c>
    </row>
    <row r="476">
      <c r="A476" s="16" t="n">
        <v>472</v>
      </c>
      <c r="B476" s="17" t="inlineStr">
        <is>
          <t>DEC-S43-HOME_AND_KITCHEN_I</t>
        </is>
      </c>
      <c r="C476" s="16" t="n">
        <v>43</v>
      </c>
      <c r="D476" s="17" t="inlineStr">
        <is>
          <t>HOME AND KITCHEN I</t>
        </is>
      </c>
      <c r="E476" s="17" t="inlineStr">
        <is>
          <t>HIGH</t>
        </is>
      </c>
      <c r="F476" s="17" t="inlineStr">
        <is>
          <t>TRUNG BÌNH</t>
        </is>
      </c>
      <c r="G476" s="18" t="inlineStr">
        <is>
          <t>RISK_HIGH · PROMO_EXTRAPOLATION</t>
        </is>
      </c>
      <c r="H476" s="19" t="n">
        <v>112.5659656524658</v>
      </c>
      <c r="I476" s="19" t="n">
        <v>290.2515487670898</v>
      </c>
      <c r="J476" s="19" t="n">
        <v>532.7976837158203</v>
      </c>
      <c r="K476" s="19" t="n">
        <v>290.2515487670898</v>
      </c>
      <c r="L476" s="19" t="n">
        <v>441.8428831100464</v>
      </c>
      <c r="M476" s="19" t="n">
        <v>532.7976837158203</v>
      </c>
      <c r="N476" s="17" t="inlineStr">
        <is>
          <t>B</t>
        </is>
      </c>
      <c r="O476" s="19" t="n">
        <v>209.6416440963745</v>
      </c>
      <c r="P476" s="18" t="inlineStr">
        <is>
          <t>CÂN NHẮC THỬ NGHIỆM</t>
        </is>
      </c>
      <c r="Q476" s="17" t="inlineStr">
        <is>
          <t>Có</t>
        </is>
      </c>
      <c r="R476" s="20" t="n"/>
      <c r="S476" s="20" t="n"/>
      <c r="T476" s="21" t="n"/>
      <c r="U476" s="21" t="n"/>
      <c r="V476" s="22">
        <f>IF(U476="A",K476,IF(U476="B",L476,IF(U476="C",M476,IF(N476="A",K476,IF(N476="B",L476,M476)))))</f>
        <v/>
      </c>
      <c r="W476" s="22">
        <f>IF(R476="",O476,MAX(V476-R476-N(S476),0))</f>
        <v/>
      </c>
      <c r="X476" s="20" t="n"/>
      <c r="Y476" s="23">
        <f>IF(OR(X476="",W476=0),"",X476/W476-1)</f>
        <v/>
      </c>
      <c r="Z476" s="24" t="n"/>
      <c r="AA476" s="21" t="n"/>
      <c r="AB476" s="25" t="n"/>
      <c r="AC476" s="26">
        <f>IF(T476="","Chưa quyết định",IF(OR(Z476="",AA476=""),"⚠ Thiếu lý do/người duyệt",IF(AND(X476&lt;&gt;"",N(X476)+N(R476)+N(S476)&gt;M476*1.001,R476&lt;&gt;""),"⚠ Vượt mục tiêu P90",IF(AND(Y476&lt;&gt;"",ABS(N(Y476))&gt;0.3),"⚠ Lệch &gt; 30% so với nhu cầu",IF(Q476="Có","ℹ Kiểm tra ngoại suy KM","✓ Hợp lệ")))))</f>
        <v/>
      </c>
    </row>
    <row r="477">
      <c r="A477" s="16" t="n">
        <v>473</v>
      </c>
      <c r="B477" s="17" t="inlineStr">
        <is>
          <t>DEC-S25-HOME_AND_KITCHEN_I</t>
        </is>
      </c>
      <c r="C477" s="16" t="n">
        <v>25</v>
      </c>
      <c r="D477" s="17" t="inlineStr">
        <is>
          <t>HOME AND KITCHEN I</t>
        </is>
      </c>
      <c r="E477" s="17" t="inlineStr">
        <is>
          <t>HIGH</t>
        </is>
      </c>
      <c r="F477" s="17" t="inlineStr">
        <is>
          <t>TRUNG BÌNH</t>
        </is>
      </c>
      <c r="G477" s="18" t="inlineStr">
        <is>
          <t>RISK_HIGH · PROMO_EXTRAPOLATION</t>
        </is>
      </c>
      <c r="H477" s="19" t="n">
        <v>103.3924713134766</v>
      </c>
      <c r="I477" s="19" t="n">
        <v>288.1110420227051</v>
      </c>
      <c r="J477" s="19" t="n">
        <v>538.8310127258301</v>
      </c>
      <c r="K477" s="19" t="n">
        <v>288.1110420227051</v>
      </c>
      <c r="L477" s="19" t="n">
        <v>444.8110237121582</v>
      </c>
      <c r="M477" s="19" t="n">
        <v>538.8310127258301</v>
      </c>
      <c r="N477" s="17" t="inlineStr">
        <is>
          <t>B</t>
        </is>
      </c>
      <c r="O477" s="19" t="n">
        <v>214.3221900939941</v>
      </c>
      <c r="P477" s="18" t="inlineStr">
        <is>
          <t>CÂN NHẮC THỬ NGHIỆM</t>
        </is>
      </c>
      <c r="Q477" s="17" t="inlineStr">
        <is>
          <t>Có</t>
        </is>
      </c>
      <c r="R477" s="20" t="n"/>
      <c r="S477" s="20" t="n"/>
      <c r="T477" s="21" t="n"/>
      <c r="U477" s="21" t="n"/>
      <c r="V477" s="22">
        <f>IF(U477="A",K477,IF(U477="B",L477,IF(U477="C",M477,IF(N477="A",K477,IF(N477="B",L477,M477)))))</f>
        <v/>
      </c>
      <c r="W477" s="22">
        <f>IF(R477="",O477,MAX(V477-R477-N(S477),0))</f>
        <v/>
      </c>
      <c r="X477" s="20" t="n"/>
      <c r="Y477" s="23">
        <f>IF(OR(X477="",W477=0),"",X477/W477-1)</f>
        <v/>
      </c>
      <c r="Z477" s="24" t="n"/>
      <c r="AA477" s="21" t="n"/>
      <c r="AB477" s="25" t="n"/>
      <c r="AC477" s="26">
        <f>IF(T477="","Chưa quyết định",IF(OR(Z477="",AA477=""),"⚠ Thiếu lý do/người duyệt",IF(AND(X477&lt;&gt;"",N(X477)+N(R477)+N(S477)&gt;M477*1.001,R477&lt;&gt;""),"⚠ Vượt mục tiêu P90",IF(AND(Y477&lt;&gt;"",ABS(N(Y477))&gt;0.3),"⚠ Lệch &gt; 30% so với nhu cầu",IF(Q477="Có","ℹ Kiểm tra ngoại suy KM","✓ Hợp lệ")))))</f>
        <v/>
      </c>
    </row>
    <row r="478">
      <c r="A478" s="16" t="n">
        <v>474</v>
      </c>
      <c r="B478" s="17" t="inlineStr">
        <is>
          <t>DEC-S09-CELEBRATION</t>
        </is>
      </c>
      <c r="C478" s="16" t="n">
        <v>9</v>
      </c>
      <c r="D478" s="17" t="inlineStr">
        <is>
          <t>CELEBRATION</t>
        </is>
      </c>
      <c r="E478" s="17" t="inlineStr">
        <is>
          <t>HIGH</t>
        </is>
      </c>
      <c r="F478" s="17" t="inlineStr">
        <is>
          <t>TRUNG BÌNH</t>
        </is>
      </c>
      <c r="G478" s="18" t="inlineStr">
        <is>
          <t>RISK_HIGH · PROMO_EXTRAPOLATION</t>
        </is>
      </c>
      <c r="H478" s="19" t="n">
        <v>94.007098197937</v>
      </c>
      <c r="I478" s="19" t="n">
        <v>287.422797203064</v>
      </c>
      <c r="J478" s="19" t="n">
        <v>558.1411256790161</v>
      </c>
      <c r="K478" s="19" t="n">
        <v>287.422797203064</v>
      </c>
      <c r="L478" s="19" t="n">
        <v>456.6217525005341</v>
      </c>
      <c r="M478" s="19" t="n">
        <v>558.1411256790161</v>
      </c>
      <c r="N478" s="17" t="inlineStr">
        <is>
          <t>B</t>
        </is>
      </c>
      <c r="O478" s="19" t="n">
        <v>226.6835147380829</v>
      </c>
      <c r="P478" s="18" t="inlineStr">
        <is>
          <t>CÂN NHẮC THỬ NGHIỆM</t>
        </is>
      </c>
      <c r="Q478" s="17" t="inlineStr">
        <is>
          <t>Có</t>
        </is>
      </c>
      <c r="R478" s="20" t="n"/>
      <c r="S478" s="20" t="n"/>
      <c r="T478" s="21" t="n"/>
      <c r="U478" s="21" t="n"/>
      <c r="V478" s="22">
        <f>IF(U478="A",K478,IF(U478="B",L478,IF(U478="C",M478,IF(N478="A",K478,IF(N478="B",L478,M478)))))</f>
        <v/>
      </c>
      <c r="W478" s="22">
        <f>IF(R478="",O478,MAX(V478-R478-N(S478),0))</f>
        <v/>
      </c>
      <c r="X478" s="20" t="n"/>
      <c r="Y478" s="23">
        <f>IF(OR(X478="",W478=0),"",X478/W478-1)</f>
        <v/>
      </c>
      <c r="Z478" s="24" t="n"/>
      <c r="AA478" s="21" t="n"/>
      <c r="AB478" s="25" t="n"/>
      <c r="AC478" s="26">
        <f>IF(T478="","Chưa quyết định",IF(OR(Z478="",AA478=""),"⚠ Thiếu lý do/người duyệt",IF(AND(X478&lt;&gt;"",N(X478)+N(R478)+N(S478)&gt;M478*1.001,R478&lt;&gt;""),"⚠ Vượt mục tiêu P90",IF(AND(Y478&lt;&gt;"",ABS(N(Y478))&gt;0.3),"⚠ Lệch &gt; 30% so với nhu cầu",IF(Q478="Có","ℹ Kiểm tra ngoại suy KM","✓ Hợp lệ")))))</f>
        <v/>
      </c>
    </row>
    <row r="479">
      <c r="A479" s="16" t="n">
        <v>475</v>
      </c>
      <c r="B479" s="17" t="inlineStr">
        <is>
          <t>DEC-S45-BEAUTY</t>
        </is>
      </c>
      <c r="C479" s="16" t="n">
        <v>45</v>
      </c>
      <c r="D479" s="17" t="inlineStr">
        <is>
          <t>BEAUTY</t>
        </is>
      </c>
      <c r="E479" s="17" t="inlineStr">
        <is>
          <t>HIGH</t>
        </is>
      </c>
      <c r="F479" s="17" t="inlineStr">
        <is>
          <t>TRUNG BÌNH</t>
        </is>
      </c>
      <c r="G479" s="18" t="inlineStr">
        <is>
          <t>RISK_HIGH · PROMO_EXTRAPOLATION</t>
        </is>
      </c>
      <c r="H479" s="19" t="n">
        <v>102.4935445785522</v>
      </c>
      <c r="I479" s="19" t="n">
        <v>287.2121152877808</v>
      </c>
      <c r="J479" s="19" t="n">
        <v>537.9320859909058</v>
      </c>
      <c r="K479" s="19" t="n">
        <v>287.2121152877808</v>
      </c>
      <c r="L479" s="19" t="n">
        <v>443.9120969772339</v>
      </c>
      <c r="M479" s="19" t="n">
        <v>537.9320859909058</v>
      </c>
      <c r="N479" s="17" t="inlineStr">
        <is>
          <t>B</t>
        </is>
      </c>
      <c r="O479" s="19" t="n">
        <v>214.1424047470092</v>
      </c>
      <c r="P479" s="18" t="inlineStr">
        <is>
          <t>CÂN NHẮC THỬ NGHIỆM</t>
        </is>
      </c>
      <c r="Q479" s="17" t="inlineStr">
        <is>
          <t>Có</t>
        </is>
      </c>
      <c r="R479" s="20" t="n"/>
      <c r="S479" s="20" t="n"/>
      <c r="T479" s="21" t="n"/>
      <c r="U479" s="21" t="n"/>
      <c r="V479" s="22">
        <f>IF(U479="A",K479,IF(U479="B",L479,IF(U479="C",M479,IF(N479="A",K479,IF(N479="B",L479,M479)))))</f>
        <v/>
      </c>
      <c r="W479" s="22">
        <f>IF(R479="",O479,MAX(V479-R479-N(S479),0))</f>
        <v/>
      </c>
      <c r="X479" s="20" t="n"/>
      <c r="Y479" s="23">
        <f>IF(OR(X479="",W479=0),"",X479/W479-1)</f>
        <v/>
      </c>
      <c r="Z479" s="24" t="n"/>
      <c r="AA479" s="21" t="n"/>
      <c r="AB479" s="25" t="n"/>
      <c r="AC479" s="26">
        <f>IF(T479="","Chưa quyết định",IF(OR(Z479="",AA479=""),"⚠ Thiếu lý do/người duyệt",IF(AND(X479&lt;&gt;"",N(X479)+N(R479)+N(S479)&gt;M479*1.001,R479&lt;&gt;""),"⚠ Vượt mục tiêu P90",IF(AND(Y479&lt;&gt;"",ABS(N(Y479))&gt;0.3),"⚠ Lệch &gt; 30% so với nhu cầu",IF(Q479="Có","ℹ Kiểm tra ngoại suy KM","✓ Hợp lệ")))))</f>
        <v/>
      </c>
    </row>
    <row r="480">
      <c r="A480" s="16" t="n">
        <v>476</v>
      </c>
      <c r="B480" s="17" t="inlineStr">
        <is>
          <t>DEC-S39-LINGERIE</t>
        </is>
      </c>
      <c r="C480" s="16" t="n">
        <v>39</v>
      </c>
      <c r="D480" s="17" t="inlineStr">
        <is>
          <t>LINGERIE</t>
        </is>
      </c>
      <c r="E480" s="17" t="inlineStr">
        <is>
          <t>HIGH</t>
        </is>
      </c>
      <c r="F480" s="17" t="inlineStr">
        <is>
          <t>TRUNG BÌNH</t>
        </is>
      </c>
      <c r="G480" s="18" t="inlineStr">
        <is>
          <t>RISK_HIGH · PROMO_EXTRAPOLATION</t>
        </is>
      </c>
      <c r="H480" s="19" t="n">
        <v>114.264865398407</v>
      </c>
      <c r="I480" s="19" t="n">
        <v>286.2790551185608</v>
      </c>
      <c r="J480" s="19" t="n">
        <v>520.6513543128967</v>
      </c>
      <c r="K480" s="19" t="n">
        <v>286.2790551185608</v>
      </c>
      <c r="L480" s="19" t="n">
        <v>432.7617421150208</v>
      </c>
      <c r="M480" s="19" t="n">
        <v>520.6513543128967</v>
      </c>
      <c r="N480" s="17" t="inlineStr">
        <is>
          <t>B</t>
        </is>
      </c>
      <c r="O480" s="19" t="n">
        <v>203.7384980201721</v>
      </c>
      <c r="P480" s="18" t="inlineStr">
        <is>
          <t>CÂN NHẮC THỬ NGHIỆM</t>
        </is>
      </c>
      <c r="Q480" s="17" t="inlineStr">
        <is>
          <t>Có</t>
        </is>
      </c>
      <c r="R480" s="20" t="n"/>
      <c r="S480" s="20" t="n"/>
      <c r="T480" s="21" t="n"/>
      <c r="U480" s="21" t="n"/>
      <c r="V480" s="22">
        <f>IF(U480="A",K480,IF(U480="B",L480,IF(U480="C",M480,IF(N480="A",K480,IF(N480="B",L480,M480)))))</f>
        <v/>
      </c>
      <c r="W480" s="22">
        <f>IF(R480="",O480,MAX(V480-R480-N(S480),0))</f>
        <v/>
      </c>
      <c r="X480" s="20" t="n"/>
      <c r="Y480" s="23">
        <f>IF(OR(X480="",W480=0),"",X480/W480-1)</f>
        <v/>
      </c>
      <c r="Z480" s="24" t="n"/>
      <c r="AA480" s="21" t="n"/>
      <c r="AB480" s="25" t="n"/>
      <c r="AC480" s="26">
        <f>IF(T480="","Chưa quyết định",IF(OR(Z480="",AA480=""),"⚠ Thiếu lý do/người duyệt",IF(AND(X480&lt;&gt;"",N(X480)+N(R480)+N(S480)&gt;M480*1.001,R480&lt;&gt;""),"⚠ Vượt mục tiêu P90",IF(AND(Y480&lt;&gt;"",ABS(N(Y480))&gt;0.3),"⚠ Lệch &gt; 30% so với nhu cầu",IF(Q480="Có","ℹ Kiểm tra ngoại suy KM","✓ Hợp lệ")))))</f>
        <v/>
      </c>
    </row>
    <row r="481">
      <c r="A481" s="16" t="n">
        <v>477</v>
      </c>
      <c r="B481" s="17" t="inlineStr">
        <is>
          <t>DEC-S11-HOME_AND_KITCHEN_II</t>
        </is>
      </c>
      <c r="C481" s="16" t="n">
        <v>11</v>
      </c>
      <c r="D481" s="17" t="inlineStr">
        <is>
          <t>HOME AND KITCHEN II</t>
        </is>
      </c>
      <c r="E481" s="17" t="inlineStr">
        <is>
          <t>HIGH</t>
        </is>
      </c>
      <c r="F481" s="17" t="inlineStr">
        <is>
          <t>TRUNG BÌNH</t>
        </is>
      </c>
      <c r="G481" s="18" t="inlineStr">
        <is>
          <t>RISK_HIGH · PROMO_EXTRAPOLATION</t>
        </is>
      </c>
      <c r="H481" s="19" t="n">
        <v>99.04644107818604</v>
      </c>
      <c r="I481" s="19" t="n">
        <v>286.2300882339477</v>
      </c>
      <c r="J481" s="19" t="n">
        <v>545.1238946914673</v>
      </c>
      <c r="K481" s="19" t="n">
        <v>286.2300882339477</v>
      </c>
      <c r="L481" s="19" t="n">
        <v>448.0387172698975</v>
      </c>
      <c r="M481" s="19" t="n">
        <v>545.1238946914673</v>
      </c>
      <c r="N481" s="17" t="inlineStr">
        <is>
          <t>B</t>
        </is>
      </c>
      <c r="O481" s="19" t="n">
        <v>219.0546466827393</v>
      </c>
      <c r="P481" s="18" t="inlineStr">
        <is>
          <t>CÂN NHẮC THỬ NGHIỆM</t>
        </is>
      </c>
      <c r="Q481" s="17" t="inlineStr">
        <is>
          <t>Có</t>
        </is>
      </c>
      <c r="R481" s="20" t="n"/>
      <c r="S481" s="20" t="n"/>
      <c r="T481" s="21" t="n"/>
      <c r="U481" s="21" t="n"/>
      <c r="V481" s="22">
        <f>IF(U481="A",K481,IF(U481="B",L481,IF(U481="C",M481,IF(N481="A",K481,IF(N481="B",L481,M481)))))</f>
        <v/>
      </c>
      <c r="W481" s="22">
        <f>IF(R481="",O481,MAX(V481-R481-N(S481),0))</f>
        <v/>
      </c>
      <c r="X481" s="20" t="n"/>
      <c r="Y481" s="23">
        <f>IF(OR(X481="",W481=0),"",X481/W481-1)</f>
        <v/>
      </c>
      <c r="Z481" s="24" t="n"/>
      <c r="AA481" s="21" t="n"/>
      <c r="AB481" s="25" t="n"/>
      <c r="AC481" s="26">
        <f>IF(T481="","Chưa quyết định",IF(OR(Z481="",AA481=""),"⚠ Thiếu lý do/người duyệt",IF(AND(X481&lt;&gt;"",N(X481)+N(R481)+N(S481)&gt;M481*1.001,R481&lt;&gt;""),"⚠ Vượt mục tiêu P90",IF(AND(Y481&lt;&gt;"",ABS(N(Y481))&gt;0.3),"⚠ Lệch &gt; 30% so với nhu cầu",IF(Q481="Có","ℹ Kiểm tra ngoại suy KM","✓ Hợp lệ")))))</f>
        <v/>
      </c>
    </row>
    <row r="482">
      <c r="A482" s="16" t="n">
        <v>478</v>
      </c>
      <c r="B482" s="17" t="inlineStr">
        <is>
          <t>DEC-S03-BEAUTY</t>
        </is>
      </c>
      <c r="C482" s="16" t="n">
        <v>3</v>
      </c>
      <c r="D482" s="17" t="inlineStr">
        <is>
          <t>BEAUTY</t>
        </is>
      </c>
      <c r="E482" s="17" t="inlineStr">
        <is>
          <t>HIGH</t>
        </is>
      </c>
      <c r="F482" s="17" t="inlineStr">
        <is>
          <t>TRUNG BÌNH</t>
        </is>
      </c>
      <c r="G482" s="18" t="inlineStr">
        <is>
          <t>RISK_HIGH · PROMO_EXTRAPOLATION</t>
        </is>
      </c>
      <c r="H482" s="19" t="n">
        <v>101.6711225509644</v>
      </c>
      <c r="I482" s="19" t="n">
        <v>286.180121421814</v>
      </c>
      <c r="J482" s="19" t="n">
        <v>536.900092124939</v>
      </c>
      <c r="K482" s="19" t="n">
        <v>286.180121421814</v>
      </c>
      <c r="L482" s="19" t="n">
        <v>442.8801031112671</v>
      </c>
      <c r="M482" s="19" t="n">
        <v>536.900092124939</v>
      </c>
      <c r="N482" s="17" t="inlineStr">
        <is>
          <t>B</t>
        </is>
      </c>
      <c r="O482" s="19" t="n">
        <v>213.9360059738159</v>
      </c>
      <c r="P482" s="18" t="inlineStr">
        <is>
          <t>CÂN NHẮC THỬ NGHIỆM</t>
        </is>
      </c>
      <c r="Q482" s="17" t="inlineStr">
        <is>
          <t>Có</t>
        </is>
      </c>
      <c r="R482" s="20" t="n"/>
      <c r="S482" s="20" t="n"/>
      <c r="T482" s="21" t="n"/>
      <c r="U482" s="21" t="n"/>
      <c r="V482" s="22">
        <f>IF(U482="A",K482,IF(U482="B",L482,IF(U482="C",M482,IF(N482="A",K482,IF(N482="B",L482,M482)))))</f>
        <v/>
      </c>
      <c r="W482" s="22">
        <f>IF(R482="",O482,MAX(V482-R482-N(S482),0))</f>
        <v/>
      </c>
      <c r="X482" s="20" t="n"/>
      <c r="Y482" s="23">
        <f>IF(OR(X482="",W482=0),"",X482/W482-1)</f>
        <v/>
      </c>
      <c r="Z482" s="24" t="n"/>
      <c r="AA482" s="21" t="n"/>
      <c r="AB482" s="25" t="n"/>
      <c r="AC482" s="26">
        <f>IF(T482="","Chưa quyết định",IF(OR(Z482="",AA482=""),"⚠ Thiếu lý do/người duyệt",IF(AND(X482&lt;&gt;"",N(X482)+N(R482)+N(S482)&gt;M482*1.001,R482&lt;&gt;""),"⚠ Vượt mục tiêu P90",IF(AND(Y482&lt;&gt;"",ABS(N(Y482))&gt;0.3),"⚠ Lệch &gt; 30% so với nhu cầu",IF(Q482="Có","ℹ Kiểm tra ngoại suy KM","✓ Hợp lệ")))))</f>
        <v/>
      </c>
    </row>
    <row r="483">
      <c r="A483" s="16" t="n">
        <v>479</v>
      </c>
      <c r="B483" s="17" t="inlineStr">
        <is>
          <t>DEC-S19-HOME_AND_KITCHEN_I</t>
        </is>
      </c>
      <c r="C483" s="16" t="n">
        <v>19</v>
      </c>
      <c r="D483" s="17" t="inlineStr">
        <is>
          <t>HOME AND KITCHEN I</t>
        </is>
      </c>
      <c r="E483" s="17" t="inlineStr">
        <is>
          <t>HIGH</t>
        </is>
      </c>
      <c r="F483" s="17" t="inlineStr">
        <is>
          <t>TRUNG BÌNH</t>
        </is>
      </c>
      <c r="G483" s="18" t="inlineStr">
        <is>
          <t>RISK_HIGH · PROMO_EXTRAPOLATION</t>
        </is>
      </c>
      <c r="H483" s="19" t="n">
        <v>108.0700435638428</v>
      </c>
      <c r="I483" s="19" t="n">
        <v>285.4695272445679</v>
      </c>
      <c r="J483" s="19" t="n">
        <v>531.6663484573364</v>
      </c>
      <c r="K483" s="19" t="n">
        <v>285.4695272445679</v>
      </c>
      <c r="L483" s="19" t="n">
        <v>439.3425405025482</v>
      </c>
      <c r="M483" s="19" t="n">
        <v>531.6663484573364</v>
      </c>
      <c r="N483" s="17" t="inlineStr">
        <is>
          <t>B</t>
        </is>
      </c>
      <c r="O483" s="19" t="n">
        <v>210.9669187068939</v>
      </c>
      <c r="P483" s="18" t="inlineStr">
        <is>
          <t>CÂN NHẮC THỬ NGHIỆM</t>
        </is>
      </c>
      <c r="Q483" s="17" t="inlineStr">
        <is>
          <t>Có</t>
        </is>
      </c>
      <c r="R483" s="20" t="n"/>
      <c r="S483" s="20" t="n"/>
      <c r="T483" s="21" t="n"/>
      <c r="U483" s="21" t="n"/>
      <c r="V483" s="22">
        <f>IF(U483="A",K483,IF(U483="B",L483,IF(U483="C",M483,IF(N483="A",K483,IF(N483="B",L483,M483)))))</f>
        <v/>
      </c>
      <c r="W483" s="22">
        <f>IF(R483="",O483,MAX(V483-R483-N(S483),0))</f>
        <v/>
      </c>
      <c r="X483" s="20" t="n"/>
      <c r="Y483" s="23">
        <f>IF(OR(X483="",W483=0),"",X483/W483-1)</f>
        <v/>
      </c>
      <c r="Z483" s="24" t="n"/>
      <c r="AA483" s="21" t="n"/>
      <c r="AB483" s="25" t="n"/>
      <c r="AC483" s="26">
        <f>IF(T483="","Chưa quyết định",IF(OR(Z483="",AA483=""),"⚠ Thiếu lý do/người duyệt",IF(AND(X483&lt;&gt;"",N(X483)+N(R483)+N(S483)&gt;M483*1.001,R483&lt;&gt;""),"⚠ Vượt mục tiêu P90",IF(AND(Y483&lt;&gt;"",ABS(N(Y483))&gt;0.3),"⚠ Lệch &gt; 30% so với nhu cầu",IF(Q483="Có","ℹ Kiểm tra ngoại suy KM","✓ Hợp lệ")))))</f>
        <v/>
      </c>
    </row>
    <row r="484">
      <c r="A484" s="16" t="n">
        <v>480</v>
      </c>
      <c r="B484" s="17" t="inlineStr">
        <is>
          <t>DEC-S37-LAWN_AND_GARDEN</t>
        </is>
      </c>
      <c r="C484" s="16" t="n">
        <v>37</v>
      </c>
      <c r="D484" s="17" t="inlineStr">
        <is>
          <t>LAWN AND GARDEN</t>
        </is>
      </c>
      <c r="E484" s="17" t="inlineStr">
        <is>
          <t>HIGH</t>
        </is>
      </c>
      <c r="F484" s="17" t="inlineStr">
        <is>
          <t>TRUNG BÌNH</t>
        </is>
      </c>
      <c r="G484" s="18" t="inlineStr">
        <is>
          <t>RISK_HIGH · PROMO_EXTRAPOLATION</t>
        </is>
      </c>
      <c r="H484" s="19" t="n">
        <v>80.61295413970947</v>
      </c>
      <c r="I484" s="19" t="n">
        <v>282.765516281128</v>
      </c>
      <c r="J484" s="19" t="n">
        <v>559.8323373794556</v>
      </c>
      <c r="K484" s="19" t="n">
        <v>282.765516281128</v>
      </c>
      <c r="L484" s="19" t="n">
        <v>455.9322794675827</v>
      </c>
      <c r="M484" s="19" t="n">
        <v>559.8323373794556</v>
      </c>
      <c r="N484" s="17" t="inlineStr">
        <is>
          <t>B</t>
        </is>
      </c>
      <c r="O484" s="19" t="n">
        <v>229.7198664426803</v>
      </c>
      <c r="P484" s="18" t="inlineStr">
        <is>
          <t>CÂN NHẮC THỬ NGHIỆM</t>
        </is>
      </c>
      <c r="Q484" s="17" t="inlineStr">
        <is>
          <t>Có</t>
        </is>
      </c>
      <c r="R484" s="20" t="n"/>
      <c r="S484" s="20" t="n"/>
      <c r="T484" s="21" t="n"/>
      <c r="U484" s="21" t="n"/>
      <c r="V484" s="22">
        <f>IF(U484="A",K484,IF(U484="B",L484,IF(U484="C",M484,IF(N484="A",K484,IF(N484="B",L484,M484)))))</f>
        <v/>
      </c>
      <c r="W484" s="22">
        <f>IF(R484="",O484,MAX(V484-R484-N(S484),0))</f>
        <v/>
      </c>
      <c r="X484" s="20" t="n"/>
      <c r="Y484" s="23">
        <f>IF(OR(X484="",W484=0),"",X484/W484-1)</f>
        <v/>
      </c>
      <c r="Z484" s="24" t="n"/>
      <c r="AA484" s="21" t="n"/>
      <c r="AB484" s="25" t="n"/>
      <c r="AC484" s="26">
        <f>IF(T484="","Chưa quyết định",IF(OR(Z484="",AA484=""),"⚠ Thiếu lý do/người duyệt",IF(AND(X484&lt;&gt;"",N(X484)+N(R484)+N(S484)&gt;M484*1.001,R484&lt;&gt;""),"⚠ Vượt mục tiêu P90",IF(AND(Y484&lt;&gt;"",ABS(N(Y484))&gt;0.3),"⚠ Lệch &gt; 30% so với nhu cầu",IF(Q484="Có","ℹ Kiểm tra ngoại suy KM","✓ Hợp lệ")))))</f>
        <v/>
      </c>
    </row>
    <row r="485">
      <c r="A485" s="16" t="n">
        <v>481</v>
      </c>
      <c r="B485" s="17" t="inlineStr">
        <is>
          <t>DEC-S02-LAWN_AND_GARDEN</t>
        </is>
      </c>
      <c r="C485" s="16" t="n">
        <v>2</v>
      </c>
      <c r="D485" s="17" t="inlineStr">
        <is>
          <t>LAWN AND GARDEN</t>
        </is>
      </c>
      <c r="E485" s="17" t="inlineStr">
        <is>
          <t>HIGH</t>
        </is>
      </c>
      <c r="F485" s="17" t="inlineStr">
        <is>
          <t>TRUNG BÌNH</t>
        </is>
      </c>
      <c r="G485" s="18" t="inlineStr">
        <is>
          <t>RISK_HIGH · PROMO_EXTRAPOLATION</t>
        </is>
      </c>
      <c r="H485" s="19" t="n">
        <v>101.6683626174927</v>
      </c>
      <c r="I485" s="19" t="n">
        <v>280.3172998428345</v>
      </c>
      <c r="J485" s="19" t="n">
        <v>526.514121055603</v>
      </c>
      <c r="K485" s="19" t="n">
        <v>280.3172998428345</v>
      </c>
      <c r="L485" s="19" t="n">
        <v>434.1903131008148</v>
      </c>
      <c r="M485" s="19" t="n">
        <v>526.514121055603</v>
      </c>
      <c r="N485" s="17" t="inlineStr">
        <is>
          <t>B</t>
        </is>
      </c>
      <c r="O485" s="19" t="n">
        <v>209.9364732265472</v>
      </c>
      <c r="P485" s="18" t="inlineStr">
        <is>
          <t>CÂN NHẮC THỬ NGHIỆM</t>
        </is>
      </c>
      <c r="Q485" s="17" t="inlineStr">
        <is>
          <t>Có</t>
        </is>
      </c>
      <c r="R485" s="20" t="n"/>
      <c r="S485" s="20" t="n"/>
      <c r="T485" s="21" t="n"/>
      <c r="U485" s="21" t="n"/>
      <c r="V485" s="22">
        <f>IF(U485="A",K485,IF(U485="B",L485,IF(U485="C",M485,IF(N485="A",K485,IF(N485="B",L485,M485)))))</f>
        <v/>
      </c>
      <c r="W485" s="22">
        <f>IF(R485="",O485,MAX(V485-R485-N(S485),0))</f>
        <v/>
      </c>
      <c r="X485" s="20" t="n"/>
      <c r="Y485" s="23">
        <f>IF(OR(X485="",W485=0),"",X485/W485-1)</f>
        <v/>
      </c>
      <c r="Z485" s="24" t="n"/>
      <c r="AA485" s="21" t="n"/>
      <c r="AB485" s="25" t="n"/>
      <c r="AC485" s="26">
        <f>IF(T485="","Chưa quyết định",IF(OR(Z485="",AA485=""),"⚠ Thiếu lý do/người duyệt",IF(AND(X485&lt;&gt;"",N(X485)+N(R485)+N(S485)&gt;M485*1.001,R485&lt;&gt;""),"⚠ Vượt mục tiêu P90",IF(AND(Y485&lt;&gt;"",ABS(N(Y485))&gt;0.3),"⚠ Lệch &gt; 30% so với nhu cầu",IF(Q485="Có","ℹ Kiểm tra ngoại suy KM","✓ Hợp lệ")))))</f>
        <v/>
      </c>
    </row>
    <row r="486">
      <c r="A486" s="16" t="n">
        <v>482</v>
      </c>
      <c r="B486" s="17" t="inlineStr">
        <is>
          <t>DEC-S08-PET_SUPPLIES</t>
        </is>
      </c>
      <c r="C486" s="16" t="n">
        <v>8</v>
      </c>
      <c r="D486" s="17" t="inlineStr">
        <is>
          <t>PET SUPPLIES</t>
        </is>
      </c>
      <c r="E486" s="17" t="inlineStr">
        <is>
          <t>HIGH</t>
        </is>
      </c>
      <c r="F486" s="17" t="inlineStr">
        <is>
          <t>TRUNG BÌNH</t>
        </is>
      </c>
      <c r="G486" s="18" t="inlineStr">
        <is>
          <t>RISK_HIGH · PROMO_EXTRAPOLATION</t>
        </is>
      </c>
      <c r="H486" s="19" t="n">
        <v>80.55687713623047</v>
      </c>
      <c r="I486" s="19" t="n">
        <v>276.0024366378784</v>
      </c>
      <c r="J486" s="19" t="n">
        <v>543.0700788497925</v>
      </c>
      <c r="K486" s="19" t="n">
        <v>276.0024366378784</v>
      </c>
      <c r="L486" s="19" t="n">
        <v>442.9197130203247</v>
      </c>
      <c r="M486" s="19" t="n">
        <v>543.0700788497925</v>
      </c>
      <c r="N486" s="17" t="inlineStr">
        <is>
          <t>B</t>
        </is>
      </c>
      <c r="O486" s="19" t="n">
        <v>222.117763710022</v>
      </c>
      <c r="P486" s="18" t="inlineStr">
        <is>
          <t>CÂN NHẮC THỬ NGHIỆM</t>
        </is>
      </c>
      <c r="Q486" s="17" t="inlineStr">
        <is>
          <t>Có</t>
        </is>
      </c>
      <c r="R486" s="20" t="n"/>
      <c r="S486" s="20" t="n"/>
      <c r="T486" s="21" t="n"/>
      <c r="U486" s="21" t="n"/>
      <c r="V486" s="22">
        <f>IF(U486="A",K486,IF(U486="B",L486,IF(U486="C",M486,IF(N486="A",K486,IF(N486="B",L486,M486)))))</f>
        <v/>
      </c>
      <c r="W486" s="22">
        <f>IF(R486="",O486,MAX(V486-R486-N(S486),0))</f>
        <v/>
      </c>
      <c r="X486" s="20" t="n"/>
      <c r="Y486" s="23">
        <f>IF(OR(X486="",W486=0),"",X486/W486-1)</f>
        <v/>
      </c>
      <c r="Z486" s="24" t="n"/>
      <c r="AA486" s="21" t="n"/>
      <c r="AB486" s="25" t="n"/>
      <c r="AC486" s="26">
        <f>IF(T486="","Chưa quyết định",IF(OR(Z486="",AA486=""),"⚠ Thiếu lý do/người duyệt",IF(AND(X486&lt;&gt;"",N(X486)+N(R486)+N(S486)&gt;M486*1.001,R486&lt;&gt;""),"⚠ Vượt mục tiêu P90",IF(AND(Y486&lt;&gt;"",ABS(N(Y486))&gt;0.3),"⚠ Lệch &gt; 30% so với nhu cầu",IF(Q486="Có","ℹ Kiểm tra ngoại suy KM","✓ Hợp lệ")))))</f>
        <v/>
      </c>
    </row>
    <row r="487">
      <c r="A487" s="16" t="n">
        <v>483</v>
      </c>
      <c r="B487" s="17" t="inlineStr">
        <is>
          <t>DEC-S40-HOME_AND_KITCHEN_II</t>
        </is>
      </c>
      <c r="C487" s="16" t="n">
        <v>40</v>
      </c>
      <c r="D487" s="17" t="inlineStr">
        <is>
          <t>HOME AND KITCHEN II</t>
        </is>
      </c>
      <c r="E487" s="17" t="inlineStr">
        <is>
          <t>HIGH</t>
        </is>
      </c>
      <c r="F487" s="17" t="inlineStr">
        <is>
          <t>TRUNG BÌNH</t>
        </is>
      </c>
      <c r="G487" s="18" t="inlineStr">
        <is>
          <t>RISK_HIGH · PROMO_EXTRAPOLATION</t>
        </is>
      </c>
      <c r="H487" s="19" t="n">
        <v>83.04656791687012</v>
      </c>
      <c r="I487" s="19" t="n">
        <v>275.6924028396606</v>
      </c>
      <c r="J487" s="19" t="n">
        <v>542.7600450515747</v>
      </c>
      <c r="K487" s="19" t="n">
        <v>275.6924028396606</v>
      </c>
      <c r="L487" s="19" t="n">
        <v>442.6096792221069</v>
      </c>
      <c r="M487" s="19" t="n">
        <v>542.7600450515747</v>
      </c>
      <c r="N487" s="17" t="inlineStr">
        <is>
          <t>B</t>
        </is>
      </c>
      <c r="O487" s="19" t="n">
        <v>222.0557569503784</v>
      </c>
      <c r="P487" s="18" t="inlineStr">
        <is>
          <t>CÂN NHẮC THỬ NGHIỆM</t>
        </is>
      </c>
      <c r="Q487" s="17" t="inlineStr">
        <is>
          <t>Có</t>
        </is>
      </c>
      <c r="R487" s="20" t="n"/>
      <c r="S487" s="20" t="n"/>
      <c r="T487" s="21" t="n"/>
      <c r="U487" s="21" t="n"/>
      <c r="V487" s="22">
        <f>IF(U487="A",K487,IF(U487="B",L487,IF(U487="C",M487,IF(N487="A",K487,IF(N487="B",L487,M487)))))</f>
        <v/>
      </c>
      <c r="W487" s="22">
        <f>IF(R487="",O487,MAX(V487-R487-N(S487),0))</f>
        <v/>
      </c>
      <c r="X487" s="20" t="n"/>
      <c r="Y487" s="23">
        <f>IF(OR(X487="",W487=0),"",X487/W487-1)</f>
        <v/>
      </c>
      <c r="Z487" s="24" t="n"/>
      <c r="AA487" s="21" t="n"/>
      <c r="AB487" s="25" t="n"/>
      <c r="AC487" s="26">
        <f>IF(T487="","Chưa quyết định",IF(OR(Z487="",AA487=""),"⚠ Thiếu lý do/người duyệt",IF(AND(X487&lt;&gt;"",N(X487)+N(R487)+N(S487)&gt;M487*1.001,R487&lt;&gt;""),"⚠ Vượt mục tiêu P90",IF(AND(Y487&lt;&gt;"",ABS(N(Y487))&gt;0.3),"⚠ Lệch &gt; 30% so với nhu cầu",IF(Q487="Có","ℹ Kiểm tra ngoại suy KM","✓ Hợp lệ")))))</f>
        <v/>
      </c>
    </row>
    <row r="488">
      <c r="A488" s="16" t="n">
        <v>484</v>
      </c>
      <c r="B488" s="17" t="inlineStr">
        <is>
          <t>DEC-S52-PLAYERS_AND_ELECTRONICS</t>
        </is>
      </c>
      <c r="C488" s="16" t="n">
        <v>52</v>
      </c>
      <c r="D488" s="17" t="inlineStr">
        <is>
          <t>PLAYERS AND ELECTRONICS</t>
        </is>
      </c>
      <c r="E488" s="17" t="inlineStr">
        <is>
          <t>HIGH</t>
        </is>
      </c>
      <c r="F488" s="17" t="inlineStr">
        <is>
          <t>TRUNG BÌNH</t>
        </is>
      </c>
      <c r="G488" s="18" t="inlineStr">
        <is>
          <t>RISK_HIGH · PROMO_EXTRAPOLATION</t>
        </is>
      </c>
      <c r="H488" s="19" t="n">
        <v>78.85632514953613</v>
      </c>
      <c r="I488" s="19" t="n">
        <v>274.014552116394</v>
      </c>
      <c r="J488" s="19" t="n">
        <v>541.0821943283081</v>
      </c>
      <c r="K488" s="19" t="n">
        <v>274.014552116394</v>
      </c>
      <c r="L488" s="19" t="n">
        <v>440.9318284988403</v>
      </c>
      <c r="M488" s="19" t="n">
        <v>541.0821943283081</v>
      </c>
      <c r="N488" s="17" t="inlineStr">
        <is>
          <t>B</t>
        </is>
      </c>
      <c r="O488" s="19" t="n">
        <v>221.7201868057251</v>
      </c>
      <c r="P488" s="18" t="inlineStr">
        <is>
          <t>CÂN NHẮC THỬ NGHIỆM</t>
        </is>
      </c>
      <c r="Q488" s="17" t="inlineStr">
        <is>
          <t>Có</t>
        </is>
      </c>
      <c r="R488" s="20" t="n"/>
      <c r="S488" s="20" t="n"/>
      <c r="T488" s="21" t="n"/>
      <c r="U488" s="21" t="n"/>
      <c r="V488" s="22">
        <f>IF(U488="A",K488,IF(U488="B",L488,IF(U488="C",M488,IF(N488="A",K488,IF(N488="B",L488,M488)))))</f>
        <v/>
      </c>
      <c r="W488" s="22">
        <f>IF(R488="",O488,MAX(V488-R488-N(S488),0))</f>
        <v/>
      </c>
      <c r="X488" s="20" t="n"/>
      <c r="Y488" s="23">
        <f>IF(OR(X488="",W488=0),"",X488/W488-1)</f>
        <v/>
      </c>
      <c r="Z488" s="24" t="n"/>
      <c r="AA488" s="21" t="n"/>
      <c r="AB488" s="25" t="n"/>
      <c r="AC488" s="26">
        <f>IF(T488="","Chưa quyết định",IF(OR(Z488="",AA488=""),"⚠ Thiếu lý do/người duyệt",IF(AND(X488&lt;&gt;"",N(X488)+N(R488)+N(S488)&gt;M488*1.001,R488&lt;&gt;""),"⚠ Vượt mục tiêu P90",IF(AND(Y488&lt;&gt;"",ABS(N(Y488))&gt;0.3),"⚠ Lệch &gt; 30% so với nhu cầu",IF(Q488="Có","ℹ Kiểm tra ngoại suy KM","✓ Hợp lệ")))))</f>
        <v/>
      </c>
    </row>
    <row r="489">
      <c r="A489" s="16" t="n">
        <v>485</v>
      </c>
      <c r="B489" s="17" t="inlineStr">
        <is>
          <t>DEC-S03-MAGAZINES</t>
        </is>
      </c>
      <c r="C489" s="16" t="n">
        <v>3</v>
      </c>
      <c r="D489" s="17" t="inlineStr">
        <is>
          <t>MAGAZINES</t>
        </is>
      </c>
      <c r="E489" s="17" t="inlineStr">
        <is>
          <t>HIGH</t>
        </is>
      </c>
      <c r="F489" s="17" t="inlineStr">
        <is>
          <t>TRUNG BÌNH</t>
        </is>
      </c>
      <c r="G489" s="18" t="inlineStr">
        <is>
          <t>RISK_HIGH · PROMO_EXTRAPOLATION</t>
        </is>
      </c>
      <c r="H489" s="19" t="n">
        <v>81.84958648681641</v>
      </c>
      <c r="I489" s="19" t="n">
        <v>273.2486991882324</v>
      </c>
      <c r="J489" s="19" t="n">
        <v>540.3163414001465</v>
      </c>
      <c r="K489" s="19" t="n">
        <v>273.2486991882324</v>
      </c>
      <c r="L489" s="19" t="n">
        <v>440.1659755706787</v>
      </c>
      <c r="M489" s="19" t="n">
        <v>540.3163414001465</v>
      </c>
      <c r="N489" s="17" t="inlineStr">
        <is>
          <t>B</t>
        </is>
      </c>
      <c r="O489" s="19" t="n">
        <v>221.5670162200928</v>
      </c>
      <c r="P489" s="18" t="inlineStr">
        <is>
          <t>CÂN NHẮC THỬ NGHIỆM</t>
        </is>
      </c>
      <c r="Q489" s="17" t="inlineStr">
        <is>
          <t>Có</t>
        </is>
      </c>
      <c r="R489" s="20" t="n"/>
      <c r="S489" s="20" t="n"/>
      <c r="T489" s="21" t="n"/>
      <c r="U489" s="21" t="n"/>
      <c r="V489" s="22">
        <f>IF(U489="A",K489,IF(U489="B",L489,IF(U489="C",M489,IF(N489="A",K489,IF(N489="B",L489,M489)))))</f>
        <v/>
      </c>
      <c r="W489" s="22">
        <f>IF(R489="",O489,MAX(V489-R489-N(S489),0))</f>
        <v/>
      </c>
      <c r="X489" s="20" t="n"/>
      <c r="Y489" s="23">
        <f>IF(OR(X489="",W489=0),"",X489/W489-1)</f>
        <v/>
      </c>
      <c r="Z489" s="24" t="n"/>
      <c r="AA489" s="21" t="n"/>
      <c r="AB489" s="25" t="n"/>
      <c r="AC489" s="26">
        <f>IF(T489="","Chưa quyết định",IF(OR(Z489="",AA489=""),"⚠ Thiếu lý do/người duyệt",IF(AND(X489&lt;&gt;"",N(X489)+N(R489)+N(S489)&gt;M489*1.001,R489&lt;&gt;""),"⚠ Vượt mục tiêu P90",IF(AND(Y489&lt;&gt;"",ABS(N(Y489))&gt;0.3),"⚠ Lệch &gt; 30% so với nhu cầu",IF(Q489="Có","ℹ Kiểm tra ngoại suy KM","✓ Hợp lệ")))))</f>
        <v/>
      </c>
    </row>
    <row r="490">
      <c r="A490" s="16" t="n">
        <v>486</v>
      </c>
      <c r="B490" s="17" t="inlineStr">
        <is>
          <t>DEC-S23-CELEBRATION</t>
        </is>
      </c>
      <c r="C490" s="16" t="n">
        <v>23</v>
      </c>
      <c r="D490" s="17" t="inlineStr">
        <is>
          <t>CELEBRATION</t>
        </is>
      </c>
      <c r="E490" s="17" t="inlineStr">
        <is>
          <t>HIGH</t>
        </is>
      </c>
      <c r="F490" s="17" t="inlineStr">
        <is>
          <t>TRUNG BÌNH</t>
        </is>
      </c>
      <c r="G490" s="18" t="inlineStr">
        <is>
          <t>RISK_HIGH · PROMO_EXTRAPOLATION</t>
        </is>
      </c>
      <c r="H490" s="19" t="n">
        <v>105.3653626441956</v>
      </c>
      <c r="I490" s="19" t="n">
        <v>272.1056141853333</v>
      </c>
      <c r="J490" s="19" t="n">
        <v>498.3040776252747</v>
      </c>
      <c r="K490" s="19" t="n">
        <v>272.1056141853333</v>
      </c>
      <c r="L490" s="19" t="n">
        <v>413.4796538352966</v>
      </c>
      <c r="M490" s="19" t="n">
        <v>498.3040776252747</v>
      </c>
      <c r="N490" s="17" t="inlineStr">
        <is>
          <t>B</t>
        </is>
      </c>
      <c r="O490" s="19" t="n">
        <v>195.79516248703</v>
      </c>
      <c r="P490" s="18" t="inlineStr">
        <is>
          <t>CÂN NHẮC THỬ NGHIỆM</t>
        </is>
      </c>
      <c r="Q490" s="17" t="inlineStr">
        <is>
          <t>Có</t>
        </is>
      </c>
      <c r="R490" s="20" t="n"/>
      <c r="S490" s="20" t="n"/>
      <c r="T490" s="21" t="n"/>
      <c r="U490" s="21" t="n"/>
      <c r="V490" s="22">
        <f>IF(U490="A",K490,IF(U490="B",L490,IF(U490="C",M490,IF(N490="A",K490,IF(N490="B",L490,M490)))))</f>
        <v/>
      </c>
      <c r="W490" s="22">
        <f>IF(R490="",O490,MAX(V490-R490-N(S490),0))</f>
        <v/>
      </c>
      <c r="X490" s="20" t="n"/>
      <c r="Y490" s="23">
        <f>IF(OR(X490="",W490=0),"",X490/W490-1)</f>
        <v/>
      </c>
      <c r="Z490" s="24" t="n"/>
      <c r="AA490" s="21" t="n"/>
      <c r="AB490" s="25" t="n"/>
      <c r="AC490" s="26">
        <f>IF(T490="","Chưa quyết định",IF(OR(Z490="",AA490=""),"⚠ Thiếu lý do/người duyệt",IF(AND(X490&lt;&gt;"",N(X490)+N(R490)+N(S490)&gt;M490*1.001,R490&lt;&gt;""),"⚠ Vượt mục tiêu P90",IF(AND(Y490&lt;&gt;"",ABS(N(Y490))&gt;0.3),"⚠ Lệch &gt; 30% so với nhu cầu",IF(Q490="Có","ℹ Kiểm tra ngoại suy KM","✓ Hợp lệ")))))</f>
        <v/>
      </c>
    </row>
    <row r="491">
      <c r="A491" s="16" t="n">
        <v>487</v>
      </c>
      <c r="B491" s="17" t="inlineStr">
        <is>
          <t>DEC-S03-PLAYERS_AND_ELECTRONICS</t>
        </is>
      </c>
      <c r="C491" s="16" t="n">
        <v>3</v>
      </c>
      <c r="D491" s="17" t="inlineStr">
        <is>
          <t>PLAYERS AND ELECTRONICS</t>
        </is>
      </c>
      <c r="E491" s="17" t="inlineStr">
        <is>
          <t>HIGH</t>
        </is>
      </c>
      <c r="F491" s="17" t="inlineStr">
        <is>
          <t>TRUNG BÌNH</t>
        </is>
      </c>
      <c r="G491" s="18" t="inlineStr">
        <is>
          <t>RISK_HIGH · PROMO_EXTRAPOLATION</t>
        </is>
      </c>
      <c r="H491" s="19" t="n">
        <v>72.70029354095459</v>
      </c>
      <c r="I491" s="19" t="n">
        <v>268.4496068954468</v>
      </c>
      <c r="J491" s="19" t="n">
        <v>535.5172491073608</v>
      </c>
      <c r="K491" s="19" t="n">
        <v>268.4496068954468</v>
      </c>
      <c r="L491" s="19" t="n">
        <v>435.3668832778931</v>
      </c>
      <c r="M491" s="19" t="n">
        <v>535.5172491073608</v>
      </c>
      <c r="N491" s="17" t="inlineStr">
        <is>
          <t>B</t>
        </is>
      </c>
      <c r="O491" s="19" t="n">
        <v>220.6071977615356</v>
      </c>
      <c r="P491" s="18" t="inlineStr">
        <is>
          <t>CÂN NHẮC THỬ NGHIỆM</t>
        </is>
      </c>
      <c r="Q491" s="17" t="inlineStr">
        <is>
          <t>Có</t>
        </is>
      </c>
      <c r="R491" s="20" t="n"/>
      <c r="S491" s="20" t="n"/>
      <c r="T491" s="21" t="n"/>
      <c r="U491" s="21" t="n"/>
      <c r="V491" s="22">
        <f>IF(U491="A",K491,IF(U491="B",L491,IF(U491="C",M491,IF(N491="A",K491,IF(N491="B",L491,M491)))))</f>
        <v/>
      </c>
      <c r="W491" s="22">
        <f>IF(R491="",O491,MAX(V491-R491-N(S491),0))</f>
        <v/>
      </c>
      <c r="X491" s="20" t="n"/>
      <c r="Y491" s="23">
        <f>IF(OR(X491="",W491=0),"",X491/W491-1)</f>
        <v/>
      </c>
      <c r="Z491" s="24" t="n"/>
      <c r="AA491" s="21" t="n"/>
      <c r="AB491" s="25" t="n"/>
      <c r="AC491" s="26">
        <f>IF(T491="","Chưa quyết định",IF(OR(Z491="",AA491=""),"⚠ Thiếu lý do/người duyệt",IF(AND(X491&lt;&gt;"",N(X491)+N(R491)+N(S491)&gt;M491*1.001,R491&lt;&gt;""),"⚠ Vượt mục tiêu P90",IF(AND(Y491&lt;&gt;"",ABS(N(Y491))&gt;0.3),"⚠ Lệch &gt; 30% so với nhu cầu",IF(Q491="Có","ℹ Kiểm tra ngoại suy KM","✓ Hợp lệ")))))</f>
        <v/>
      </c>
    </row>
    <row r="492">
      <c r="A492" s="16" t="n">
        <v>488</v>
      </c>
      <c r="B492" s="17" t="inlineStr">
        <is>
          <t>DEC-S14-HOME_AND_KITCHEN_I</t>
        </is>
      </c>
      <c r="C492" s="16" t="n">
        <v>14</v>
      </c>
      <c r="D492" s="17" t="inlineStr">
        <is>
          <t>HOME AND KITCHEN I</t>
        </is>
      </c>
      <c r="E492" s="17" t="inlineStr">
        <is>
          <t>HIGH</t>
        </is>
      </c>
      <c r="F492" s="17" t="inlineStr">
        <is>
          <t>TRUNG BÌNH</t>
        </is>
      </c>
      <c r="G492" s="18" t="inlineStr">
        <is>
          <t>RISK_HIGH · PROMO_EXTRAPOLATION</t>
        </is>
      </c>
      <c r="H492" s="19" t="n">
        <v>88.26737833023071</v>
      </c>
      <c r="I492" s="19" t="n">
        <v>266.0596327781677</v>
      </c>
      <c r="J492" s="19" t="n">
        <v>518.6049466133118</v>
      </c>
      <c r="K492" s="19" t="n">
        <v>266.0596327781677</v>
      </c>
      <c r="L492" s="19" t="n">
        <v>423.9004539251328</v>
      </c>
      <c r="M492" s="19" t="n">
        <v>518.6049466133118</v>
      </c>
      <c r="N492" s="17" t="inlineStr">
        <is>
          <t>B</t>
        </is>
      </c>
      <c r="O492" s="19" t="n">
        <v>211.0527477025986</v>
      </c>
      <c r="P492" s="18" t="inlineStr">
        <is>
          <t>CÂN NHẮC THỬ NGHIỆM</t>
        </is>
      </c>
      <c r="Q492" s="17" t="inlineStr">
        <is>
          <t>Có</t>
        </is>
      </c>
      <c r="R492" s="20" t="n"/>
      <c r="S492" s="20" t="n"/>
      <c r="T492" s="21" t="n"/>
      <c r="U492" s="21" t="n"/>
      <c r="V492" s="22">
        <f>IF(U492="A",K492,IF(U492="B",L492,IF(U492="C",M492,IF(N492="A",K492,IF(N492="B",L492,M492)))))</f>
        <v/>
      </c>
      <c r="W492" s="22">
        <f>IF(R492="",O492,MAX(V492-R492-N(S492),0))</f>
        <v/>
      </c>
      <c r="X492" s="20" t="n"/>
      <c r="Y492" s="23">
        <f>IF(OR(X492="",W492=0),"",X492/W492-1)</f>
        <v/>
      </c>
      <c r="Z492" s="24" t="n"/>
      <c r="AA492" s="21" t="n"/>
      <c r="AB492" s="25" t="n"/>
      <c r="AC492" s="26">
        <f>IF(T492="","Chưa quyết định",IF(OR(Z492="",AA492=""),"⚠ Thiếu lý do/người duyệt",IF(AND(X492&lt;&gt;"",N(X492)+N(R492)+N(S492)&gt;M492*1.001,R492&lt;&gt;""),"⚠ Vượt mục tiêu P90",IF(AND(Y492&lt;&gt;"",ABS(N(Y492))&gt;0.3),"⚠ Lệch &gt; 30% so với nhu cầu",IF(Q492="Có","ℹ Kiểm tra ngoại suy KM","✓ Hợp lệ")))))</f>
        <v/>
      </c>
    </row>
    <row r="493">
      <c r="A493" s="16" t="n">
        <v>489</v>
      </c>
      <c r="B493" s="17" t="inlineStr">
        <is>
          <t>DEC-S41-LAWN_AND_GARDEN</t>
        </is>
      </c>
      <c r="C493" s="16" t="n">
        <v>41</v>
      </c>
      <c r="D493" s="17" t="inlineStr">
        <is>
          <t>LAWN AND GARDEN</t>
        </is>
      </c>
      <c r="E493" s="17" t="inlineStr">
        <is>
          <t>HIGH</t>
        </is>
      </c>
      <c r="F493" s="17" t="inlineStr">
        <is>
          <t>TRUNG BÌNH</t>
        </is>
      </c>
      <c r="G493" s="18" t="inlineStr">
        <is>
          <t>RISK_HIGH · PROMO_EXTRAPOLATION</t>
        </is>
      </c>
      <c r="H493" s="19" t="n">
        <v>74.16692447662354</v>
      </c>
      <c r="I493" s="19" t="n">
        <v>265.0130653381348</v>
      </c>
      <c r="J493" s="19" t="n">
        <v>535.7313938140869</v>
      </c>
      <c r="K493" s="19" t="n">
        <v>265.0130653381348</v>
      </c>
      <c r="L493" s="19" t="n">
        <v>434.2120206356049</v>
      </c>
      <c r="M493" s="19" t="n">
        <v>535.7313938140869</v>
      </c>
      <c r="N493" s="17" t="inlineStr">
        <is>
          <t>B</t>
        </is>
      </c>
      <c r="O493" s="19" t="n">
        <v>222.201568365097</v>
      </c>
      <c r="P493" s="18" t="inlineStr">
        <is>
          <t>CÂN NHẮC THỬ NGHIỆM</t>
        </is>
      </c>
      <c r="Q493" s="17" t="inlineStr">
        <is>
          <t>Có</t>
        </is>
      </c>
      <c r="R493" s="20" t="n"/>
      <c r="S493" s="20" t="n"/>
      <c r="T493" s="21" t="n"/>
      <c r="U493" s="21" t="n"/>
      <c r="V493" s="22">
        <f>IF(U493="A",K493,IF(U493="B",L493,IF(U493="C",M493,IF(N493="A",K493,IF(N493="B",L493,M493)))))</f>
        <v/>
      </c>
      <c r="W493" s="22">
        <f>IF(R493="",O493,MAX(V493-R493-N(S493),0))</f>
        <v/>
      </c>
      <c r="X493" s="20" t="n"/>
      <c r="Y493" s="23">
        <f>IF(OR(X493="",W493=0),"",X493/W493-1)</f>
        <v/>
      </c>
      <c r="Z493" s="24" t="n"/>
      <c r="AA493" s="21" t="n"/>
      <c r="AB493" s="25" t="n"/>
      <c r="AC493" s="26">
        <f>IF(T493="","Chưa quyết định",IF(OR(Z493="",AA493=""),"⚠ Thiếu lý do/người duyệt",IF(AND(X493&lt;&gt;"",N(X493)+N(R493)+N(S493)&gt;M493*1.001,R493&lt;&gt;""),"⚠ Vượt mục tiêu P90",IF(AND(Y493&lt;&gt;"",ABS(N(Y493))&gt;0.3),"⚠ Lệch &gt; 30% so với nhu cầu",IF(Q493="Có","ℹ Kiểm tra ngoại suy KM","✓ Hợp lệ")))))</f>
        <v/>
      </c>
    </row>
    <row r="494">
      <c r="A494" s="16" t="n">
        <v>490</v>
      </c>
      <c r="B494" s="17" t="inlineStr">
        <is>
          <t>DEC-S38-LAWN_AND_GARDEN</t>
        </is>
      </c>
      <c r="C494" s="16" t="n">
        <v>38</v>
      </c>
      <c r="D494" s="17" t="inlineStr">
        <is>
          <t>LAWN AND GARDEN</t>
        </is>
      </c>
      <c r="E494" s="17" t="inlineStr">
        <is>
          <t>HIGH</t>
        </is>
      </c>
      <c r="F494" s="17" t="inlineStr">
        <is>
          <t>TRUNG BÌNH</t>
        </is>
      </c>
      <c r="G494" s="18" t="inlineStr">
        <is>
          <t>RISK_HIGH · PROMO_EXTRAPOLATION</t>
        </is>
      </c>
      <c r="H494" s="19" t="n">
        <v>88.12791538238525</v>
      </c>
      <c r="I494" s="19" t="n">
        <v>264.9075202941895</v>
      </c>
      <c r="J494" s="19" t="n">
        <v>511.104341506958</v>
      </c>
      <c r="K494" s="19" t="n">
        <v>264.9075202941895</v>
      </c>
      <c r="L494" s="19" t="n">
        <v>418.7805335521698</v>
      </c>
      <c r="M494" s="19" t="n">
        <v>511.104341506958</v>
      </c>
      <c r="N494" s="17" t="inlineStr">
        <is>
          <t>B</t>
        </is>
      </c>
      <c r="O494" s="19" t="n">
        <v>206.8545173168182</v>
      </c>
      <c r="P494" s="18" t="inlineStr">
        <is>
          <t>CÂN NHẮC THỬ NGHIỆM</t>
        </is>
      </c>
      <c r="Q494" s="17" t="inlineStr">
        <is>
          <t>Có</t>
        </is>
      </c>
      <c r="R494" s="20" t="n"/>
      <c r="S494" s="20" t="n"/>
      <c r="T494" s="21" t="n"/>
      <c r="U494" s="21" t="n"/>
      <c r="V494" s="22">
        <f>IF(U494="A",K494,IF(U494="B",L494,IF(U494="C",M494,IF(N494="A",K494,IF(N494="B",L494,M494)))))</f>
        <v/>
      </c>
      <c r="W494" s="22">
        <f>IF(R494="",O494,MAX(V494-R494-N(S494),0))</f>
        <v/>
      </c>
      <c r="X494" s="20" t="n"/>
      <c r="Y494" s="23">
        <f>IF(OR(X494="",W494=0),"",X494/W494-1)</f>
        <v/>
      </c>
      <c r="Z494" s="24" t="n"/>
      <c r="AA494" s="21" t="n"/>
      <c r="AB494" s="25" t="n"/>
      <c r="AC494" s="26">
        <f>IF(T494="","Chưa quyết định",IF(OR(Z494="",AA494=""),"⚠ Thiếu lý do/người duyệt",IF(AND(X494&lt;&gt;"",N(X494)+N(R494)+N(S494)&gt;M494*1.001,R494&lt;&gt;""),"⚠ Vượt mục tiêu P90",IF(AND(Y494&lt;&gt;"",ABS(N(Y494))&gt;0.3),"⚠ Lệch &gt; 30% so với nhu cầu",IF(Q494="Có","ℹ Kiểm tra ngoại suy KM","✓ Hợp lệ")))))</f>
        <v/>
      </c>
    </row>
    <row r="495">
      <c r="A495" s="16" t="n">
        <v>491</v>
      </c>
      <c r="B495" s="17" t="inlineStr">
        <is>
          <t>DEC-S09-LINGERIE</t>
        </is>
      </c>
      <c r="C495" s="16" t="n">
        <v>9</v>
      </c>
      <c r="D495" s="17" t="inlineStr">
        <is>
          <t>LINGERIE</t>
        </is>
      </c>
      <c r="E495" s="17" t="inlineStr">
        <is>
          <t>HIGH</t>
        </is>
      </c>
      <c r="F495" s="17" t="inlineStr">
        <is>
          <t>TRUNG BÌNH</t>
        </is>
      </c>
      <c r="G495" s="18" t="inlineStr">
        <is>
          <t>RISK_HIGH · PROMO_EXTRAPOLATION</t>
        </is>
      </c>
      <c r="H495" s="19" t="n">
        <v>89.6741259098053</v>
      </c>
      <c r="I495" s="19" t="n">
        <v>260.9595291614532</v>
      </c>
      <c r="J495" s="19" t="n">
        <v>501.1167120933533</v>
      </c>
      <c r="K495" s="19" t="n">
        <v>260.9595291614532</v>
      </c>
      <c r="L495" s="19" t="n">
        <v>411.0577684938908</v>
      </c>
      <c r="M495" s="19" t="n">
        <v>501.1167120933533</v>
      </c>
      <c r="N495" s="17" t="inlineStr">
        <is>
          <t>B</t>
        </is>
      </c>
      <c r="O495" s="19" t="n">
        <v>202.2901451647282</v>
      </c>
      <c r="P495" s="18" t="inlineStr">
        <is>
          <t>CÂN NHẮC THỬ NGHIỆM</t>
        </is>
      </c>
      <c r="Q495" s="17" t="inlineStr">
        <is>
          <t>Có</t>
        </is>
      </c>
      <c r="R495" s="20" t="n"/>
      <c r="S495" s="20" t="n"/>
      <c r="T495" s="21" t="n"/>
      <c r="U495" s="21" t="n"/>
      <c r="V495" s="22">
        <f>IF(U495="A",K495,IF(U495="B",L495,IF(U495="C",M495,IF(N495="A",K495,IF(N495="B",L495,M495)))))</f>
        <v/>
      </c>
      <c r="W495" s="22">
        <f>IF(R495="",O495,MAX(V495-R495-N(S495),0))</f>
        <v/>
      </c>
      <c r="X495" s="20" t="n"/>
      <c r="Y495" s="23">
        <f>IF(OR(X495="",W495=0),"",X495/W495-1)</f>
        <v/>
      </c>
      <c r="Z495" s="24" t="n"/>
      <c r="AA495" s="21" t="n"/>
      <c r="AB495" s="25" t="n"/>
      <c r="AC495" s="26">
        <f>IF(T495="","Chưa quyết định",IF(OR(Z495="",AA495=""),"⚠ Thiếu lý do/người duyệt",IF(AND(X495&lt;&gt;"",N(X495)+N(R495)+N(S495)&gt;M495*1.001,R495&lt;&gt;""),"⚠ Vượt mục tiêu P90",IF(AND(Y495&lt;&gt;"",ABS(N(Y495))&gt;0.3),"⚠ Lệch &gt; 30% so với nhu cầu",IF(Q495="Có","ℹ Kiểm tra ngoại suy KM","✓ Hợp lệ")))))</f>
        <v/>
      </c>
    </row>
    <row r="496">
      <c r="A496" s="16" t="n">
        <v>492</v>
      </c>
      <c r="B496" s="17" t="inlineStr">
        <is>
          <t>DEC-S49-BEAUTY</t>
        </is>
      </c>
      <c r="C496" s="16" t="n">
        <v>49</v>
      </c>
      <c r="D496" s="17" t="inlineStr">
        <is>
          <t>BEAUTY</t>
        </is>
      </c>
      <c r="E496" s="17" t="inlineStr">
        <is>
          <t>HIGH</t>
        </is>
      </c>
      <c r="F496" s="17" t="inlineStr">
        <is>
          <t>TRUNG BÌNH</t>
        </is>
      </c>
      <c r="G496" s="18" t="inlineStr">
        <is>
          <t>RISK_HIGH · PROMO_EXTRAPOLATION</t>
        </is>
      </c>
      <c r="H496" s="19" t="n">
        <v>74.75309467315674</v>
      </c>
      <c r="I496" s="19" t="n">
        <v>257.8356904983521</v>
      </c>
      <c r="J496" s="19" t="n">
        <v>508.5556612014771</v>
      </c>
      <c r="K496" s="19" t="n">
        <v>257.8356904983521</v>
      </c>
      <c r="L496" s="19" t="n">
        <v>414.5356721878052</v>
      </c>
      <c r="M496" s="19" t="n">
        <v>508.5556612014771</v>
      </c>
      <c r="N496" s="17" t="inlineStr">
        <is>
          <t>B</t>
        </is>
      </c>
      <c r="O496" s="19" t="n">
        <v>208.2671197891235</v>
      </c>
      <c r="P496" s="18" t="inlineStr">
        <is>
          <t>CÂN NHẮC THỬ NGHIỆM</t>
        </is>
      </c>
      <c r="Q496" s="17" t="inlineStr">
        <is>
          <t>Có</t>
        </is>
      </c>
      <c r="R496" s="20" t="n"/>
      <c r="S496" s="20" t="n"/>
      <c r="T496" s="21" t="n"/>
      <c r="U496" s="21" t="n"/>
      <c r="V496" s="22">
        <f>IF(U496="A",K496,IF(U496="B",L496,IF(U496="C",M496,IF(N496="A",K496,IF(N496="B",L496,M496)))))</f>
        <v/>
      </c>
      <c r="W496" s="22">
        <f>IF(R496="",O496,MAX(V496-R496-N(S496),0))</f>
        <v/>
      </c>
      <c r="X496" s="20" t="n"/>
      <c r="Y496" s="23">
        <f>IF(OR(X496="",W496=0),"",X496/W496-1)</f>
        <v/>
      </c>
      <c r="Z496" s="24" t="n"/>
      <c r="AA496" s="21" t="n"/>
      <c r="AB496" s="25" t="n"/>
      <c r="AC496" s="26">
        <f>IF(T496="","Chưa quyết định",IF(OR(Z496="",AA496=""),"⚠ Thiếu lý do/người duyệt",IF(AND(X496&lt;&gt;"",N(X496)+N(R496)+N(S496)&gt;M496*1.001,R496&lt;&gt;""),"⚠ Vượt mục tiêu P90",IF(AND(Y496&lt;&gt;"",ABS(N(Y496))&gt;0.3),"⚠ Lệch &gt; 30% so với nhu cầu",IF(Q496="Có","ℹ Kiểm tra ngoại suy KM","✓ Hợp lệ")))))</f>
        <v/>
      </c>
    </row>
    <row r="497">
      <c r="A497" s="16" t="n">
        <v>493</v>
      </c>
      <c r="B497" s="17" t="inlineStr">
        <is>
          <t>DEC-S18-HOME_AND_KITCHEN_II</t>
        </is>
      </c>
      <c r="C497" s="16" t="n">
        <v>18</v>
      </c>
      <c r="D497" s="17" t="inlineStr">
        <is>
          <t>HOME AND KITCHEN II</t>
        </is>
      </c>
      <c r="E497" s="17" t="inlineStr">
        <is>
          <t>HIGH</t>
        </is>
      </c>
      <c r="F497" s="17" t="inlineStr">
        <is>
          <t>TRUNG BÌNH</t>
        </is>
      </c>
      <c r="G497" s="18" t="inlineStr">
        <is>
          <t>RISK_HIGH · PROMO_EXTRAPOLATION</t>
        </is>
      </c>
      <c r="H497" s="19" t="n">
        <v>91.57923221588136</v>
      </c>
      <c r="I497" s="19" t="n">
        <v>256.7505321502685</v>
      </c>
      <c r="J497" s="19" t="n">
        <v>482.94899559021</v>
      </c>
      <c r="K497" s="19" t="n">
        <v>256.7505321502685</v>
      </c>
      <c r="L497" s="19" t="n">
        <v>398.1245718002319</v>
      </c>
      <c r="M497" s="19" t="n">
        <v>482.94899559021</v>
      </c>
      <c r="N497" s="17" t="inlineStr">
        <is>
          <t>B</t>
        </is>
      </c>
      <c r="O497" s="19" t="n">
        <v>192.7241460800171</v>
      </c>
      <c r="P497" s="18" t="inlineStr">
        <is>
          <t>CÂN NHẮC THỬ NGHIỆM</t>
        </is>
      </c>
      <c r="Q497" s="17" t="inlineStr">
        <is>
          <t>Có</t>
        </is>
      </c>
      <c r="R497" s="20" t="n"/>
      <c r="S497" s="20" t="n"/>
      <c r="T497" s="21" t="n"/>
      <c r="U497" s="21" t="n"/>
      <c r="V497" s="22">
        <f>IF(U497="A",K497,IF(U497="B",L497,IF(U497="C",M497,IF(N497="A",K497,IF(N497="B",L497,M497)))))</f>
        <v/>
      </c>
      <c r="W497" s="22">
        <f>IF(R497="",O497,MAX(V497-R497-N(S497),0))</f>
        <v/>
      </c>
      <c r="X497" s="20" t="n"/>
      <c r="Y497" s="23">
        <f>IF(OR(X497="",W497=0),"",X497/W497-1)</f>
        <v/>
      </c>
      <c r="Z497" s="24" t="n"/>
      <c r="AA497" s="21" t="n"/>
      <c r="AB497" s="25" t="n"/>
      <c r="AC497" s="26">
        <f>IF(T497="","Chưa quyết định",IF(OR(Z497="",AA497=""),"⚠ Thiếu lý do/người duyệt",IF(AND(X497&lt;&gt;"",N(X497)+N(R497)+N(S497)&gt;M497*1.001,R497&lt;&gt;""),"⚠ Vượt mục tiêu P90",IF(AND(Y497&lt;&gt;"",ABS(N(Y497))&gt;0.3),"⚠ Lệch &gt; 30% so với nhu cầu",IF(Q497="Có","ℹ Kiểm tra ngoại suy KM","✓ Hợp lệ")))))</f>
        <v/>
      </c>
    </row>
    <row r="498">
      <c r="A498" s="16" t="n">
        <v>494</v>
      </c>
      <c r="B498" s="17" t="inlineStr">
        <is>
          <t>DEC-S50-SEAFOOD</t>
        </is>
      </c>
      <c r="C498" s="16" t="n">
        <v>50</v>
      </c>
      <c r="D498" s="17" t="inlineStr">
        <is>
          <t>SEAFOOD</t>
        </is>
      </c>
      <c r="E498" s="17" t="inlineStr">
        <is>
          <t>HIGH</t>
        </is>
      </c>
      <c r="F498" s="17" t="inlineStr">
        <is>
          <t>TRUNG BÌNH</t>
        </is>
      </c>
      <c r="G498" s="18" t="inlineStr">
        <is>
          <t>RISK_HIGH · PROMO_EXTRAPOLATION</t>
        </is>
      </c>
      <c r="H498" s="19" t="n">
        <v>86.01944065093994</v>
      </c>
      <c r="I498" s="19" t="n">
        <v>256.5536041259766</v>
      </c>
      <c r="J498" s="19" t="n">
        <v>494.5765895843506</v>
      </c>
      <c r="K498" s="19" t="n">
        <v>256.5536041259766</v>
      </c>
      <c r="L498" s="19" t="n">
        <v>405.3179700374603</v>
      </c>
      <c r="M498" s="19" t="n">
        <v>494.5765895843506</v>
      </c>
      <c r="N498" s="17" t="inlineStr">
        <is>
          <t>B</t>
        </is>
      </c>
      <c r="O498" s="19" t="n">
        <v>200.075086736679</v>
      </c>
      <c r="P498" s="18" t="inlineStr">
        <is>
          <t>CÂN NHẮC THỬ NGHIỆM</t>
        </is>
      </c>
      <c r="Q498" s="17" t="inlineStr">
        <is>
          <t>Có</t>
        </is>
      </c>
      <c r="R498" s="20" t="n"/>
      <c r="S498" s="20" t="n"/>
      <c r="T498" s="21" t="n"/>
      <c r="U498" s="21" t="n"/>
      <c r="V498" s="22">
        <f>IF(U498="A",K498,IF(U498="B",L498,IF(U498="C",M498,IF(N498="A",K498,IF(N498="B",L498,M498)))))</f>
        <v/>
      </c>
      <c r="W498" s="22">
        <f>IF(R498="",O498,MAX(V498-R498-N(S498),0))</f>
        <v/>
      </c>
      <c r="X498" s="20" t="n"/>
      <c r="Y498" s="23">
        <f>IF(OR(X498="",W498=0),"",X498/W498-1)</f>
        <v/>
      </c>
      <c r="Z498" s="24" t="n"/>
      <c r="AA498" s="21" t="n"/>
      <c r="AB498" s="25" t="n"/>
      <c r="AC498" s="26">
        <f>IF(T498="","Chưa quyết định",IF(OR(Z498="",AA498=""),"⚠ Thiếu lý do/người duyệt",IF(AND(X498&lt;&gt;"",N(X498)+N(R498)+N(S498)&gt;M498*1.001,R498&lt;&gt;""),"⚠ Vượt mục tiêu P90",IF(AND(Y498&lt;&gt;"",ABS(N(Y498))&gt;0.3),"⚠ Lệch &gt; 30% so với nhu cầu",IF(Q498="Có","ℹ Kiểm tra ngoại suy KM","✓ Hợp lệ")))))</f>
        <v/>
      </c>
    </row>
    <row r="499">
      <c r="A499" s="16" t="n">
        <v>495</v>
      </c>
      <c r="B499" s="17" t="inlineStr">
        <is>
          <t>DEC-S23-HOME_AND_KITCHEN_I</t>
        </is>
      </c>
      <c r="C499" s="16" t="n">
        <v>23</v>
      </c>
      <c r="D499" s="17" t="inlineStr">
        <is>
          <t>HOME AND KITCHEN I</t>
        </is>
      </c>
      <c r="E499" s="17" t="inlineStr">
        <is>
          <t>HIGH</t>
        </is>
      </c>
      <c r="F499" s="17" t="inlineStr">
        <is>
          <t>TRUNG BÌNH</t>
        </is>
      </c>
      <c r="G499" s="18" t="inlineStr">
        <is>
          <t>RISK_HIGH · PROMO_EXTRAPOLATION</t>
        </is>
      </c>
      <c r="H499" s="19" t="n">
        <v>93.51819515228271</v>
      </c>
      <c r="I499" s="19" t="n">
        <v>255.7756376266479</v>
      </c>
      <c r="J499" s="19" t="n">
        <v>483.7994441986084</v>
      </c>
      <c r="K499" s="19" t="n">
        <v>255.7756376266479</v>
      </c>
      <c r="L499" s="19" t="n">
        <v>398.2905167341232</v>
      </c>
      <c r="M499" s="19" t="n">
        <v>483.7994441986084</v>
      </c>
      <c r="N499" s="17" t="inlineStr">
        <is>
          <t>B</t>
        </is>
      </c>
      <c r="O499" s="19" t="n">
        <v>193.6700066328048</v>
      </c>
      <c r="P499" s="18" t="inlineStr">
        <is>
          <t>CÂN NHẮC THỬ NGHIỆM</t>
        </is>
      </c>
      <c r="Q499" s="17" t="inlineStr">
        <is>
          <t>Có</t>
        </is>
      </c>
      <c r="R499" s="20" t="n"/>
      <c r="S499" s="20" t="n"/>
      <c r="T499" s="21" t="n"/>
      <c r="U499" s="21" t="n"/>
      <c r="V499" s="22">
        <f>IF(U499="A",K499,IF(U499="B",L499,IF(U499="C",M499,IF(N499="A",K499,IF(N499="B",L499,M499)))))</f>
        <v/>
      </c>
      <c r="W499" s="22">
        <f>IF(R499="",O499,MAX(V499-R499-N(S499),0))</f>
        <v/>
      </c>
      <c r="X499" s="20" t="n"/>
      <c r="Y499" s="23">
        <f>IF(OR(X499="",W499=0),"",X499/W499-1)</f>
        <v/>
      </c>
      <c r="Z499" s="24" t="n"/>
      <c r="AA499" s="21" t="n"/>
      <c r="AB499" s="25" t="n"/>
      <c r="AC499" s="26">
        <f>IF(T499="","Chưa quyết định",IF(OR(Z499="",AA499=""),"⚠ Thiếu lý do/người duyệt",IF(AND(X499&lt;&gt;"",N(X499)+N(R499)+N(S499)&gt;M499*1.001,R499&lt;&gt;""),"⚠ Vượt mục tiêu P90",IF(AND(Y499&lt;&gt;"",ABS(N(Y499))&gt;0.3),"⚠ Lệch &gt; 30% so với nhu cầu",IF(Q499="Có","ℹ Kiểm tra ngoại suy KM","✓ Hợp lệ")))))</f>
        <v/>
      </c>
    </row>
    <row r="500">
      <c r="A500" s="16" t="n">
        <v>496</v>
      </c>
      <c r="B500" s="17" t="inlineStr">
        <is>
          <t>DEC-S39-SCHOOL_AND_OFFICE_SUPPLIES</t>
        </is>
      </c>
      <c r="C500" s="16" t="n">
        <v>39</v>
      </c>
      <c r="D500" s="17" t="inlineStr">
        <is>
          <t>SCHOOL AND OFFICE SUPPLIES</t>
        </is>
      </c>
      <c r="E500" s="17" t="inlineStr">
        <is>
          <t>HIGH</t>
        </is>
      </c>
      <c r="F500" s="17" t="inlineStr">
        <is>
          <t>TRUNG BÌNH</t>
        </is>
      </c>
      <c r="G500" s="18" t="inlineStr">
        <is>
          <t>RISK_HIGH · PROMO_EXTRAPOLATION</t>
        </is>
      </c>
      <c r="H500" s="19" t="n">
        <v>69.71490049362183</v>
      </c>
      <c r="I500" s="19" t="n">
        <v>252.7634921073914</v>
      </c>
      <c r="J500" s="19" t="n">
        <v>505.3088059425354</v>
      </c>
      <c r="K500" s="19" t="n">
        <v>252.7634921073914</v>
      </c>
      <c r="L500" s="19" t="n">
        <v>410.6043132543564</v>
      </c>
      <c r="M500" s="19" t="n">
        <v>505.3088059425354</v>
      </c>
      <c r="N500" s="17" t="inlineStr">
        <is>
          <t>B</t>
        </is>
      </c>
      <c r="O500" s="19" t="n">
        <v>208.3935195684433</v>
      </c>
      <c r="P500" s="18" t="inlineStr">
        <is>
          <t>CÂN NHẮC THỬ NGHIỆM</t>
        </is>
      </c>
      <c r="Q500" s="17" t="inlineStr">
        <is>
          <t>Có</t>
        </is>
      </c>
      <c r="R500" s="20" t="n"/>
      <c r="S500" s="20" t="n"/>
      <c r="T500" s="21" t="n"/>
      <c r="U500" s="21" t="n"/>
      <c r="V500" s="22">
        <f>IF(U500="A",K500,IF(U500="B",L500,IF(U500="C",M500,IF(N500="A",K500,IF(N500="B",L500,M500)))))</f>
        <v/>
      </c>
      <c r="W500" s="22">
        <f>IF(R500="",O500,MAX(V500-R500-N(S500),0))</f>
        <v/>
      </c>
      <c r="X500" s="20" t="n"/>
      <c r="Y500" s="23">
        <f>IF(OR(X500="",W500=0),"",X500/W500-1)</f>
        <v/>
      </c>
      <c r="Z500" s="24" t="n"/>
      <c r="AA500" s="21" t="n"/>
      <c r="AB500" s="25" t="n"/>
      <c r="AC500" s="26">
        <f>IF(T500="","Chưa quyết định",IF(OR(Z500="",AA500=""),"⚠ Thiếu lý do/người duyệt",IF(AND(X500&lt;&gt;"",N(X500)+N(R500)+N(S500)&gt;M500*1.001,R500&lt;&gt;""),"⚠ Vượt mục tiêu P90",IF(AND(Y500&lt;&gt;"",ABS(N(Y500))&gt;0.3),"⚠ Lệch &gt; 30% so với nhu cầu",IF(Q500="Có","ℹ Kiểm tra ngoại suy KM","✓ Hợp lệ")))))</f>
        <v/>
      </c>
    </row>
    <row r="501">
      <c r="A501" s="16" t="n">
        <v>497</v>
      </c>
      <c r="B501" s="17" t="inlineStr">
        <is>
          <t>DEC-S04-HOME_AND_KITCHEN_I</t>
        </is>
      </c>
      <c r="C501" s="16" t="n">
        <v>4</v>
      </c>
      <c r="D501" s="17" t="inlineStr">
        <is>
          <t>HOME AND KITCHEN I</t>
        </is>
      </c>
      <c r="E501" s="17" t="inlineStr">
        <is>
          <t>HIGH</t>
        </is>
      </c>
      <c r="F501" s="17" t="inlineStr">
        <is>
          <t>TRUNG BÌNH</t>
        </is>
      </c>
      <c r="G501" s="18" t="inlineStr">
        <is>
          <t>RISK_HIGH · PROMO_EXTRAPOLATION</t>
        </is>
      </c>
      <c r="H501" s="19" t="n">
        <v>82.68180179595947</v>
      </c>
      <c r="I501" s="19" t="n">
        <v>250.9034013748169</v>
      </c>
      <c r="J501" s="19" t="n">
        <v>480.7525510787964</v>
      </c>
      <c r="K501" s="19" t="n">
        <v>250.9034013748169</v>
      </c>
      <c r="L501" s="19" t="n">
        <v>394.5591199398041</v>
      </c>
      <c r="M501" s="19" t="n">
        <v>480.7525510787964</v>
      </c>
      <c r="N501" s="17" t="inlineStr">
        <is>
          <t>B</t>
        </is>
      </c>
      <c r="O501" s="19" t="n">
        <v>193.8363988399506</v>
      </c>
      <c r="P501" s="18" t="inlineStr">
        <is>
          <t>CÂN NHẮC THỬ NGHIỆM</t>
        </is>
      </c>
      <c r="Q501" s="17" t="inlineStr">
        <is>
          <t>Có</t>
        </is>
      </c>
      <c r="R501" s="20" t="n"/>
      <c r="S501" s="20" t="n"/>
      <c r="T501" s="21" t="n"/>
      <c r="U501" s="21" t="n"/>
      <c r="V501" s="22">
        <f>IF(U501="A",K501,IF(U501="B",L501,IF(U501="C",M501,IF(N501="A",K501,IF(N501="B",L501,M501)))))</f>
        <v/>
      </c>
      <c r="W501" s="22">
        <f>IF(R501="",O501,MAX(V501-R501-N(S501),0))</f>
        <v/>
      </c>
      <c r="X501" s="20" t="n"/>
      <c r="Y501" s="23">
        <f>IF(OR(X501="",W501=0),"",X501/W501-1)</f>
        <v/>
      </c>
      <c r="Z501" s="24" t="n"/>
      <c r="AA501" s="21" t="n"/>
      <c r="AB501" s="25" t="n"/>
      <c r="AC501" s="26">
        <f>IF(T501="","Chưa quyết định",IF(OR(Z501="",AA501=""),"⚠ Thiếu lý do/người duyệt",IF(AND(X501&lt;&gt;"",N(X501)+N(R501)+N(S501)&gt;M501*1.001,R501&lt;&gt;""),"⚠ Vượt mục tiêu P90",IF(AND(Y501&lt;&gt;"",ABS(N(Y501))&gt;0.3),"⚠ Lệch &gt; 30% so với nhu cầu",IF(Q501="Có","ℹ Kiểm tra ngoại suy KM","✓ Hợp lệ")))))</f>
        <v/>
      </c>
    </row>
    <row r="502">
      <c r="A502" s="16" t="n">
        <v>498</v>
      </c>
      <c r="B502" s="17" t="inlineStr">
        <is>
          <t>DEC-S09-SEAFOOD</t>
        </is>
      </c>
      <c r="C502" s="16" t="n">
        <v>9</v>
      </c>
      <c r="D502" s="17" t="inlineStr">
        <is>
          <t>SEAFOOD</t>
        </is>
      </c>
      <c r="E502" s="17" t="inlineStr">
        <is>
          <t>HIGH</t>
        </is>
      </c>
      <c r="F502" s="17" t="inlineStr">
        <is>
          <t>TRUNG BÌNH</t>
        </is>
      </c>
      <c r="G502" s="18" t="inlineStr">
        <is>
          <t>RISK_HIGH · PROMO_EXTRAPOLATION</t>
        </is>
      </c>
      <c r="H502" s="19" t="n">
        <v>74.52856159210205</v>
      </c>
      <c r="I502" s="19" t="n">
        <v>250.6024017333984</v>
      </c>
      <c r="J502" s="19" t="n">
        <v>494.973879814148</v>
      </c>
      <c r="K502" s="19" t="n">
        <v>250.6024017333984</v>
      </c>
      <c r="L502" s="19" t="n">
        <v>403.3345755338669</v>
      </c>
      <c r="M502" s="19" t="n">
        <v>494.973879814148</v>
      </c>
      <c r="N502" s="17" t="inlineStr">
        <is>
          <t>B</t>
        </is>
      </c>
      <c r="O502" s="19" t="n">
        <v>202.8526541471481</v>
      </c>
      <c r="P502" s="18" t="inlineStr">
        <is>
          <t>CÂN NHẮC THỬ NGHIỆM</t>
        </is>
      </c>
      <c r="Q502" s="17" t="inlineStr">
        <is>
          <t>Có</t>
        </is>
      </c>
      <c r="R502" s="20" t="n"/>
      <c r="S502" s="20" t="n"/>
      <c r="T502" s="21" t="n"/>
      <c r="U502" s="21" t="n"/>
      <c r="V502" s="22">
        <f>IF(U502="A",K502,IF(U502="B",L502,IF(U502="C",M502,IF(N502="A",K502,IF(N502="B",L502,M502)))))</f>
        <v/>
      </c>
      <c r="W502" s="22">
        <f>IF(R502="",O502,MAX(V502-R502-N(S502),0))</f>
        <v/>
      </c>
      <c r="X502" s="20" t="n"/>
      <c r="Y502" s="23">
        <f>IF(OR(X502="",W502=0),"",X502/W502-1)</f>
        <v/>
      </c>
      <c r="Z502" s="24" t="n"/>
      <c r="AA502" s="21" t="n"/>
      <c r="AB502" s="25" t="n"/>
      <c r="AC502" s="26">
        <f>IF(T502="","Chưa quyết định",IF(OR(Z502="",AA502=""),"⚠ Thiếu lý do/người duyệt",IF(AND(X502&lt;&gt;"",N(X502)+N(R502)+N(S502)&gt;M502*1.001,R502&lt;&gt;""),"⚠ Vượt mục tiêu P90",IF(AND(Y502&lt;&gt;"",ABS(N(Y502))&gt;0.3),"⚠ Lệch &gt; 30% so với nhu cầu",IF(Q502="Có","ℹ Kiểm tra ngoại suy KM","✓ Hợp lệ")))))</f>
        <v/>
      </c>
    </row>
    <row r="503">
      <c r="A503" s="16" t="n">
        <v>499</v>
      </c>
      <c r="B503" s="17" t="inlineStr">
        <is>
          <t>DEC-S29-HOME_AND_KITCHEN_II</t>
        </is>
      </c>
      <c r="C503" s="16" t="n">
        <v>29</v>
      </c>
      <c r="D503" s="17" t="inlineStr">
        <is>
          <t>HOME AND KITCHEN II</t>
        </is>
      </c>
      <c r="E503" s="17" t="inlineStr">
        <is>
          <t>HIGH</t>
        </is>
      </c>
      <c r="F503" s="17" t="inlineStr">
        <is>
          <t>TRUNG BÌNH</t>
        </is>
      </c>
      <c r="G503" s="18" t="inlineStr">
        <is>
          <t>RISK_HIGH · PROMO_EXTRAPOLATION</t>
        </is>
      </c>
      <c r="H503" s="19" t="n">
        <v>73.11752796173096</v>
      </c>
      <c r="I503" s="19" t="n">
        <v>250.3590650558472</v>
      </c>
      <c r="J503" s="19" t="n">
        <v>501.0790357589722</v>
      </c>
      <c r="K503" s="19" t="n">
        <v>250.3590650558472</v>
      </c>
      <c r="L503" s="19" t="n">
        <v>407.0590467453003</v>
      </c>
      <c r="M503" s="19" t="n">
        <v>501.0790357589722</v>
      </c>
      <c r="N503" s="17" t="inlineStr">
        <is>
          <t>B</t>
        </is>
      </c>
      <c r="O503" s="19" t="n">
        <v>206.7717947006225</v>
      </c>
      <c r="P503" s="18" t="inlineStr">
        <is>
          <t>CÂN NHẮC THỬ NGHIỆM</t>
        </is>
      </c>
      <c r="Q503" s="17" t="inlineStr">
        <is>
          <t>Có</t>
        </is>
      </c>
      <c r="R503" s="20" t="n"/>
      <c r="S503" s="20" t="n"/>
      <c r="T503" s="21" t="n"/>
      <c r="U503" s="21" t="n"/>
      <c r="V503" s="22">
        <f>IF(U503="A",K503,IF(U503="B",L503,IF(U503="C",M503,IF(N503="A",K503,IF(N503="B",L503,M503)))))</f>
        <v/>
      </c>
      <c r="W503" s="22">
        <f>IF(R503="",O503,MAX(V503-R503-N(S503),0))</f>
        <v/>
      </c>
      <c r="X503" s="20" t="n"/>
      <c r="Y503" s="23">
        <f>IF(OR(X503="",W503=0),"",X503/W503-1)</f>
        <v/>
      </c>
      <c r="Z503" s="24" t="n"/>
      <c r="AA503" s="21" t="n"/>
      <c r="AB503" s="25" t="n"/>
      <c r="AC503" s="26">
        <f>IF(T503="","Chưa quyết định",IF(OR(Z503="",AA503=""),"⚠ Thiếu lý do/người duyệt",IF(AND(X503&lt;&gt;"",N(X503)+N(R503)+N(S503)&gt;M503*1.001,R503&lt;&gt;""),"⚠ Vượt mục tiêu P90",IF(AND(Y503&lt;&gt;"",ABS(N(Y503))&gt;0.3),"⚠ Lệch &gt; 30% so với nhu cầu",IF(Q503="Có","ℹ Kiểm tra ngoại suy KM","✓ Hợp lệ")))))</f>
        <v/>
      </c>
    </row>
    <row r="504">
      <c r="A504" s="16" t="n">
        <v>500</v>
      </c>
      <c r="B504" s="17" t="inlineStr">
        <is>
          <t>DEC-S52-BEAUTY</t>
        </is>
      </c>
      <c r="C504" s="16" t="n">
        <v>52</v>
      </c>
      <c r="D504" s="17" t="inlineStr">
        <is>
          <t>BEAUTY</t>
        </is>
      </c>
      <c r="E504" s="17" t="inlineStr">
        <is>
          <t>HIGH</t>
        </is>
      </c>
      <c r="F504" s="17" t="inlineStr">
        <is>
          <t>TRUNG BÌNH</t>
        </is>
      </c>
      <c r="G504" s="18" t="inlineStr">
        <is>
          <t>RISK_HIGH · PROMO_EXTRAPOLATION</t>
        </is>
      </c>
      <c r="H504" s="19" t="n">
        <v>81.09694576263428</v>
      </c>
      <c r="I504" s="19" t="n">
        <v>250.0777387619018</v>
      </c>
      <c r="J504" s="19" t="n">
        <v>484.4500379562378</v>
      </c>
      <c r="K504" s="19" t="n">
        <v>250.0777387619018</v>
      </c>
      <c r="L504" s="19" t="n">
        <v>396.5604257583618</v>
      </c>
      <c r="M504" s="19" t="n">
        <v>484.4500379562378</v>
      </c>
      <c r="N504" s="17" t="inlineStr">
        <is>
          <t>B</t>
        </is>
      </c>
      <c r="O504" s="19" t="n">
        <v>196.4982347488404</v>
      </c>
      <c r="P504" s="18" t="inlineStr">
        <is>
          <t>CÂN NHẮC THỬ NGHIỆM</t>
        </is>
      </c>
      <c r="Q504" s="17" t="inlineStr">
        <is>
          <t>Có</t>
        </is>
      </c>
      <c r="R504" s="20" t="n"/>
      <c r="S504" s="20" t="n"/>
      <c r="T504" s="21" t="n"/>
      <c r="U504" s="21" t="n"/>
      <c r="V504" s="22">
        <f>IF(U504="A",K504,IF(U504="B",L504,IF(U504="C",M504,IF(N504="A",K504,IF(N504="B",L504,M504)))))</f>
        <v/>
      </c>
      <c r="W504" s="22">
        <f>IF(R504="",O504,MAX(V504-R504-N(S504),0))</f>
        <v/>
      </c>
      <c r="X504" s="20" t="n"/>
      <c r="Y504" s="23">
        <f>IF(OR(X504="",W504=0),"",X504/W504-1)</f>
        <v/>
      </c>
      <c r="Z504" s="24" t="n"/>
      <c r="AA504" s="21" t="n"/>
      <c r="AB504" s="25" t="n"/>
      <c r="AC504" s="26">
        <f>IF(T504="","Chưa quyết định",IF(OR(Z504="",AA504=""),"⚠ Thiếu lý do/người duyệt",IF(AND(X504&lt;&gt;"",N(X504)+N(R504)+N(S504)&gt;M504*1.001,R504&lt;&gt;""),"⚠ Vượt mục tiêu P90",IF(AND(Y504&lt;&gt;"",ABS(N(Y504))&gt;0.3),"⚠ Lệch &gt; 30% so với nhu cầu",IF(Q504="Có","ℹ Kiểm tra ngoại suy KM","✓ Hợp lệ")))))</f>
        <v/>
      </c>
    </row>
    <row r="505">
      <c r="A505" s="16" t="n">
        <v>501</v>
      </c>
      <c r="B505" s="17" t="inlineStr">
        <is>
          <t>DEC-S43-CELEBRATION</t>
        </is>
      </c>
      <c r="C505" s="16" t="n">
        <v>43</v>
      </c>
      <c r="D505" s="17" t="inlineStr">
        <is>
          <t>CELEBRATION</t>
        </is>
      </c>
      <c r="E505" s="17" t="inlineStr">
        <is>
          <t>HIGH</t>
        </is>
      </c>
      <c r="F505" s="17" t="inlineStr">
        <is>
          <t>TRUNG BÌNH</t>
        </is>
      </c>
      <c r="G505" s="18" t="inlineStr">
        <is>
          <t>RISK_HIGH · PROMO_EXTRAPOLATION</t>
        </is>
      </c>
      <c r="H505" s="19" t="n">
        <v>59.33137130737305</v>
      </c>
      <c r="I505" s="19" t="n">
        <v>249.7563180923462</v>
      </c>
      <c r="J505" s="19" t="n">
        <v>516.8239603042603</v>
      </c>
      <c r="K505" s="19" t="n">
        <v>249.7563180923462</v>
      </c>
      <c r="L505" s="19" t="n">
        <v>416.6735944747925</v>
      </c>
      <c r="M505" s="19" t="n">
        <v>516.8239603042603</v>
      </c>
      <c r="N505" s="17" t="inlineStr">
        <is>
          <t>B</t>
        </is>
      </c>
      <c r="O505" s="19" t="n">
        <v>216.8685400009155</v>
      </c>
      <c r="P505" s="18" t="inlineStr">
        <is>
          <t>CÂN NHẮC THỬ NGHIỆM</t>
        </is>
      </c>
      <c r="Q505" s="17" t="inlineStr">
        <is>
          <t>Có</t>
        </is>
      </c>
      <c r="R505" s="20" t="n"/>
      <c r="S505" s="20" t="n"/>
      <c r="T505" s="21" t="n"/>
      <c r="U505" s="21" t="n"/>
      <c r="V505" s="22">
        <f>IF(U505="A",K505,IF(U505="B",L505,IF(U505="C",M505,IF(N505="A",K505,IF(N505="B",L505,M505)))))</f>
        <v/>
      </c>
      <c r="W505" s="22">
        <f>IF(R505="",O505,MAX(V505-R505-N(S505),0))</f>
        <v/>
      </c>
      <c r="X505" s="20" t="n"/>
      <c r="Y505" s="23">
        <f>IF(OR(X505="",W505=0),"",X505/W505-1)</f>
        <v/>
      </c>
      <c r="Z505" s="24" t="n"/>
      <c r="AA505" s="21" t="n"/>
      <c r="AB505" s="25" t="n"/>
      <c r="AC505" s="26">
        <f>IF(T505="","Chưa quyết định",IF(OR(Z505="",AA505=""),"⚠ Thiếu lý do/người duyệt",IF(AND(X505&lt;&gt;"",N(X505)+N(R505)+N(S505)&gt;M505*1.001,R505&lt;&gt;""),"⚠ Vượt mục tiêu P90",IF(AND(Y505&lt;&gt;"",ABS(N(Y505))&gt;0.3),"⚠ Lệch &gt; 30% so với nhu cầu",IF(Q505="Có","ℹ Kiểm tra ngoại suy KM","✓ Hợp lệ")))))</f>
        <v/>
      </c>
    </row>
    <row r="506">
      <c r="A506" s="16" t="n">
        <v>502</v>
      </c>
      <c r="B506" s="17" t="inlineStr">
        <is>
          <t>DEC-S12-LINGERIE</t>
        </is>
      </c>
      <c r="C506" s="16" t="n">
        <v>12</v>
      </c>
      <c r="D506" s="17" t="inlineStr">
        <is>
          <t>LINGERIE</t>
        </is>
      </c>
      <c r="E506" s="17" t="inlineStr">
        <is>
          <t>HIGH</t>
        </is>
      </c>
      <c r="F506" s="17" t="inlineStr">
        <is>
          <t>TRUNG BÌNH</t>
        </is>
      </c>
      <c r="G506" s="18" t="inlineStr">
        <is>
          <t>RISK_HIGH · PROMO_EXTRAPOLATION</t>
        </is>
      </c>
      <c r="H506" s="19" t="n">
        <v>80.19598603248596</v>
      </c>
      <c r="I506" s="19" t="n">
        <v>249.565729379654</v>
      </c>
      <c r="J506" s="19" t="n">
        <v>487.3339602947235</v>
      </c>
      <c r="K506" s="19" t="n">
        <v>249.565729379654</v>
      </c>
      <c r="L506" s="19" t="n">
        <v>398.1708737015724</v>
      </c>
      <c r="M506" s="19" t="n">
        <v>487.3339602947235</v>
      </c>
      <c r="N506" s="17" t="inlineStr">
        <is>
          <t>B</t>
        </is>
      </c>
      <c r="O506" s="19" t="n">
        <v>198.5182901978493</v>
      </c>
      <c r="P506" s="18" t="inlineStr">
        <is>
          <t>CÂN NHẮC THỬ NGHIỆM</t>
        </is>
      </c>
      <c r="Q506" s="17" t="inlineStr">
        <is>
          <t>Có</t>
        </is>
      </c>
      <c r="R506" s="20" t="n"/>
      <c r="S506" s="20" t="n"/>
      <c r="T506" s="21" t="n"/>
      <c r="U506" s="21" t="n"/>
      <c r="V506" s="22">
        <f>IF(U506="A",K506,IF(U506="B",L506,IF(U506="C",M506,IF(N506="A",K506,IF(N506="B",L506,M506)))))</f>
        <v/>
      </c>
      <c r="W506" s="22">
        <f>IF(R506="",O506,MAX(V506-R506-N(S506),0))</f>
        <v/>
      </c>
      <c r="X506" s="20" t="n"/>
      <c r="Y506" s="23">
        <f>IF(OR(X506="",W506=0),"",X506/W506-1)</f>
        <v/>
      </c>
      <c r="Z506" s="24" t="n"/>
      <c r="AA506" s="21" t="n"/>
      <c r="AB506" s="25" t="n"/>
      <c r="AC506" s="26">
        <f>IF(T506="","Chưa quyết định",IF(OR(Z506="",AA506=""),"⚠ Thiếu lý do/người duyệt",IF(AND(X506&lt;&gt;"",N(X506)+N(R506)+N(S506)&gt;M506*1.001,R506&lt;&gt;""),"⚠ Vượt mục tiêu P90",IF(AND(Y506&lt;&gt;"",ABS(N(Y506))&gt;0.3),"⚠ Lệch &gt; 30% so với nhu cầu",IF(Q506="Có","ℹ Kiểm tra ngoại suy KM","✓ Hợp lệ")))))</f>
        <v/>
      </c>
    </row>
    <row r="507">
      <c r="A507" s="16" t="n">
        <v>503</v>
      </c>
      <c r="B507" s="17" t="inlineStr">
        <is>
          <t>DEC-S44-AUTOMOTIVE</t>
        </is>
      </c>
      <c r="C507" s="16" t="n">
        <v>44</v>
      </c>
      <c r="D507" s="17" t="inlineStr">
        <is>
          <t>AUTOMOTIVE</t>
        </is>
      </c>
      <c r="E507" s="17" t="inlineStr">
        <is>
          <t>HIGH</t>
        </is>
      </c>
      <c r="F507" s="17" t="inlineStr">
        <is>
          <t>TRUNG BÌNH</t>
        </is>
      </c>
      <c r="G507" s="18" t="inlineStr">
        <is>
          <t>RISK_HIGH · PROMO_EXTRAPOLATION</t>
        </is>
      </c>
      <c r="H507" s="19" t="n">
        <v>73.21101760864258</v>
      </c>
      <c r="I507" s="19" t="n">
        <v>249.2358436584473</v>
      </c>
      <c r="J507" s="19" t="n">
        <v>493.6073217391968</v>
      </c>
      <c r="K507" s="19" t="n">
        <v>249.2358436584473</v>
      </c>
      <c r="L507" s="19" t="n">
        <v>401.9680174589157</v>
      </c>
      <c r="M507" s="19" t="n">
        <v>493.6073217391968</v>
      </c>
      <c r="N507" s="17" t="inlineStr">
        <is>
          <t>B</t>
        </is>
      </c>
      <c r="O507" s="19" t="n">
        <v>202.5793425321579</v>
      </c>
      <c r="P507" s="18" t="inlineStr">
        <is>
          <t>CÂN NHẮC THỬ NGHIỆM</t>
        </is>
      </c>
      <c r="Q507" s="17" t="inlineStr">
        <is>
          <t>Có</t>
        </is>
      </c>
      <c r="R507" s="20" t="n"/>
      <c r="S507" s="20" t="n"/>
      <c r="T507" s="21" t="n"/>
      <c r="U507" s="21" t="n"/>
      <c r="V507" s="22">
        <f>IF(U507="A",K507,IF(U507="B",L507,IF(U507="C",M507,IF(N507="A",K507,IF(N507="B",L507,M507)))))</f>
        <v/>
      </c>
      <c r="W507" s="22">
        <f>IF(R507="",O507,MAX(V507-R507-N(S507),0))</f>
        <v/>
      </c>
      <c r="X507" s="20" t="n"/>
      <c r="Y507" s="23">
        <f>IF(OR(X507="",W507=0),"",X507/W507-1)</f>
        <v/>
      </c>
      <c r="Z507" s="24" t="n"/>
      <c r="AA507" s="21" t="n"/>
      <c r="AB507" s="25" t="n"/>
      <c r="AC507" s="26">
        <f>IF(T507="","Chưa quyết định",IF(OR(Z507="",AA507=""),"⚠ Thiếu lý do/người duyệt",IF(AND(X507&lt;&gt;"",N(X507)+N(R507)+N(S507)&gt;M507*1.001,R507&lt;&gt;""),"⚠ Vượt mục tiêu P90",IF(AND(Y507&lt;&gt;"",ABS(N(Y507))&gt;0.3),"⚠ Lệch &gt; 30% so với nhu cầu",IF(Q507="Có","ℹ Kiểm tra ngoại suy KM","✓ Hợp lệ")))))</f>
        <v/>
      </c>
    </row>
    <row r="508">
      <c r="A508" s="16" t="n">
        <v>504</v>
      </c>
      <c r="B508" s="17" t="inlineStr">
        <is>
          <t>DEC-S04-LAWN_AND_GARDEN</t>
        </is>
      </c>
      <c r="C508" s="16" t="n">
        <v>4</v>
      </c>
      <c r="D508" s="17" t="inlineStr">
        <is>
          <t>LAWN AND GARDEN</t>
        </is>
      </c>
      <c r="E508" s="17" t="inlineStr">
        <is>
          <t>HIGH</t>
        </is>
      </c>
      <c r="F508" s="17" t="inlineStr">
        <is>
          <t>TRUNG BÌNH</t>
        </is>
      </c>
      <c r="G508" s="18" t="inlineStr">
        <is>
          <t>RISK_HIGH · PROMO_EXTRAPOLATION</t>
        </is>
      </c>
      <c r="H508" s="19" t="n">
        <v>60.97422885894776</v>
      </c>
      <c r="I508" s="19" t="n">
        <v>248.3020401000977</v>
      </c>
      <c r="J508" s="19" t="n">
        <v>517.1950254440308</v>
      </c>
      <c r="K508" s="19" t="n">
        <v>248.3020401000977</v>
      </c>
      <c r="L508" s="19" t="n">
        <v>416.3601559400558</v>
      </c>
      <c r="M508" s="19" t="n">
        <v>517.1950254440308</v>
      </c>
      <c r="N508" s="17" t="inlineStr">
        <is>
          <t>B</t>
        </is>
      </c>
      <c r="O508" s="19" t="n">
        <v>217.7185238599778</v>
      </c>
      <c r="P508" s="18" t="inlineStr">
        <is>
          <t>CÂN NHẮC THỬ NGHIỆM</t>
        </is>
      </c>
      <c r="Q508" s="17" t="inlineStr">
        <is>
          <t>Có</t>
        </is>
      </c>
      <c r="R508" s="20" t="n"/>
      <c r="S508" s="20" t="n"/>
      <c r="T508" s="21" t="n"/>
      <c r="U508" s="21" t="n"/>
      <c r="V508" s="22">
        <f>IF(U508="A",K508,IF(U508="B",L508,IF(U508="C",M508,IF(N508="A",K508,IF(N508="B",L508,M508)))))</f>
        <v/>
      </c>
      <c r="W508" s="22">
        <f>IF(R508="",O508,MAX(V508-R508-N(S508),0))</f>
        <v/>
      </c>
      <c r="X508" s="20" t="n"/>
      <c r="Y508" s="23">
        <f>IF(OR(X508="",W508=0),"",X508/W508-1)</f>
        <v/>
      </c>
      <c r="Z508" s="24" t="n"/>
      <c r="AA508" s="21" t="n"/>
      <c r="AB508" s="25" t="n"/>
      <c r="AC508" s="26">
        <f>IF(T508="","Chưa quyết định",IF(OR(Z508="",AA508=""),"⚠ Thiếu lý do/người duyệt",IF(AND(X508&lt;&gt;"",N(X508)+N(R508)+N(S508)&gt;M508*1.001,R508&lt;&gt;""),"⚠ Vượt mục tiêu P90",IF(AND(Y508&lt;&gt;"",ABS(N(Y508))&gt;0.3),"⚠ Lệch &gt; 30% so với nhu cầu",IF(Q508="Có","ℹ Kiểm tra ngoại suy KM","✓ Hợp lệ")))))</f>
        <v/>
      </c>
    </row>
    <row r="509">
      <c r="A509" s="16" t="n">
        <v>505</v>
      </c>
      <c r="B509" s="17" t="inlineStr">
        <is>
          <t>DEC-S40-CELEBRATION</t>
        </is>
      </c>
      <c r="C509" s="16" t="n">
        <v>40</v>
      </c>
      <c r="D509" s="17" t="inlineStr">
        <is>
          <t>CELEBRATION</t>
        </is>
      </c>
      <c r="E509" s="17" t="inlineStr">
        <is>
          <t>HIGH</t>
        </is>
      </c>
      <c r="F509" s="17" t="inlineStr">
        <is>
          <t>TRUNG BÌNH</t>
        </is>
      </c>
      <c r="G509" s="18" t="inlineStr">
        <is>
          <t>RISK_HIGH · PROMO_EXTRAPOLATION</t>
        </is>
      </c>
      <c r="H509" s="19" t="n">
        <v>54.32636547088623</v>
      </c>
      <c r="I509" s="19" t="n">
        <v>248.2620849609375</v>
      </c>
      <c r="J509" s="19" t="n">
        <v>515.3297271728516</v>
      </c>
      <c r="K509" s="19" t="n">
        <v>248.2620849609375</v>
      </c>
      <c r="L509" s="19" t="n">
        <v>415.1793613433838</v>
      </c>
      <c r="M509" s="19" t="n">
        <v>515.3297271728516</v>
      </c>
      <c r="N509" s="17" t="inlineStr">
        <is>
          <t>B</t>
        </is>
      </c>
      <c r="O509" s="19" t="n">
        <v>216.5696933746338</v>
      </c>
      <c r="P509" s="18" t="inlineStr">
        <is>
          <t>CÂN NHẮC THỬ NGHIỆM</t>
        </is>
      </c>
      <c r="Q509" s="17" t="inlineStr">
        <is>
          <t>Có</t>
        </is>
      </c>
      <c r="R509" s="20" t="n"/>
      <c r="S509" s="20" t="n"/>
      <c r="T509" s="21" t="n"/>
      <c r="U509" s="21" t="n"/>
      <c r="V509" s="22">
        <f>IF(U509="A",K509,IF(U509="B",L509,IF(U509="C",M509,IF(N509="A",K509,IF(N509="B",L509,M509)))))</f>
        <v/>
      </c>
      <c r="W509" s="22">
        <f>IF(R509="",O509,MAX(V509-R509-N(S509),0))</f>
        <v/>
      </c>
      <c r="X509" s="20" t="n"/>
      <c r="Y509" s="23">
        <f>IF(OR(X509="",W509=0),"",X509/W509-1)</f>
        <v/>
      </c>
      <c r="Z509" s="24" t="n"/>
      <c r="AA509" s="21" t="n"/>
      <c r="AB509" s="25" t="n"/>
      <c r="AC509" s="26">
        <f>IF(T509="","Chưa quyết định",IF(OR(Z509="",AA509=""),"⚠ Thiếu lý do/người duyệt",IF(AND(X509&lt;&gt;"",N(X509)+N(R509)+N(S509)&gt;M509*1.001,R509&lt;&gt;""),"⚠ Vượt mục tiêu P90",IF(AND(Y509&lt;&gt;"",ABS(N(Y509))&gt;0.3),"⚠ Lệch &gt; 30% so với nhu cầu",IF(Q509="Có","ℹ Kiểm tra ngoại suy KM","✓ Hợp lệ")))))</f>
        <v/>
      </c>
    </row>
    <row r="510">
      <c r="A510" s="16" t="n">
        <v>506</v>
      </c>
      <c r="B510" s="17" t="inlineStr">
        <is>
          <t>DEC-S33-HOME_AND_KITCHEN_II</t>
        </is>
      </c>
      <c r="C510" s="16" t="n">
        <v>33</v>
      </c>
      <c r="D510" s="17" t="inlineStr">
        <is>
          <t>HOME AND KITCHEN II</t>
        </is>
      </c>
      <c r="E510" s="17" t="inlineStr">
        <is>
          <t>HIGH</t>
        </is>
      </c>
      <c r="F510" s="17" t="inlineStr">
        <is>
          <t>TRUNG BÌNH</t>
        </is>
      </c>
      <c r="G510" s="18" t="inlineStr">
        <is>
          <t>RISK_HIGH · PROMO_EXTRAPOLATION</t>
        </is>
      </c>
      <c r="H510" s="19" t="n">
        <v>70.67106628417969</v>
      </c>
      <c r="I510" s="19" t="n">
        <v>248.1430530548096</v>
      </c>
      <c r="J510" s="19" t="n">
        <v>498.8630237579346</v>
      </c>
      <c r="K510" s="19" t="n">
        <v>248.1430530548096</v>
      </c>
      <c r="L510" s="19" t="n">
        <v>404.8430347442627</v>
      </c>
      <c r="M510" s="19" t="n">
        <v>498.8630237579346</v>
      </c>
      <c r="N510" s="17" t="inlineStr">
        <is>
          <t>B</t>
        </is>
      </c>
      <c r="O510" s="19" t="n">
        <v>206.328592300415</v>
      </c>
      <c r="P510" s="18" t="inlineStr">
        <is>
          <t>CÂN NHẮC THỬ NGHIỆM</t>
        </is>
      </c>
      <c r="Q510" s="17" t="inlineStr">
        <is>
          <t>Có</t>
        </is>
      </c>
      <c r="R510" s="20" t="n"/>
      <c r="S510" s="20" t="n"/>
      <c r="T510" s="21" t="n"/>
      <c r="U510" s="21" t="n"/>
      <c r="V510" s="22">
        <f>IF(U510="A",K510,IF(U510="B",L510,IF(U510="C",M510,IF(N510="A",K510,IF(N510="B",L510,M510)))))</f>
        <v/>
      </c>
      <c r="W510" s="22">
        <f>IF(R510="",O510,MAX(V510-R510-N(S510),0))</f>
        <v/>
      </c>
      <c r="X510" s="20" t="n"/>
      <c r="Y510" s="23">
        <f>IF(OR(X510="",W510=0),"",X510/W510-1)</f>
        <v/>
      </c>
      <c r="Z510" s="24" t="n"/>
      <c r="AA510" s="21" t="n"/>
      <c r="AB510" s="25" t="n"/>
      <c r="AC510" s="26">
        <f>IF(T510="","Chưa quyết định",IF(OR(Z510="",AA510=""),"⚠ Thiếu lý do/người duyệt",IF(AND(X510&lt;&gt;"",N(X510)+N(R510)+N(S510)&gt;M510*1.001,R510&lt;&gt;""),"⚠ Vượt mục tiêu P90",IF(AND(Y510&lt;&gt;"",ABS(N(Y510))&gt;0.3),"⚠ Lệch &gt; 30% so với nhu cầu",IF(Q510="Có","ℹ Kiểm tra ngoại suy KM","✓ Hợp lệ")))))</f>
        <v/>
      </c>
    </row>
    <row r="511">
      <c r="A511" s="16" t="n">
        <v>507</v>
      </c>
      <c r="B511" s="17" t="inlineStr">
        <is>
          <t>DEC-S27-CELEBRATION</t>
        </is>
      </c>
      <c r="C511" s="16" t="n">
        <v>27</v>
      </c>
      <c r="D511" s="17" t="inlineStr">
        <is>
          <t>CELEBRATION</t>
        </is>
      </c>
      <c r="E511" s="17" t="inlineStr">
        <is>
          <t>HIGH</t>
        </is>
      </c>
      <c r="F511" s="17" t="inlineStr">
        <is>
          <t>TRUNG BÌNH</t>
        </is>
      </c>
      <c r="G511" s="18" t="inlineStr">
        <is>
          <t>RISK_HIGH · PROMO_EXTRAPOLATION</t>
        </is>
      </c>
      <c r="H511" s="19" t="n">
        <v>52.22118473052979</v>
      </c>
      <c r="I511" s="19" t="n">
        <v>247.6385698318481</v>
      </c>
      <c r="J511" s="19" t="n">
        <v>514.7062120437622</v>
      </c>
      <c r="K511" s="19" t="n">
        <v>247.6385698318481</v>
      </c>
      <c r="L511" s="19" t="n">
        <v>414.5558462142944</v>
      </c>
      <c r="M511" s="19" t="n">
        <v>514.7062120437622</v>
      </c>
      <c r="N511" s="17" t="inlineStr">
        <is>
          <t>B</t>
        </is>
      </c>
      <c r="O511" s="19" t="n">
        <v>216.4449903488159</v>
      </c>
      <c r="P511" s="18" t="inlineStr">
        <is>
          <t>CÂN NHẮC THỬ NGHIỆM</t>
        </is>
      </c>
      <c r="Q511" s="17" t="inlineStr">
        <is>
          <t>Có</t>
        </is>
      </c>
      <c r="R511" s="20" t="n"/>
      <c r="S511" s="20" t="n"/>
      <c r="T511" s="21" t="n"/>
      <c r="U511" s="21" t="n"/>
      <c r="V511" s="22">
        <f>IF(U511="A",K511,IF(U511="B",L511,IF(U511="C",M511,IF(N511="A",K511,IF(N511="B",L511,M511)))))</f>
        <v/>
      </c>
      <c r="W511" s="22">
        <f>IF(R511="",O511,MAX(V511-R511-N(S511),0))</f>
        <v/>
      </c>
      <c r="X511" s="20" t="n"/>
      <c r="Y511" s="23">
        <f>IF(OR(X511="",W511=0),"",X511/W511-1)</f>
        <v/>
      </c>
      <c r="Z511" s="24" t="n"/>
      <c r="AA511" s="21" t="n"/>
      <c r="AB511" s="25" t="n"/>
      <c r="AC511" s="26">
        <f>IF(T511="","Chưa quyết định",IF(OR(Z511="",AA511=""),"⚠ Thiếu lý do/người duyệt",IF(AND(X511&lt;&gt;"",N(X511)+N(R511)+N(S511)&gt;M511*1.001,R511&lt;&gt;""),"⚠ Vượt mục tiêu P90",IF(AND(Y511&lt;&gt;"",ABS(N(Y511))&gt;0.3),"⚠ Lệch &gt; 30% so với nhu cầu",IF(Q511="Có","ℹ Kiểm tra ngoại suy KM","✓ Hợp lệ")))))</f>
        <v/>
      </c>
    </row>
    <row r="512">
      <c r="A512" s="16" t="n">
        <v>508</v>
      </c>
      <c r="B512" s="17" t="inlineStr">
        <is>
          <t>DEC-S08-CELEBRATION</t>
        </is>
      </c>
      <c r="C512" s="16" t="n">
        <v>8</v>
      </c>
      <c r="D512" s="17" t="inlineStr">
        <is>
          <t>CELEBRATION</t>
        </is>
      </c>
      <c r="E512" s="17" t="inlineStr">
        <is>
          <t>HIGH</t>
        </is>
      </c>
      <c r="F512" s="17" t="inlineStr">
        <is>
          <t>TRUNG BÌNH</t>
        </is>
      </c>
      <c r="G512" s="18" t="inlineStr">
        <is>
          <t>RISK_HIGH · PROMO_EXTRAPOLATION</t>
        </is>
      </c>
      <c r="H512" s="19" t="n">
        <v>56.36074256896973</v>
      </c>
      <c r="I512" s="19" t="n">
        <v>245.8980731964112</v>
      </c>
      <c r="J512" s="19" t="n">
        <v>512.9657154083252</v>
      </c>
      <c r="K512" s="19" t="n">
        <v>245.8980731964112</v>
      </c>
      <c r="L512" s="19" t="n">
        <v>412.8153495788574</v>
      </c>
      <c r="M512" s="19" t="n">
        <v>512.9657154083252</v>
      </c>
      <c r="N512" s="17" t="inlineStr">
        <is>
          <t>B</t>
        </is>
      </c>
      <c r="O512" s="19" t="n">
        <v>216.0968910217285</v>
      </c>
      <c r="P512" s="18" t="inlineStr">
        <is>
          <t>CÂN NHẮC THỬ NGHIỆM</t>
        </is>
      </c>
      <c r="Q512" s="17" t="inlineStr">
        <is>
          <t>Có</t>
        </is>
      </c>
      <c r="R512" s="20" t="n"/>
      <c r="S512" s="20" t="n"/>
      <c r="T512" s="21" t="n"/>
      <c r="U512" s="21" t="n"/>
      <c r="V512" s="22">
        <f>IF(U512="A",K512,IF(U512="B",L512,IF(U512="C",M512,IF(N512="A",K512,IF(N512="B",L512,M512)))))</f>
        <v/>
      </c>
      <c r="W512" s="22">
        <f>IF(R512="",O512,MAX(V512-R512-N(S512),0))</f>
        <v/>
      </c>
      <c r="X512" s="20" t="n"/>
      <c r="Y512" s="23">
        <f>IF(OR(X512="",W512=0),"",X512/W512-1)</f>
        <v/>
      </c>
      <c r="Z512" s="24" t="n"/>
      <c r="AA512" s="21" t="n"/>
      <c r="AB512" s="25" t="n"/>
      <c r="AC512" s="26">
        <f>IF(T512="","Chưa quyết định",IF(OR(Z512="",AA512=""),"⚠ Thiếu lý do/người duyệt",IF(AND(X512&lt;&gt;"",N(X512)+N(R512)+N(S512)&gt;M512*1.001,R512&lt;&gt;""),"⚠ Vượt mục tiêu P90",IF(AND(Y512&lt;&gt;"",ABS(N(Y512))&gt;0.3),"⚠ Lệch &gt; 30% so với nhu cầu",IF(Q512="Có","ℹ Kiểm tra ngoại suy KM","✓ Hợp lệ")))))</f>
        <v/>
      </c>
    </row>
    <row r="513">
      <c r="A513" s="16" t="n">
        <v>509</v>
      </c>
      <c r="B513" s="17" t="inlineStr">
        <is>
          <t>DEC-S12-HOME_AND_KITCHEN_I</t>
        </is>
      </c>
      <c r="C513" s="16" t="n">
        <v>12</v>
      </c>
      <c r="D513" s="17" t="inlineStr">
        <is>
          <t>HOME AND KITCHEN I</t>
        </is>
      </c>
      <c r="E513" s="17" t="inlineStr">
        <is>
          <t>HIGH</t>
        </is>
      </c>
      <c r="F513" s="17" t="inlineStr">
        <is>
          <t>TRUNG BÌNH</t>
        </is>
      </c>
      <c r="G513" s="18" t="inlineStr">
        <is>
          <t>RISK_HIGH · PROMO_EXTRAPOLATION</t>
        </is>
      </c>
      <c r="H513" s="19" t="n">
        <v>74.32466411590576</v>
      </c>
      <c r="I513" s="19" t="n">
        <v>244.2692594528199</v>
      </c>
      <c r="J513" s="19" t="n">
        <v>486.8153944015503</v>
      </c>
      <c r="K513" s="19" t="n">
        <v>244.2692594528199</v>
      </c>
      <c r="L513" s="19" t="n">
        <v>395.8605937957764</v>
      </c>
      <c r="M513" s="19" t="n">
        <v>486.8153944015503</v>
      </c>
      <c r="N513" s="17" t="inlineStr">
        <is>
          <t>B</t>
        </is>
      </c>
      <c r="O513" s="19" t="n">
        <v>200.4451862335205</v>
      </c>
      <c r="P513" s="18" t="inlineStr">
        <is>
          <t>CÂN NHẮC THỬ NGHIỆM</t>
        </is>
      </c>
      <c r="Q513" s="17" t="inlineStr">
        <is>
          <t>Có</t>
        </is>
      </c>
      <c r="R513" s="20" t="n"/>
      <c r="S513" s="20" t="n"/>
      <c r="T513" s="21" t="n"/>
      <c r="U513" s="21" t="n"/>
      <c r="V513" s="22">
        <f>IF(U513="A",K513,IF(U513="B",L513,IF(U513="C",M513,IF(N513="A",K513,IF(N513="B",L513,M513)))))</f>
        <v/>
      </c>
      <c r="W513" s="22">
        <f>IF(R513="",O513,MAX(V513-R513-N(S513),0))</f>
        <v/>
      </c>
      <c r="X513" s="20" t="n"/>
      <c r="Y513" s="23">
        <f>IF(OR(X513="",W513=0),"",X513/W513-1)</f>
        <v/>
      </c>
      <c r="Z513" s="24" t="n"/>
      <c r="AA513" s="21" t="n"/>
      <c r="AB513" s="25" t="n"/>
      <c r="AC513" s="26">
        <f>IF(T513="","Chưa quyết định",IF(OR(Z513="",AA513=""),"⚠ Thiếu lý do/người duyệt",IF(AND(X513&lt;&gt;"",N(X513)+N(R513)+N(S513)&gt;M513*1.001,R513&lt;&gt;""),"⚠ Vượt mục tiêu P90",IF(AND(Y513&lt;&gt;"",ABS(N(Y513))&gt;0.3),"⚠ Lệch &gt; 30% so với nhu cầu",IF(Q513="Có","ℹ Kiểm tra ngoại suy KM","✓ Hợp lệ")))))</f>
        <v/>
      </c>
    </row>
    <row r="514">
      <c r="A514" s="16" t="n">
        <v>510</v>
      </c>
      <c r="B514" s="17" t="inlineStr">
        <is>
          <t>DEC-S23-HOME_AND_KITCHEN_II</t>
        </is>
      </c>
      <c r="C514" s="16" t="n">
        <v>23</v>
      </c>
      <c r="D514" s="17" t="inlineStr">
        <is>
          <t>HOME AND KITCHEN II</t>
        </is>
      </c>
      <c r="E514" s="17" t="inlineStr">
        <is>
          <t>HIGH</t>
        </is>
      </c>
      <c r="F514" s="17" t="inlineStr">
        <is>
          <t>TRUNG BÌNH</t>
        </is>
      </c>
      <c r="G514" s="18" t="inlineStr">
        <is>
          <t>RISK_HIGH · PROMO_EXTRAPOLATION</t>
        </is>
      </c>
      <c r="H514" s="19" t="n">
        <v>62.76104927062988</v>
      </c>
      <c r="I514" s="19" t="n">
        <v>244.0307464599609</v>
      </c>
      <c r="J514" s="19" t="n">
        <v>494.7507171630859</v>
      </c>
      <c r="K514" s="19" t="n">
        <v>244.0307464599609</v>
      </c>
      <c r="L514" s="19" t="n">
        <v>400.7307281494141</v>
      </c>
      <c r="M514" s="19" t="n">
        <v>494.7507171630859</v>
      </c>
      <c r="N514" s="17" t="inlineStr">
        <is>
          <t>B</t>
        </is>
      </c>
      <c r="O514" s="19" t="n">
        <v>205.5061309814453</v>
      </c>
      <c r="P514" s="18" t="inlineStr">
        <is>
          <t>CÂN NHẮC THỬ NGHIỆM</t>
        </is>
      </c>
      <c r="Q514" s="17" t="inlineStr">
        <is>
          <t>Có</t>
        </is>
      </c>
      <c r="R514" s="20" t="n"/>
      <c r="S514" s="20" t="n"/>
      <c r="T514" s="21" t="n"/>
      <c r="U514" s="21" t="n"/>
      <c r="V514" s="22">
        <f>IF(U514="A",K514,IF(U514="B",L514,IF(U514="C",M514,IF(N514="A",K514,IF(N514="B",L514,M514)))))</f>
        <v/>
      </c>
      <c r="W514" s="22">
        <f>IF(R514="",O514,MAX(V514-R514-N(S514),0))</f>
        <v/>
      </c>
      <c r="X514" s="20" t="n"/>
      <c r="Y514" s="23">
        <f>IF(OR(X514="",W514=0),"",X514/W514-1)</f>
        <v/>
      </c>
      <c r="Z514" s="24" t="n"/>
      <c r="AA514" s="21" t="n"/>
      <c r="AB514" s="25" t="n"/>
      <c r="AC514" s="26">
        <f>IF(T514="","Chưa quyết định",IF(OR(Z514="",AA514=""),"⚠ Thiếu lý do/người duyệt",IF(AND(X514&lt;&gt;"",N(X514)+N(R514)+N(S514)&gt;M514*1.001,R514&lt;&gt;""),"⚠ Vượt mục tiêu P90",IF(AND(Y514&lt;&gt;"",ABS(N(Y514))&gt;0.3),"⚠ Lệch &gt; 30% so với nhu cầu",IF(Q514="Có","ℹ Kiểm tra ngoại suy KM","✓ Hợp lệ")))))</f>
        <v/>
      </c>
    </row>
    <row r="515">
      <c r="A515" s="16" t="n">
        <v>511</v>
      </c>
      <c r="B515" s="17" t="inlineStr">
        <is>
          <t>DEC-S32-FROZEN_FOODS</t>
        </is>
      </c>
      <c r="C515" s="16" t="n">
        <v>32</v>
      </c>
      <c r="D515" s="17" t="inlineStr">
        <is>
          <t>FROZEN FOODS</t>
        </is>
      </c>
      <c r="E515" s="17" t="inlineStr">
        <is>
          <t>HIGH</t>
        </is>
      </c>
      <c r="F515" s="17" t="inlineStr">
        <is>
          <t>TRUNG BÌNH</t>
        </is>
      </c>
      <c r="G515" s="18" t="inlineStr">
        <is>
          <t>RISK_HIGH · PROMO_EXTRAPOLATION</t>
        </is>
      </c>
      <c r="H515" s="19" t="n">
        <v>69.50173377990723</v>
      </c>
      <c r="I515" s="19" t="n">
        <v>243.7255640029907</v>
      </c>
      <c r="J515" s="19" t="n">
        <v>488.0970420837402</v>
      </c>
      <c r="K515" s="19" t="n">
        <v>243.7255640029907</v>
      </c>
      <c r="L515" s="19" t="n">
        <v>396.4577378034591</v>
      </c>
      <c r="M515" s="19" t="n">
        <v>488.0970420837402</v>
      </c>
      <c r="N515" s="17" t="inlineStr">
        <is>
          <t>B</t>
        </is>
      </c>
      <c r="O515" s="19" t="n">
        <v>201.4772866010665</v>
      </c>
      <c r="P515" s="18" t="inlineStr">
        <is>
          <t>CÂN NHẮC THỬ NGHIỆM</t>
        </is>
      </c>
      <c r="Q515" s="17" t="inlineStr">
        <is>
          <t>Có</t>
        </is>
      </c>
      <c r="R515" s="20" t="n"/>
      <c r="S515" s="20" t="n"/>
      <c r="T515" s="21" t="n"/>
      <c r="U515" s="21" t="n"/>
      <c r="V515" s="22">
        <f>IF(U515="A",K515,IF(U515="B",L515,IF(U515="C",M515,IF(N515="A",K515,IF(N515="B",L515,M515)))))</f>
        <v/>
      </c>
      <c r="W515" s="22">
        <f>IF(R515="",O515,MAX(V515-R515-N(S515),0))</f>
        <v/>
      </c>
      <c r="X515" s="20" t="n"/>
      <c r="Y515" s="23">
        <f>IF(OR(X515="",W515=0),"",X515/W515-1)</f>
        <v/>
      </c>
      <c r="Z515" s="24" t="n"/>
      <c r="AA515" s="21" t="n"/>
      <c r="AB515" s="25" t="n"/>
      <c r="AC515" s="26">
        <f>IF(T515="","Chưa quyết định",IF(OR(Z515="",AA515=""),"⚠ Thiếu lý do/người duyệt",IF(AND(X515&lt;&gt;"",N(X515)+N(R515)+N(S515)&gt;M515*1.001,R515&lt;&gt;""),"⚠ Vượt mục tiêu P90",IF(AND(Y515&lt;&gt;"",ABS(N(Y515))&gt;0.3),"⚠ Lệch &gt; 30% so với nhu cầu",IF(Q515="Có","ℹ Kiểm tra ngoại suy KM","✓ Hợp lệ")))))</f>
        <v/>
      </c>
    </row>
    <row r="516">
      <c r="A516" s="16" t="n">
        <v>512</v>
      </c>
      <c r="B516" s="17" t="inlineStr">
        <is>
          <t>DEC-S10-LIQUOR_WINE_BEER</t>
        </is>
      </c>
      <c r="C516" s="16" t="n">
        <v>10</v>
      </c>
      <c r="D516" s="17" t="inlineStr">
        <is>
          <t>LIQUOR,WINE,BEER</t>
        </is>
      </c>
      <c r="E516" s="17" t="inlineStr">
        <is>
          <t>HIGH</t>
        </is>
      </c>
      <c r="F516" s="17" t="inlineStr">
        <is>
          <t>TRUNG BÌNH</t>
        </is>
      </c>
      <c r="G516" s="18" t="inlineStr">
        <is>
          <t>RISK_HIGH · PROMO_EXTRAPOLATION</t>
        </is>
      </c>
      <c r="H516" s="19" t="n">
        <v>72.40586566925049</v>
      </c>
      <c r="I516" s="19" t="n">
        <v>243.7101783752441</v>
      </c>
      <c r="J516" s="19" t="n">
        <v>478.0824775695801</v>
      </c>
      <c r="K516" s="19" t="n">
        <v>243.7101783752441</v>
      </c>
      <c r="L516" s="19" t="n">
        <v>390.1928653717041</v>
      </c>
      <c r="M516" s="19" t="n">
        <v>478.0824775695801</v>
      </c>
      <c r="N516" s="17" t="inlineStr">
        <is>
          <t>B</t>
        </is>
      </c>
      <c r="O516" s="19" t="n">
        <v>195.2247226715088</v>
      </c>
      <c r="P516" s="18" t="inlineStr">
        <is>
          <t>CÂN NHẮC THỬ NGHIỆM</t>
        </is>
      </c>
      <c r="Q516" s="17" t="inlineStr">
        <is>
          <t>Có</t>
        </is>
      </c>
      <c r="R516" s="20" t="n"/>
      <c r="S516" s="20" t="n"/>
      <c r="T516" s="21" t="n"/>
      <c r="U516" s="21" t="n"/>
      <c r="V516" s="22">
        <f>IF(U516="A",K516,IF(U516="B",L516,IF(U516="C",M516,IF(N516="A",K516,IF(N516="B",L516,M516)))))</f>
        <v/>
      </c>
      <c r="W516" s="22">
        <f>IF(R516="",O516,MAX(V516-R516-N(S516),0))</f>
        <v/>
      </c>
      <c r="X516" s="20" t="n"/>
      <c r="Y516" s="23">
        <f>IF(OR(X516="",W516=0),"",X516/W516-1)</f>
        <v/>
      </c>
      <c r="Z516" s="24" t="n"/>
      <c r="AA516" s="21" t="n"/>
      <c r="AB516" s="25" t="n"/>
      <c r="AC516" s="26">
        <f>IF(T516="","Chưa quyết định",IF(OR(Z516="",AA516=""),"⚠ Thiếu lý do/người duyệt",IF(AND(X516&lt;&gt;"",N(X516)+N(R516)+N(S516)&gt;M516*1.001,R516&lt;&gt;""),"⚠ Vượt mục tiêu P90",IF(AND(Y516&lt;&gt;"",ABS(N(Y516))&gt;0.3),"⚠ Lệch &gt; 30% so với nhu cầu",IF(Q516="Có","ℹ Kiểm tra ngoại suy KM","✓ Hợp lệ")))))</f>
        <v/>
      </c>
    </row>
    <row r="517">
      <c r="A517" s="16" t="n">
        <v>513</v>
      </c>
      <c r="B517" s="17" t="inlineStr">
        <is>
          <t>DEC-S42-SEAFOOD</t>
        </is>
      </c>
      <c r="C517" s="16" t="n">
        <v>42</v>
      </c>
      <c r="D517" s="17" t="inlineStr">
        <is>
          <t>SEAFOOD</t>
        </is>
      </c>
      <c r="E517" s="17" t="inlineStr">
        <is>
          <t>HIGH</t>
        </is>
      </c>
      <c r="F517" s="17" t="inlineStr">
        <is>
          <t>TRUNG BÌNH</t>
        </is>
      </c>
      <c r="G517" s="18" t="inlineStr">
        <is>
          <t>RISK_HIGH · PROMO_EXTRAPOLATION</t>
        </is>
      </c>
      <c r="H517" s="19" t="n">
        <v>72.81220245361328</v>
      </c>
      <c r="I517" s="19" t="n">
        <v>243.2941465377808</v>
      </c>
      <c r="J517" s="19" t="n">
        <v>479.4917888641357</v>
      </c>
      <c r="K517" s="19" t="n">
        <v>243.2941465377808</v>
      </c>
      <c r="L517" s="19" t="n">
        <v>390.9176729917526</v>
      </c>
      <c r="M517" s="19" t="n">
        <v>479.4917888641357</v>
      </c>
      <c r="N517" s="17" t="inlineStr">
        <is>
          <t>B</t>
        </is>
      </c>
      <c r="O517" s="19" t="n">
        <v>196.282355761528</v>
      </c>
      <c r="P517" s="18" t="inlineStr">
        <is>
          <t>CÂN NHẮC THỬ NGHIỆM</t>
        </is>
      </c>
      <c r="Q517" s="17" t="inlineStr">
        <is>
          <t>Có</t>
        </is>
      </c>
      <c r="R517" s="20" t="n"/>
      <c r="S517" s="20" t="n"/>
      <c r="T517" s="21" t="n"/>
      <c r="U517" s="21" t="n"/>
      <c r="V517" s="22">
        <f>IF(U517="A",K517,IF(U517="B",L517,IF(U517="C",M517,IF(N517="A",K517,IF(N517="B",L517,M517)))))</f>
        <v/>
      </c>
      <c r="W517" s="22">
        <f>IF(R517="",O517,MAX(V517-R517-N(S517),0))</f>
        <v/>
      </c>
      <c r="X517" s="20" t="n"/>
      <c r="Y517" s="23">
        <f>IF(OR(X517="",W517=0),"",X517/W517-1)</f>
        <v/>
      </c>
      <c r="Z517" s="24" t="n"/>
      <c r="AA517" s="21" t="n"/>
      <c r="AB517" s="25" t="n"/>
      <c r="AC517" s="26">
        <f>IF(T517="","Chưa quyết định",IF(OR(Z517="",AA517=""),"⚠ Thiếu lý do/người duyệt",IF(AND(X517&lt;&gt;"",N(X517)+N(R517)+N(S517)&gt;M517*1.001,R517&lt;&gt;""),"⚠ Vượt mục tiêu P90",IF(AND(Y517&lt;&gt;"",ABS(N(Y517))&gt;0.3),"⚠ Lệch &gt; 30% so với nhu cầu",IF(Q517="Có","ℹ Kiểm tra ngoại suy KM","✓ Hợp lệ")))))</f>
        <v/>
      </c>
    </row>
    <row r="518">
      <c r="A518" s="16" t="n">
        <v>514</v>
      </c>
      <c r="B518" s="17" t="inlineStr">
        <is>
          <t>DEC-S17-HOME_AND_KITCHEN_II</t>
        </is>
      </c>
      <c r="C518" s="16" t="n">
        <v>17</v>
      </c>
      <c r="D518" s="17" t="inlineStr">
        <is>
          <t>HOME AND KITCHEN II</t>
        </is>
      </c>
      <c r="E518" s="17" t="inlineStr">
        <is>
          <t>HIGH</t>
        </is>
      </c>
      <c r="F518" s="17" t="inlineStr">
        <is>
          <t>TRUNG BÌNH</t>
        </is>
      </c>
      <c r="G518" s="18" t="inlineStr">
        <is>
          <t>RISK_HIGH · PROMO_EXTRAPOLATION</t>
        </is>
      </c>
      <c r="H518" s="19" t="n">
        <v>52.93773937225342</v>
      </c>
      <c r="I518" s="19" t="n">
        <v>242.2297105789185</v>
      </c>
      <c r="J518" s="19" t="n">
        <v>509.2973527908325</v>
      </c>
      <c r="K518" s="19" t="n">
        <v>242.2297105789185</v>
      </c>
      <c r="L518" s="19" t="n">
        <v>409.1469869613647</v>
      </c>
      <c r="M518" s="19" t="n">
        <v>509.2973527908325</v>
      </c>
      <c r="N518" s="17" t="inlineStr">
        <is>
          <t>B</t>
        </is>
      </c>
      <c r="O518" s="19" t="n">
        <v>215.36321849823</v>
      </c>
      <c r="P518" s="18" t="inlineStr">
        <is>
          <t>CÂN NHẮC THỬ NGHIỆM</t>
        </is>
      </c>
      <c r="Q518" s="17" t="inlineStr">
        <is>
          <t>Có</t>
        </is>
      </c>
      <c r="R518" s="20" t="n"/>
      <c r="S518" s="20" t="n"/>
      <c r="T518" s="21" t="n"/>
      <c r="U518" s="21" t="n"/>
      <c r="V518" s="22">
        <f>IF(U518="A",K518,IF(U518="B",L518,IF(U518="C",M518,IF(N518="A",K518,IF(N518="B",L518,M518)))))</f>
        <v/>
      </c>
      <c r="W518" s="22">
        <f>IF(R518="",O518,MAX(V518-R518-N(S518),0))</f>
        <v/>
      </c>
      <c r="X518" s="20" t="n"/>
      <c r="Y518" s="23">
        <f>IF(OR(X518="",W518=0),"",X518/W518-1)</f>
        <v/>
      </c>
      <c r="Z518" s="24" t="n"/>
      <c r="AA518" s="21" t="n"/>
      <c r="AB518" s="25" t="n"/>
      <c r="AC518" s="26">
        <f>IF(T518="","Chưa quyết định",IF(OR(Z518="",AA518=""),"⚠ Thiếu lý do/người duyệt",IF(AND(X518&lt;&gt;"",N(X518)+N(R518)+N(S518)&gt;M518*1.001,R518&lt;&gt;""),"⚠ Vượt mục tiêu P90",IF(AND(Y518&lt;&gt;"",ABS(N(Y518))&gt;0.3),"⚠ Lệch &gt; 30% so với nhu cầu",IF(Q518="Có","ℹ Kiểm tra ngoại suy KM","✓ Hợp lệ")))))</f>
        <v/>
      </c>
    </row>
    <row r="519">
      <c r="A519" s="16" t="n">
        <v>515</v>
      </c>
      <c r="B519" s="17" t="inlineStr">
        <is>
          <t>DEC-S31-GROCERY_II</t>
        </is>
      </c>
      <c r="C519" s="16" t="n">
        <v>31</v>
      </c>
      <c r="D519" s="17" t="inlineStr">
        <is>
          <t>GROCERY II</t>
        </is>
      </c>
      <c r="E519" s="17" t="inlineStr">
        <is>
          <t>HIGH</t>
        </is>
      </c>
      <c r="F519" s="17" t="inlineStr">
        <is>
          <t>TRUNG BÌNH</t>
        </is>
      </c>
      <c r="G519" s="18" t="inlineStr">
        <is>
          <t>RISK_HIGH · PROMO_EXTRAPOLATION</t>
        </is>
      </c>
      <c r="H519" s="19" t="n">
        <v>60.96258544921875</v>
      </c>
      <c r="I519" s="19" t="n">
        <v>241.8033285140991</v>
      </c>
      <c r="J519" s="19" t="n">
        <v>496.1739854812622</v>
      </c>
      <c r="K519" s="19" t="n">
        <v>241.8033285140991</v>
      </c>
      <c r="L519" s="19" t="n">
        <v>400.784989118576</v>
      </c>
      <c r="M519" s="19" t="n">
        <v>496.1739854812622</v>
      </c>
      <c r="N519" s="17" t="inlineStr">
        <is>
          <t>B</t>
        </is>
      </c>
      <c r="O519" s="19" t="n">
        <v>207.3423263072968</v>
      </c>
      <c r="P519" s="18" t="inlineStr">
        <is>
          <t>CÂN NHẮC THỬ NGHIỆM</t>
        </is>
      </c>
      <c r="Q519" s="17" t="inlineStr">
        <is>
          <t>Có</t>
        </is>
      </c>
      <c r="R519" s="20" t="n"/>
      <c r="S519" s="20" t="n"/>
      <c r="T519" s="21" t="n"/>
      <c r="U519" s="21" t="n"/>
      <c r="V519" s="22">
        <f>IF(U519="A",K519,IF(U519="B",L519,IF(U519="C",M519,IF(N519="A",K519,IF(N519="B",L519,M519)))))</f>
        <v/>
      </c>
      <c r="W519" s="22">
        <f>IF(R519="",O519,MAX(V519-R519-N(S519),0))</f>
        <v/>
      </c>
      <c r="X519" s="20" t="n"/>
      <c r="Y519" s="23">
        <f>IF(OR(X519="",W519=0),"",X519/W519-1)</f>
        <v/>
      </c>
      <c r="Z519" s="24" t="n"/>
      <c r="AA519" s="21" t="n"/>
      <c r="AB519" s="25" t="n"/>
      <c r="AC519" s="26">
        <f>IF(T519="","Chưa quyết định",IF(OR(Z519="",AA519=""),"⚠ Thiếu lý do/người duyệt",IF(AND(X519&lt;&gt;"",N(X519)+N(R519)+N(S519)&gt;M519*1.001,R519&lt;&gt;""),"⚠ Vượt mục tiêu P90",IF(AND(Y519&lt;&gt;"",ABS(N(Y519))&gt;0.3),"⚠ Lệch &gt; 30% so với nhu cầu",IF(Q519="Có","ℹ Kiểm tra ngoại suy KM","✓ Hợp lệ")))))</f>
        <v/>
      </c>
    </row>
    <row r="520">
      <c r="A520" s="16" t="n">
        <v>516</v>
      </c>
      <c r="B520" s="17" t="inlineStr">
        <is>
          <t>DEC-S11-LADIESWEAR</t>
        </is>
      </c>
      <c r="C520" s="16" t="n">
        <v>11</v>
      </c>
      <c r="D520" s="17" t="inlineStr">
        <is>
          <t>LADIESWEAR</t>
        </is>
      </c>
      <c r="E520" s="17" t="inlineStr">
        <is>
          <t>HIGH</t>
        </is>
      </c>
      <c r="F520" s="17" t="inlineStr">
        <is>
          <t>TRUNG BÌNH</t>
        </is>
      </c>
      <c r="G520" s="18" t="inlineStr">
        <is>
          <t>RISK_HIGH · PROMO_EXTRAPOLATION</t>
        </is>
      </c>
      <c r="H520" s="19" t="n">
        <v>93.94026374816896</v>
      </c>
      <c r="I520" s="19" t="n">
        <v>241.3178977966309</v>
      </c>
      <c r="J520" s="19" t="n">
        <v>442.9948539733887</v>
      </c>
      <c r="K520" s="19" t="n">
        <v>241.3178977966309</v>
      </c>
      <c r="L520" s="19" t="n">
        <v>367.3659954071045</v>
      </c>
      <c r="M520" s="19" t="n">
        <v>442.9948539733887</v>
      </c>
      <c r="N520" s="17" t="inlineStr">
        <is>
          <t>B</t>
        </is>
      </c>
      <c r="O520" s="19" t="n">
        <v>174.3116771697998</v>
      </c>
      <c r="P520" s="18" t="inlineStr">
        <is>
          <t>CÂN NHẮC THỬ NGHIỆM</t>
        </is>
      </c>
      <c r="Q520" s="17" t="inlineStr">
        <is>
          <t>Có</t>
        </is>
      </c>
      <c r="R520" s="20" t="n"/>
      <c r="S520" s="20" t="n"/>
      <c r="T520" s="21" t="n"/>
      <c r="U520" s="21" t="n"/>
      <c r="V520" s="22">
        <f>IF(U520="A",K520,IF(U520="B",L520,IF(U520="C",M520,IF(N520="A",K520,IF(N520="B",L520,M520)))))</f>
        <v/>
      </c>
      <c r="W520" s="22">
        <f>IF(R520="",O520,MAX(V520-R520-N(S520),0))</f>
        <v/>
      </c>
      <c r="X520" s="20" t="n"/>
      <c r="Y520" s="23">
        <f>IF(OR(X520="",W520=0),"",X520/W520-1)</f>
        <v/>
      </c>
      <c r="Z520" s="24" t="n"/>
      <c r="AA520" s="21" t="n"/>
      <c r="AB520" s="25" t="n"/>
      <c r="AC520" s="26">
        <f>IF(T520="","Chưa quyết định",IF(OR(Z520="",AA520=""),"⚠ Thiếu lý do/người duyệt",IF(AND(X520&lt;&gt;"",N(X520)+N(R520)+N(S520)&gt;M520*1.001,R520&lt;&gt;""),"⚠ Vượt mục tiêu P90",IF(AND(Y520&lt;&gt;"",ABS(N(Y520))&gt;0.3),"⚠ Lệch &gt; 30% so với nhu cầu",IF(Q520="Có","ℹ Kiểm tra ngoại suy KM","✓ Hợp lệ")))))</f>
        <v/>
      </c>
    </row>
    <row r="521">
      <c r="A521" s="16" t="n">
        <v>517</v>
      </c>
      <c r="B521" s="17" t="inlineStr">
        <is>
          <t>DEC-S06-LAWN_AND_GARDEN</t>
        </is>
      </c>
      <c r="C521" s="16" t="n">
        <v>6</v>
      </c>
      <c r="D521" s="17" t="inlineStr">
        <is>
          <t>LAWN AND GARDEN</t>
        </is>
      </c>
      <c r="E521" s="17" t="inlineStr">
        <is>
          <t>HIGH</t>
        </is>
      </c>
      <c r="F521" s="17" t="inlineStr">
        <is>
          <t>TRUNG BÌNH</t>
        </is>
      </c>
      <c r="G521" s="18" t="inlineStr">
        <is>
          <t>RISK_HIGH · PROMO_EXTRAPOLATION</t>
        </is>
      </c>
      <c r="H521" s="19" t="n">
        <v>73.82273101806641</v>
      </c>
      <c r="I521" s="19" t="n">
        <v>241.2331829071045</v>
      </c>
      <c r="J521" s="19" t="n">
        <v>477.4308252334595</v>
      </c>
      <c r="K521" s="19" t="n">
        <v>241.2331829071045</v>
      </c>
      <c r="L521" s="19" t="n">
        <v>388.8567093610764</v>
      </c>
      <c r="M521" s="19" t="n">
        <v>477.4308252334595</v>
      </c>
      <c r="N521" s="17" t="inlineStr">
        <is>
          <t>B</t>
        </is>
      </c>
      <c r="O521" s="19" t="n">
        <v>195.8701630353927</v>
      </c>
      <c r="P521" s="18" t="inlineStr">
        <is>
          <t>CÂN NHẮC THỬ NGHIỆM</t>
        </is>
      </c>
      <c r="Q521" s="17" t="inlineStr">
        <is>
          <t>Có</t>
        </is>
      </c>
      <c r="R521" s="20" t="n"/>
      <c r="S521" s="20" t="n"/>
      <c r="T521" s="21" t="n"/>
      <c r="U521" s="21" t="n"/>
      <c r="V521" s="22">
        <f>IF(U521="A",K521,IF(U521="B",L521,IF(U521="C",M521,IF(N521="A",K521,IF(N521="B",L521,M521)))))</f>
        <v/>
      </c>
      <c r="W521" s="22">
        <f>IF(R521="",O521,MAX(V521-R521-N(S521),0))</f>
        <v/>
      </c>
      <c r="X521" s="20" t="n"/>
      <c r="Y521" s="23">
        <f>IF(OR(X521="",W521=0),"",X521/W521-1)</f>
        <v/>
      </c>
      <c r="Z521" s="24" t="n"/>
      <c r="AA521" s="21" t="n"/>
      <c r="AB521" s="25" t="n"/>
      <c r="AC521" s="26">
        <f>IF(T521="","Chưa quyết định",IF(OR(Z521="",AA521=""),"⚠ Thiếu lý do/người duyệt",IF(AND(X521&lt;&gt;"",N(X521)+N(R521)+N(S521)&gt;M521*1.001,R521&lt;&gt;""),"⚠ Vượt mục tiêu P90",IF(AND(Y521&lt;&gt;"",ABS(N(Y521))&gt;0.3),"⚠ Lệch &gt; 30% so với nhu cầu",IF(Q521="Có","ℹ Kiểm tra ngoại suy KM","✓ Hợp lệ")))))</f>
        <v/>
      </c>
    </row>
    <row r="522">
      <c r="A522" s="16" t="n">
        <v>518</v>
      </c>
      <c r="B522" s="17" t="inlineStr">
        <is>
          <t>DEC-S20-SEAFOOD</t>
        </is>
      </c>
      <c r="C522" s="16" t="n">
        <v>20</v>
      </c>
      <c r="D522" s="17" t="inlineStr">
        <is>
          <t>SEAFOOD</t>
        </is>
      </c>
      <c r="E522" s="17" t="inlineStr">
        <is>
          <t>HIGH</t>
        </is>
      </c>
      <c r="F522" s="17" t="inlineStr">
        <is>
          <t>TRUNG BÌNH</t>
        </is>
      </c>
      <c r="G522" s="18" t="inlineStr">
        <is>
          <t>RISK_HIGH · PROMO_EXTRAPOLATION</t>
        </is>
      </c>
      <c r="H522" s="19" t="n">
        <v>80.46129751205444</v>
      </c>
      <c r="I522" s="19" t="n">
        <v>240.9468007087708</v>
      </c>
      <c r="J522" s="19" t="n">
        <v>462.6221146583557</v>
      </c>
      <c r="K522" s="19" t="n">
        <v>240.9468007087708</v>
      </c>
      <c r="L522" s="19" t="n">
        <v>379.4938719272614</v>
      </c>
      <c r="M522" s="19" t="n">
        <v>462.6221146583557</v>
      </c>
      <c r="N522" s="17" t="inlineStr">
        <is>
          <t>B</t>
        </is>
      </c>
      <c r="O522" s="19" t="n">
        <v>186.7364313602448</v>
      </c>
      <c r="P522" s="18" t="inlineStr">
        <is>
          <t>CÂN NHẮC THỬ NGHIỆM</t>
        </is>
      </c>
      <c r="Q522" s="17" t="inlineStr">
        <is>
          <t>Có</t>
        </is>
      </c>
      <c r="R522" s="20" t="n"/>
      <c r="S522" s="20" t="n"/>
      <c r="T522" s="21" t="n"/>
      <c r="U522" s="21" t="n"/>
      <c r="V522" s="22">
        <f>IF(U522="A",K522,IF(U522="B",L522,IF(U522="C",M522,IF(N522="A",K522,IF(N522="B",L522,M522)))))</f>
        <v/>
      </c>
      <c r="W522" s="22">
        <f>IF(R522="",O522,MAX(V522-R522-N(S522),0))</f>
        <v/>
      </c>
      <c r="X522" s="20" t="n"/>
      <c r="Y522" s="23">
        <f>IF(OR(X522="",W522=0),"",X522/W522-1)</f>
        <v/>
      </c>
      <c r="Z522" s="24" t="n"/>
      <c r="AA522" s="21" t="n"/>
      <c r="AB522" s="25" t="n"/>
      <c r="AC522" s="26">
        <f>IF(T522="","Chưa quyết định",IF(OR(Z522="",AA522=""),"⚠ Thiếu lý do/người duyệt",IF(AND(X522&lt;&gt;"",N(X522)+N(R522)+N(S522)&gt;M522*1.001,R522&lt;&gt;""),"⚠ Vượt mục tiêu P90",IF(AND(Y522&lt;&gt;"",ABS(N(Y522))&gt;0.3),"⚠ Lệch &gt; 30% so với nhu cầu",IF(Q522="Có","ℹ Kiểm tra ngoại suy KM","✓ Hợp lệ")))))</f>
        <v/>
      </c>
    </row>
    <row r="523">
      <c r="A523" s="16" t="n">
        <v>519</v>
      </c>
      <c r="B523" s="17" t="inlineStr">
        <is>
          <t>DEC-S07-LINGERIE</t>
        </is>
      </c>
      <c r="C523" s="16" t="n">
        <v>7</v>
      </c>
      <c r="D523" s="17" t="inlineStr">
        <is>
          <t>LINGERIE</t>
        </is>
      </c>
      <c r="E523" s="17" t="inlineStr">
        <is>
          <t>HIGH</t>
        </is>
      </c>
      <c r="F523" s="17" t="inlineStr">
        <is>
          <t>TRUNG BÌNH</t>
        </is>
      </c>
      <c r="G523" s="18" t="inlineStr">
        <is>
          <t>RISK_HIGH · PROMO_EXTRAPOLATION</t>
        </is>
      </c>
      <c r="H523" s="19" t="n">
        <v>78.41779470443726</v>
      </c>
      <c r="I523" s="19" t="n">
        <v>240.8471875190735</v>
      </c>
      <c r="J523" s="19" t="n">
        <v>464.6566989421845</v>
      </c>
      <c r="K523" s="19" t="n">
        <v>240.8471875190735</v>
      </c>
      <c r="L523" s="19" t="n">
        <v>380.7281321585178</v>
      </c>
      <c r="M523" s="19" t="n">
        <v>464.6566989421845</v>
      </c>
      <c r="N523" s="17" t="inlineStr">
        <is>
          <t>B</t>
        </is>
      </c>
      <c r="O523" s="19" t="n">
        <v>188.050382143259</v>
      </c>
      <c r="P523" s="18" t="inlineStr">
        <is>
          <t>CÂN NHẮC THỬ NGHIỆM</t>
        </is>
      </c>
      <c r="Q523" s="17" t="inlineStr">
        <is>
          <t>Có</t>
        </is>
      </c>
      <c r="R523" s="20" t="n"/>
      <c r="S523" s="20" t="n"/>
      <c r="T523" s="21" t="n"/>
      <c r="U523" s="21" t="n"/>
      <c r="V523" s="22">
        <f>IF(U523="A",K523,IF(U523="B",L523,IF(U523="C",M523,IF(N523="A",K523,IF(N523="B",L523,M523)))))</f>
        <v/>
      </c>
      <c r="W523" s="22">
        <f>IF(R523="",O523,MAX(V523-R523-N(S523),0))</f>
        <v/>
      </c>
      <c r="X523" s="20" t="n"/>
      <c r="Y523" s="23">
        <f>IF(OR(X523="",W523=0),"",X523/W523-1)</f>
        <v/>
      </c>
      <c r="Z523" s="24" t="n"/>
      <c r="AA523" s="21" t="n"/>
      <c r="AB523" s="25" t="n"/>
      <c r="AC523" s="26">
        <f>IF(T523="","Chưa quyết định",IF(OR(Z523="",AA523=""),"⚠ Thiếu lý do/người duyệt",IF(AND(X523&lt;&gt;"",N(X523)+N(R523)+N(S523)&gt;M523*1.001,R523&lt;&gt;""),"⚠ Vượt mục tiêu P90",IF(AND(Y523&lt;&gt;"",ABS(N(Y523))&gt;0.3),"⚠ Lệch &gt; 30% so với nhu cầu",IF(Q523="Có","ℹ Kiểm tra ngoại suy KM","✓ Hợp lệ")))))</f>
        <v/>
      </c>
    </row>
    <row r="524">
      <c r="A524" s="16" t="n">
        <v>520</v>
      </c>
      <c r="B524" s="17" t="inlineStr">
        <is>
          <t>DEC-S27-SEAFOOD</t>
        </is>
      </c>
      <c r="C524" s="16" t="n">
        <v>27</v>
      </c>
      <c r="D524" s="17" t="inlineStr">
        <is>
          <t>SEAFOOD</t>
        </is>
      </c>
      <c r="E524" s="17" t="inlineStr">
        <is>
          <t>HIGH</t>
        </is>
      </c>
      <c r="F524" s="17" t="inlineStr">
        <is>
          <t>TRUNG BÌNH</t>
        </is>
      </c>
      <c r="G524" s="18" t="inlineStr">
        <is>
          <t>RISK_HIGH · PROMO_EXTRAPOLATION</t>
        </is>
      </c>
      <c r="H524" s="19" t="n">
        <v>62.92561721801758</v>
      </c>
      <c r="I524" s="19" t="n">
        <v>239.2895212173462</v>
      </c>
      <c r="J524" s="19" t="n">
        <v>491.8348350524902</v>
      </c>
      <c r="K524" s="19" t="n">
        <v>239.2895212173462</v>
      </c>
      <c r="L524" s="19" t="n">
        <v>397.1303423643112</v>
      </c>
      <c r="M524" s="19" t="n">
        <v>491.8348350524902</v>
      </c>
      <c r="N524" s="17" t="inlineStr">
        <is>
          <t>B</t>
        </is>
      </c>
      <c r="O524" s="19" t="n">
        <v>205.6987253904342</v>
      </c>
      <c r="P524" s="18" t="inlineStr">
        <is>
          <t>CÂN NHẮC THỬ NGHIỆM</t>
        </is>
      </c>
      <c r="Q524" s="17" t="inlineStr">
        <is>
          <t>Có</t>
        </is>
      </c>
      <c r="R524" s="20" t="n"/>
      <c r="S524" s="20" t="n"/>
      <c r="T524" s="21" t="n"/>
      <c r="U524" s="21" t="n"/>
      <c r="V524" s="22">
        <f>IF(U524="A",K524,IF(U524="B",L524,IF(U524="C",M524,IF(N524="A",K524,IF(N524="B",L524,M524)))))</f>
        <v/>
      </c>
      <c r="W524" s="22">
        <f>IF(R524="",O524,MAX(V524-R524-N(S524),0))</f>
        <v/>
      </c>
      <c r="X524" s="20" t="n"/>
      <c r="Y524" s="23">
        <f>IF(OR(X524="",W524=0),"",X524/W524-1)</f>
        <v/>
      </c>
      <c r="Z524" s="24" t="n"/>
      <c r="AA524" s="21" t="n"/>
      <c r="AB524" s="25" t="n"/>
      <c r="AC524" s="26">
        <f>IF(T524="","Chưa quyết định",IF(OR(Z524="",AA524=""),"⚠ Thiếu lý do/người duyệt",IF(AND(X524&lt;&gt;"",N(X524)+N(R524)+N(S524)&gt;M524*1.001,R524&lt;&gt;""),"⚠ Vượt mục tiêu P90",IF(AND(Y524&lt;&gt;"",ABS(N(Y524))&gt;0.3),"⚠ Lệch &gt; 30% so với nhu cầu",IF(Q524="Có","ℹ Kiểm tra ngoại suy KM","✓ Hợp lệ")))))</f>
        <v/>
      </c>
    </row>
    <row r="525">
      <c r="A525" s="16" t="n">
        <v>521</v>
      </c>
      <c r="B525" s="17" t="inlineStr">
        <is>
          <t>DEC-S48-LAWN_AND_GARDEN</t>
        </is>
      </c>
      <c r="C525" s="16" t="n">
        <v>48</v>
      </c>
      <c r="D525" s="17" t="inlineStr">
        <is>
          <t>LAWN AND GARDEN</t>
        </is>
      </c>
      <c r="E525" s="17" t="inlineStr">
        <is>
          <t>HIGH</t>
        </is>
      </c>
      <c r="F525" s="17" t="inlineStr">
        <is>
          <t>TRUNG BÌNH</t>
        </is>
      </c>
      <c r="G525" s="18" t="inlineStr">
        <is>
          <t>RISK_HIGH · PROMO_EXTRAPOLATION</t>
        </is>
      </c>
      <c r="H525" s="19" t="n">
        <v>80.40703248977661</v>
      </c>
      <c r="I525" s="19" t="n">
        <v>238.8701109886169</v>
      </c>
      <c r="J525" s="19" t="n">
        <v>460.5454249382019</v>
      </c>
      <c r="K525" s="19" t="n">
        <v>238.8701109886169</v>
      </c>
      <c r="L525" s="19" t="n">
        <v>377.4171822071075</v>
      </c>
      <c r="M525" s="19" t="n">
        <v>460.5454249382019</v>
      </c>
      <c r="N525" s="17" t="inlineStr">
        <is>
          <t>B</t>
        </is>
      </c>
      <c r="O525" s="19" t="n">
        <v>186.321093416214</v>
      </c>
      <c r="P525" s="18" t="inlineStr">
        <is>
          <t>CÂN NHẮC THỬ NGHIỆM</t>
        </is>
      </c>
      <c r="Q525" s="17" t="inlineStr">
        <is>
          <t>Có</t>
        </is>
      </c>
      <c r="R525" s="20" t="n"/>
      <c r="S525" s="20" t="n"/>
      <c r="T525" s="21" t="n"/>
      <c r="U525" s="21" t="n"/>
      <c r="V525" s="22">
        <f>IF(U525="A",K525,IF(U525="B",L525,IF(U525="C",M525,IF(N525="A",K525,IF(N525="B",L525,M525)))))</f>
        <v/>
      </c>
      <c r="W525" s="22">
        <f>IF(R525="",O525,MAX(V525-R525-N(S525),0))</f>
        <v/>
      </c>
      <c r="X525" s="20" t="n"/>
      <c r="Y525" s="23">
        <f>IF(OR(X525="",W525=0),"",X525/W525-1)</f>
        <v/>
      </c>
      <c r="Z525" s="24" t="n"/>
      <c r="AA525" s="21" t="n"/>
      <c r="AB525" s="25" t="n"/>
      <c r="AC525" s="26">
        <f>IF(T525="","Chưa quyết định",IF(OR(Z525="",AA525=""),"⚠ Thiếu lý do/người duyệt",IF(AND(X525&lt;&gt;"",N(X525)+N(R525)+N(S525)&gt;M525*1.001,R525&lt;&gt;""),"⚠ Vượt mục tiêu P90",IF(AND(Y525&lt;&gt;"",ABS(N(Y525))&gt;0.3),"⚠ Lệch &gt; 30% so với nhu cầu",IF(Q525="Có","ℹ Kiểm tra ngoại suy KM","✓ Hợp lệ")))))</f>
        <v/>
      </c>
    </row>
    <row r="526">
      <c r="A526" s="16" t="n">
        <v>522</v>
      </c>
      <c r="B526" s="17" t="inlineStr">
        <is>
          <t>DEC-S01-LAWN_AND_GARDEN</t>
        </is>
      </c>
      <c r="C526" s="16" t="n">
        <v>1</v>
      </c>
      <c r="D526" s="17" t="inlineStr">
        <is>
          <t>LAWN AND GARDEN</t>
        </is>
      </c>
      <c r="E526" s="17" t="inlineStr">
        <is>
          <t>HIGH</t>
        </is>
      </c>
      <c r="F526" s="17" t="inlineStr">
        <is>
          <t>TRUNG BÌNH</t>
        </is>
      </c>
      <c r="G526" s="18" t="inlineStr">
        <is>
          <t>RISK_HIGH · PROMO_EXTRAPOLATION</t>
        </is>
      </c>
      <c r="H526" s="19" t="n">
        <v>60.81247854232788</v>
      </c>
      <c r="I526" s="19" t="n">
        <v>238.5937504768372</v>
      </c>
      <c r="J526" s="19" t="n">
        <v>491.1390643119812</v>
      </c>
      <c r="K526" s="19" t="n">
        <v>238.5937504768372</v>
      </c>
      <c r="L526" s="19" t="n">
        <v>396.4345716238022</v>
      </c>
      <c r="M526" s="19" t="n">
        <v>491.1390643119812</v>
      </c>
      <c r="N526" s="17" t="inlineStr">
        <is>
          <t>B</t>
        </is>
      </c>
      <c r="O526" s="19" t="n">
        <v>205.5595712423325</v>
      </c>
      <c r="P526" s="18" t="inlineStr">
        <is>
          <t>CÂN NHẮC THỬ NGHIỆM</t>
        </is>
      </c>
      <c r="Q526" s="17" t="inlineStr">
        <is>
          <t>Có</t>
        </is>
      </c>
      <c r="R526" s="20" t="n"/>
      <c r="S526" s="20" t="n"/>
      <c r="T526" s="21" t="n"/>
      <c r="U526" s="21" t="n"/>
      <c r="V526" s="22">
        <f>IF(U526="A",K526,IF(U526="B",L526,IF(U526="C",M526,IF(N526="A",K526,IF(N526="B",L526,M526)))))</f>
        <v/>
      </c>
      <c r="W526" s="22">
        <f>IF(R526="",O526,MAX(V526-R526-N(S526),0))</f>
        <v/>
      </c>
      <c r="X526" s="20" t="n"/>
      <c r="Y526" s="23">
        <f>IF(OR(X526="",W526=0),"",X526/W526-1)</f>
        <v/>
      </c>
      <c r="Z526" s="24" t="n"/>
      <c r="AA526" s="21" t="n"/>
      <c r="AB526" s="25" t="n"/>
      <c r="AC526" s="26">
        <f>IF(T526="","Chưa quyết định",IF(OR(Z526="",AA526=""),"⚠ Thiếu lý do/người duyệt",IF(AND(X526&lt;&gt;"",N(X526)+N(R526)+N(S526)&gt;M526*1.001,R526&lt;&gt;""),"⚠ Vượt mục tiêu P90",IF(AND(Y526&lt;&gt;"",ABS(N(Y526))&gt;0.3),"⚠ Lệch &gt; 30% so với nhu cầu",IF(Q526="Có","ℹ Kiểm tra ngoại suy KM","✓ Hợp lệ")))))</f>
        <v/>
      </c>
    </row>
    <row r="527">
      <c r="A527" s="16" t="n">
        <v>523</v>
      </c>
      <c r="B527" s="17" t="inlineStr">
        <is>
          <t>DEC-S21-GROCERY_II</t>
        </is>
      </c>
      <c r="C527" s="16" t="n">
        <v>21</v>
      </c>
      <c r="D527" s="17" t="inlineStr">
        <is>
          <t>GROCERY II</t>
        </is>
      </c>
      <c r="E527" s="17" t="inlineStr">
        <is>
          <t>HIGH</t>
        </is>
      </c>
      <c r="F527" s="17" t="inlineStr">
        <is>
          <t>TRUNG BÌNH</t>
        </is>
      </c>
      <c r="G527" s="18" t="inlineStr">
        <is>
          <t>RISK_HIGH · PROMO_EXTRAPOLATION</t>
        </is>
      </c>
      <c r="H527" s="19" t="n">
        <v>54.37930679321289</v>
      </c>
      <c r="I527" s="19" t="n">
        <v>237.2667741775513</v>
      </c>
      <c r="J527" s="19" t="n">
        <v>507.9851026535034</v>
      </c>
      <c r="K527" s="19" t="n">
        <v>237.2667741775513</v>
      </c>
      <c r="L527" s="19" t="n">
        <v>406.4657294750214</v>
      </c>
      <c r="M527" s="19" t="n">
        <v>507.9851026535034</v>
      </c>
      <c r="N527" s="17" t="inlineStr">
        <is>
          <t>B</t>
        </is>
      </c>
      <c r="O527" s="19" t="n">
        <v>216.6523101329803</v>
      </c>
      <c r="P527" s="18" t="inlineStr">
        <is>
          <t>CÂN NHẮC THỬ NGHIỆM</t>
        </is>
      </c>
      <c r="Q527" s="17" t="inlineStr">
        <is>
          <t>Có</t>
        </is>
      </c>
      <c r="R527" s="20" t="n"/>
      <c r="S527" s="20" t="n"/>
      <c r="T527" s="21" t="n"/>
      <c r="U527" s="21" t="n"/>
      <c r="V527" s="22">
        <f>IF(U527="A",K527,IF(U527="B",L527,IF(U527="C",M527,IF(N527="A",K527,IF(N527="B",L527,M527)))))</f>
        <v/>
      </c>
      <c r="W527" s="22">
        <f>IF(R527="",O527,MAX(V527-R527-N(S527),0))</f>
        <v/>
      </c>
      <c r="X527" s="20" t="n"/>
      <c r="Y527" s="23">
        <f>IF(OR(X527="",W527=0),"",X527/W527-1)</f>
        <v/>
      </c>
      <c r="Z527" s="24" t="n"/>
      <c r="AA527" s="21" t="n"/>
      <c r="AB527" s="25" t="n"/>
      <c r="AC527" s="26">
        <f>IF(T527="","Chưa quyết định",IF(OR(Z527="",AA527=""),"⚠ Thiếu lý do/người duyệt",IF(AND(X527&lt;&gt;"",N(X527)+N(R527)+N(S527)&gt;M527*1.001,R527&lt;&gt;""),"⚠ Vượt mục tiêu P90",IF(AND(Y527&lt;&gt;"",ABS(N(Y527))&gt;0.3),"⚠ Lệch &gt; 30% so với nhu cầu",IF(Q527="Có","ℹ Kiểm tra ngoại suy KM","✓ Hợp lệ")))))</f>
        <v/>
      </c>
    </row>
    <row r="528">
      <c r="A528" s="16" t="n">
        <v>524</v>
      </c>
      <c r="B528" s="17" t="inlineStr">
        <is>
          <t>DEC-S39-LAWN_AND_GARDEN</t>
        </is>
      </c>
      <c r="C528" s="16" t="n">
        <v>39</v>
      </c>
      <c r="D528" s="17" t="inlineStr">
        <is>
          <t>LAWN AND GARDEN</t>
        </is>
      </c>
      <c r="E528" s="17" t="inlineStr">
        <is>
          <t>HIGH</t>
        </is>
      </c>
      <c r="F528" s="17" t="inlineStr">
        <is>
          <t>TRUNG BÌNH</t>
        </is>
      </c>
      <c r="G528" s="18" t="inlineStr">
        <is>
          <t>RISK_HIGH · PROMO_EXTRAPOLATION</t>
        </is>
      </c>
      <c r="H528" s="19" t="n">
        <v>65.21590137481689</v>
      </c>
      <c r="I528" s="19" t="n">
        <v>236.9709644317627</v>
      </c>
      <c r="J528" s="19" t="n">
        <v>479.5170993804932</v>
      </c>
      <c r="K528" s="19" t="n">
        <v>236.9709644317627</v>
      </c>
      <c r="L528" s="19" t="n">
        <v>388.5622987747192</v>
      </c>
      <c r="M528" s="19" t="n">
        <v>479.5170993804932</v>
      </c>
      <c r="N528" s="17" t="inlineStr">
        <is>
          <t>B</t>
        </is>
      </c>
      <c r="O528" s="19" t="n">
        <v>198.9855272293091</v>
      </c>
      <c r="P528" s="18" t="inlineStr">
        <is>
          <t>CÂN NHẮC THỬ NGHIỆM</t>
        </is>
      </c>
      <c r="Q528" s="17" t="inlineStr">
        <is>
          <t>Có</t>
        </is>
      </c>
      <c r="R528" s="20" t="n"/>
      <c r="S528" s="20" t="n"/>
      <c r="T528" s="21" t="n"/>
      <c r="U528" s="21" t="n"/>
      <c r="V528" s="22">
        <f>IF(U528="A",K528,IF(U528="B",L528,IF(U528="C",M528,IF(N528="A",K528,IF(N528="B",L528,M528)))))</f>
        <v/>
      </c>
      <c r="W528" s="22">
        <f>IF(R528="",O528,MAX(V528-R528-N(S528),0))</f>
        <v/>
      </c>
      <c r="X528" s="20" t="n"/>
      <c r="Y528" s="23">
        <f>IF(OR(X528="",W528=0),"",X528/W528-1)</f>
        <v/>
      </c>
      <c r="Z528" s="24" t="n"/>
      <c r="AA528" s="21" t="n"/>
      <c r="AB528" s="25" t="n"/>
      <c r="AC528" s="26">
        <f>IF(T528="","Chưa quyết định",IF(OR(Z528="",AA528=""),"⚠ Thiếu lý do/người duyệt",IF(AND(X528&lt;&gt;"",N(X528)+N(R528)+N(S528)&gt;M528*1.001,R528&lt;&gt;""),"⚠ Vượt mục tiêu P90",IF(AND(Y528&lt;&gt;"",ABS(N(Y528))&gt;0.3),"⚠ Lệch &gt; 30% so với nhu cầu",IF(Q528="Có","ℹ Kiểm tra ngoại suy KM","✓ Hợp lệ")))))</f>
        <v/>
      </c>
    </row>
    <row r="529">
      <c r="A529" s="16" t="n">
        <v>525</v>
      </c>
      <c r="B529" s="17" t="inlineStr">
        <is>
          <t>DEC-S39-SEAFOOD</t>
        </is>
      </c>
      <c r="C529" s="16" t="n">
        <v>39</v>
      </c>
      <c r="D529" s="17" t="inlineStr">
        <is>
          <t>SEAFOOD</t>
        </is>
      </c>
      <c r="E529" s="17" t="inlineStr">
        <is>
          <t>HIGH</t>
        </is>
      </c>
      <c r="F529" s="17" t="inlineStr">
        <is>
          <t>TRUNG BÌNH</t>
        </is>
      </c>
      <c r="G529" s="18" t="inlineStr">
        <is>
          <t>RISK_HIGH · PROMO_EXTRAPOLATION</t>
        </is>
      </c>
      <c r="H529" s="19" t="n">
        <v>64.40344524383545</v>
      </c>
      <c r="I529" s="19" t="n">
        <v>236.0309181213379</v>
      </c>
      <c r="J529" s="19" t="n">
        <v>478.5770530700684</v>
      </c>
      <c r="K529" s="19" t="n">
        <v>236.0309181213379</v>
      </c>
      <c r="L529" s="19" t="n">
        <v>387.6222524642944</v>
      </c>
      <c r="M529" s="19" t="n">
        <v>478.5770530700684</v>
      </c>
      <c r="N529" s="17" t="inlineStr">
        <is>
          <t>B</t>
        </is>
      </c>
      <c r="O529" s="19" t="n">
        <v>198.7975179672241</v>
      </c>
      <c r="P529" s="18" t="inlineStr">
        <is>
          <t>CÂN NHẮC THỬ NGHIỆM</t>
        </is>
      </c>
      <c r="Q529" s="17" t="inlineStr">
        <is>
          <t>Có</t>
        </is>
      </c>
      <c r="R529" s="20" t="n"/>
      <c r="S529" s="20" t="n"/>
      <c r="T529" s="21" t="n"/>
      <c r="U529" s="21" t="n"/>
      <c r="V529" s="22">
        <f>IF(U529="A",K529,IF(U529="B",L529,IF(U529="C",M529,IF(N529="A",K529,IF(N529="B",L529,M529)))))</f>
        <v/>
      </c>
      <c r="W529" s="22">
        <f>IF(R529="",O529,MAX(V529-R529-N(S529),0))</f>
        <v/>
      </c>
      <c r="X529" s="20" t="n"/>
      <c r="Y529" s="23">
        <f>IF(OR(X529="",W529=0),"",X529/W529-1)</f>
        <v/>
      </c>
      <c r="Z529" s="24" t="n"/>
      <c r="AA529" s="21" t="n"/>
      <c r="AB529" s="25" t="n"/>
      <c r="AC529" s="26">
        <f>IF(T529="","Chưa quyết định",IF(OR(Z529="",AA529=""),"⚠ Thiếu lý do/người duyệt",IF(AND(X529&lt;&gt;"",N(X529)+N(R529)+N(S529)&gt;M529*1.001,R529&lt;&gt;""),"⚠ Vượt mục tiêu P90",IF(AND(Y529&lt;&gt;"",ABS(N(Y529))&gt;0.3),"⚠ Lệch &gt; 30% so với nhu cầu",IF(Q529="Có","ℹ Kiểm tra ngoại suy KM","✓ Hợp lệ")))))</f>
        <v/>
      </c>
    </row>
    <row r="530">
      <c r="A530" s="16" t="n">
        <v>526</v>
      </c>
      <c r="B530" s="17" t="inlineStr">
        <is>
          <t>DEC-S43-HOME_AND_KITCHEN_II</t>
        </is>
      </c>
      <c r="C530" s="16" t="n">
        <v>43</v>
      </c>
      <c r="D530" s="17" t="inlineStr">
        <is>
          <t>HOME AND KITCHEN II</t>
        </is>
      </c>
      <c r="E530" s="17" t="inlineStr">
        <is>
          <t>HIGH</t>
        </is>
      </c>
      <c r="F530" s="17" t="inlineStr">
        <is>
          <t>TRUNG BÌNH</t>
        </is>
      </c>
      <c r="G530" s="18" t="inlineStr">
        <is>
          <t>RISK_HIGH · PROMO_EXTRAPOLATION</t>
        </is>
      </c>
      <c r="H530" s="19" t="n">
        <v>64.74311256408691</v>
      </c>
      <c r="I530" s="19" t="n">
        <v>235.2648220062256</v>
      </c>
      <c r="J530" s="19" t="n">
        <v>477.8109569549561</v>
      </c>
      <c r="K530" s="19" t="n">
        <v>235.2648220062256</v>
      </c>
      <c r="L530" s="19" t="n">
        <v>386.8561563491821</v>
      </c>
      <c r="M530" s="19" t="n">
        <v>477.8109569549561</v>
      </c>
      <c r="N530" s="17" t="inlineStr">
        <is>
          <t>B</t>
        </is>
      </c>
      <c r="O530" s="19" t="n">
        <v>198.6442987442016</v>
      </c>
      <c r="P530" s="18" t="inlineStr">
        <is>
          <t>CÂN NHẮC THỬ NGHIỆM</t>
        </is>
      </c>
      <c r="Q530" s="17" t="inlineStr">
        <is>
          <t>Có</t>
        </is>
      </c>
      <c r="R530" s="20" t="n"/>
      <c r="S530" s="20" t="n"/>
      <c r="T530" s="21" t="n"/>
      <c r="U530" s="21" t="n"/>
      <c r="V530" s="22">
        <f>IF(U530="A",K530,IF(U530="B",L530,IF(U530="C",M530,IF(N530="A",K530,IF(N530="B",L530,M530)))))</f>
        <v/>
      </c>
      <c r="W530" s="22">
        <f>IF(R530="",O530,MAX(V530-R530-N(S530),0))</f>
        <v/>
      </c>
      <c r="X530" s="20" t="n"/>
      <c r="Y530" s="23">
        <f>IF(OR(X530="",W530=0),"",X530/W530-1)</f>
        <v/>
      </c>
      <c r="Z530" s="24" t="n"/>
      <c r="AA530" s="21" t="n"/>
      <c r="AB530" s="25" t="n"/>
      <c r="AC530" s="26">
        <f>IF(T530="","Chưa quyết định",IF(OR(Z530="",AA530=""),"⚠ Thiếu lý do/người duyệt",IF(AND(X530&lt;&gt;"",N(X530)+N(R530)+N(S530)&gt;M530*1.001,R530&lt;&gt;""),"⚠ Vượt mục tiêu P90",IF(AND(Y530&lt;&gt;"",ABS(N(Y530))&gt;0.3),"⚠ Lệch &gt; 30% so với nhu cầu",IF(Q530="Có","ℹ Kiểm tra ngoại suy KM","✓ Hợp lệ")))))</f>
        <v/>
      </c>
    </row>
    <row r="531">
      <c r="A531" s="16" t="n">
        <v>527</v>
      </c>
      <c r="B531" s="17" t="inlineStr">
        <is>
          <t>DEC-S01-CELEBRATION</t>
        </is>
      </c>
      <c r="C531" s="16" t="n">
        <v>1</v>
      </c>
      <c r="D531" s="17" t="inlineStr">
        <is>
          <t>CELEBRATION</t>
        </is>
      </c>
      <c r="E531" s="17" t="inlineStr">
        <is>
          <t>HIGH</t>
        </is>
      </c>
      <c r="F531" s="17" t="inlineStr">
        <is>
          <t>TRUNG BÌNH</t>
        </is>
      </c>
      <c r="G531" s="18" t="inlineStr">
        <is>
          <t>RISK_HIGH · PROMO_EXTRAPOLATION</t>
        </is>
      </c>
      <c r="H531" s="19" t="n">
        <v>50.37754917144776</v>
      </c>
      <c r="I531" s="19" t="n">
        <v>234.6995668411255</v>
      </c>
      <c r="J531" s="19" t="n">
        <v>493.593373298645</v>
      </c>
      <c r="K531" s="19" t="n">
        <v>234.6995668411255</v>
      </c>
      <c r="L531" s="19" t="n">
        <v>396.5081958770752</v>
      </c>
      <c r="M531" s="19" t="n">
        <v>493.593373298645</v>
      </c>
      <c r="N531" s="17" t="inlineStr">
        <is>
          <t>B</t>
        </is>
      </c>
      <c r="O531" s="19" t="n">
        <v>208.7485424041748</v>
      </c>
      <c r="P531" s="18" t="inlineStr">
        <is>
          <t>CÂN NHẮC THỬ NGHIỆM</t>
        </is>
      </c>
      <c r="Q531" s="17" t="inlineStr">
        <is>
          <t>Có</t>
        </is>
      </c>
      <c r="R531" s="20" t="n"/>
      <c r="S531" s="20" t="n"/>
      <c r="T531" s="21" t="n"/>
      <c r="U531" s="21" t="n"/>
      <c r="V531" s="22">
        <f>IF(U531="A",K531,IF(U531="B",L531,IF(U531="C",M531,IF(N531="A",K531,IF(N531="B",L531,M531)))))</f>
        <v/>
      </c>
      <c r="W531" s="22">
        <f>IF(R531="",O531,MAX(V531-R531-N(S531),0))</f>
        <v/>
      </c>
      <c r="X531" s="20" t="n"/>
      <c r="Y531" s="23">
        <f>IF(OR(X531="",W531=0),"",X531/W531-1)</f>
        <v/>
      </c>
      <c r="Z531" s="24" t="n"/>
      <c r="AA531" s="21" t="n"/>
      <c r="AB531" s="25" t="n"/>
      <c r="AC531" s="26">
        <f>IF(T531="","Chưa quyết định",IF(OR(Z531="",AA531=""),"⚠ Thiếu lý do/người duyệt",IF(AND(X531&lt;&gt;"",N(X531)+N(R531)+N(S531)&gt;M531*1.001,R531&lt;&gt;""),"⚠ Vượt mục tiêu P90",IF(AND(Y531&lt;&gt;"",ABS(N(Y531))&gt;0.3),"⚠ Lệch &gt; 30% so với nhu cầu",IF(Q531="Có","ℹ Kiểm tra ngoại suy KM","✓ Hợp lệ")))))</f>
        <v/>
      </c>
    </row>
    <row r="532">
      <c r="A532" s="16" t="n">
        <v>528</v>
      </c>
      <c r="B532" s="17" t="inlineStr">
        <is>
          <t>DEC-S13-HOME_AND_KITCHEN_I</t>
        </is>
      </c>
      <c r="C532" s="16" t="n">
        <v>13</v>
      </c>
      <c r="D532" s="17" t="inlineStr">
        <is>
          <t>HOME AND KITCHEN I</t>
        </is>
      </c>
      <c r="E532" s="17" t="inlineStr">
        <is>
          <t>HIGH</t>
        </is>
      </c>
      <c r="F532" s="17" t="inlineStr">
        <is>
          <t>TRUNG BÌNH</t>
        </is>
      </c>
      <c r="G532" s="18" t="inlineStr">
        <is>
          <t>RISK_HIGH · PROMO_EXTRAPOLATION</t>
        </is>
      </c>
      <c r="H532" s="19" t="n">
        <v>73.16678905487061</v>
      </c>
      <c r="I532" s="19" t="n">
        <v>234.6549415588379</v>
      </c>
      <c r="J532" s="19" t="n">
        <v>454.5049123764038</v>
      </c>
      <c r="K532" s="19" t="n">
        <v>234.6549415588379</v>
      </c>
      <c r="L532" s="19" t="n">
        <v>372.0611733198166</v>
      </c>
      <c r="M532" s="19" t="n">
        <v>454.5049123764038</v>
      </c>
      <c r="N532" s="17" t="inlineStr">
        <is>
          <t>B</t>
        </is>
      </c>
      <c r="O532" s="19" t="n">
        <v>184.3372200727463</v>
      </c>
      <c r="P532" s="18" t="inlineStr">
        <is>
          <t>CÂN NHẮC THỬ NGHIỆM</t>
        </is>
      </c>
      <c r="Q532" s="17" t="inlineStr">
        <is>
          <t>Có</t>
        </is>
      </c>
      <c r="R532" s="20" t="n"/>
      <c r="S532" s="20" t="n"/>
      <c r="T532" s="21" t="n"/>
      <c r="U532" s="21" t="n"/>
      <c r="V532" s="22">
        <f>IF(U532="A",K532,IF(U532="B",L532,IF(U532="C",M532,IF(N532="A",K532,IF(N532="B",L532,M532)))))</f>
        <v/>
      </c>
      <c r="W532" s="22">
        <f>IF(R532="",O532,MAX(V532-R532-N(S532),0))</f>
        <v/>
      </c>
      <c r="X532" s="20" t="n"/>
      <c r="Y532" s="23">
        <f>IF(OR(X532="",W532=0),"",X532/W532-1)</f>
        <v/>
      </c>
      <c r="Z532" s="24" t="n"/>
      <c r="AA532" s="21" t="n"/>
      <c r="AB532" s="25" t="n"/>
      <c r="AC532" s="26">
        <f>IF(T532="","Chưa quyết định",IF(OR(Z532="",AA532=""),"⚠ Thiếu lý do/người duyệt",IF(AND(X532&lt;&gt;"",N(X532)+N(R532)+N(S532)&gt;M532*1.001,R532&lt;&gt;""),"⚠ Vượt mục tiêu P90",IF(AND(Y532&lt;&gt;"",ABS(N(Y532))&gt;0.3),"⚠ Lệch &gt; 30% so với nhu cầu",IF(Q532="Có","ℹ Kiểm tra ngoại suy KM","✓ Hợp lệ")))))</f>
        <v/>
      </c>
    </row>
    <row r="533">
      <c r="A533" s="16" t="n">
        <v>529</v>
      </c>
      <c r="B533" s="17" t="inlineStr">
        <is>
          <t>DEC-S49-PET_SUPPLIES</t>
        </is>
      </c>
      <c r="C533" s="16" t="n">
        <v>49</v>
      </c>
      <c r="D533" s="17" t="inlineStr">
        <is>
          <t>PET SUPPLIES</t>
        </is>
      </c>
      <c r="E533" s="17" t="inlineStr">
        <is>
          <t>HIGH</t>
        </is>
      </c>
      <c r="F533" s="17" t="inlineStr">
        <is>
          <t>TRUNG BÌNH</t>
        </is>
      </c>
      <c r="G533" s="18" t="inlineStr">
        <is>
          <t>RISK_HIGH · PROMO_EXTRAPOLATION</t>
        </is>
      </c>
      <c r="H533" s="19" t="n">
        <v>43.00706195831299</v>
      </c>
      <c r="I533" s="19" t="n">
        <v>234.6192779541016</v>
      </c>
      <c r="J533" s="19" t="n">
        <v>501.6869201660156</v>
      </c>
      <c r="K533" s="19" t="n">
        <v>234.6192779541016</v>
      </c>
      <c r="L533" s="19" t="n">
        <v>401.5365543365479</v>
      </c>
      <c r="M533" s="19" t="n">
        <v>501.6869201660156</v>
      </c>
      <c r="N533" s="17" t="inlineStr">
        <is>
          <t>B</t>
        </is>
      </c>
      <c r="O533" s="19" t="n">
        <v>213.8411319732666</v>
      </c>
      <c r="P533" s="18" t="inlineStr">
        <is>
          <t>CÂN NHẮC THỬ NGHIỆM</t>
        </is>
      </c>
      <c r="Q533" s="17" t="inlineStr">
        <is>
          <t>Có</t>
        </is>
      </c>
      <c r="R533" s="20" t="n"/>
      <c r="S533" s="20" t="n"/>
      <c r="T533" s="21" t="n"/>
      <c r="U533" s="21" t="n"/>
      <c r="V533" s="22">
        <f>IF(U533="A",K533,IF(U533="B",L533,IF(U533="C",M533,IF(N533="A",K533,IF(N533="B",L533,M533)))))</f>
        <v/>
      </c>
      <c r="W533" s="22">
        <f>IF(R533="",O533,MAX(V533-R533-N(S533),0))</f>
        <v/>
      </c>
      <c r="X533" s="20" t="n"/>
      <c r="Y533" s="23">
        <f>IF(OR(X533="",W533=0),"",X533/W533-1)</f>
        <v/>
      </c>
      <c r="Z533" s="24" t="n"/>
      <c r="AA533" s="21" t="n"/>
      <c r="AB533" s="25" t="n"/>
      <c r="AC533" s="26">
        <f>IF(T533="","Chưa quyết định",IF(OR(Z533="",AA533=""),"⚠ Thiếu lý do/người duyệt",IF(AND(X533&lt;&gt;"",N(X533)+N(R533)+N(S533)&gt;M533*1.001,R533&lt;&gt;""),"⚠ Vượt mục tiêu P90",IF(AND(Y533&lt;&gt;"",ABS(N(Y533))&gt;0.3),"⚠ Lệch &gt; 30% so với nhu cầu",IF(Q533="Có","ℹ Kiểm tra ngoại suy KM","✓ Hợp lệ")))))</f>
        <v/>
      </c>
    </row>
    <row r="534">
      <c r="A534" s="16" t="n">
        <v>530</v>
      </c>
      <c r="B534" s="17" t="inlineStr">
        <is>
          <t>DEC-S09-GROCERY_II</t>
        </is>
      </c>
      <c r="C534" s="16" t="n">
        <v>9</v>
      </c>
      <c r="D534" s="17" t="inlineStr">
        <is>
          <t>GROCERY II</t>
        </is>
      </c>
      <c r="E534" s="17" t="inlineStr">
        <is>
          <t>HIGH</t>
        </is>
      </c>
      <c r="F534" s="17" t="inlineStr">
        <is>
          <t>TRUNG BÌNH</t>
        </is>
      </c>
      <c r="G534" s="18" t="inlineStr">
        <is>
          <t>RISK_HIGH · PROMO_EXTRAPOLATION</t>
        </is>
      </c>
      <c r="H534" s="19" t="n">
        <v>104.382908821106</v>
      </c>
      <c r="I534" s="19" t="n">
        <v>234.4489917755127</v>
      </c>
      <c r="J534" s="19" t="n">
        <v>419.7782764434815</v>
      </c>
      <c r="K534" s="19" t="n">
        <v>234.4489917755127</v>
      </c>
      <c r="L534" s="19" t="n">
        <v>350.2797946929932</v>
      </c>
      <c r="M534" s="19" t="n">
        <v>419.7782764434815</v>
      </c>
      <c r="N534" s="17" t="inlineStr">
        <is>
          <t>B</t>
        </is>
      </c>
      <c r="O534" s="19" t="n">
        <v>162.720601272583</v>
      </c>
      <c r="P534" s="18" t="inlineStr">
        <is>
          <t>CÂN NHẮC THỬ NGHIỆM</t>
        </is>
      </c>
      <c r="Q534" s="17" t="inlineStr">
        <is>
          <t>Có</t>
        </is>
      </c>
      <c r="R534" s="20" t="n"/>
      <c r="S534" s="20" t="n"/>
      <c r="T534" s="21" t="n"/>
      <c r="U534" s="21" t="n"/>
      <c r="V534" s="22">
        <f>IF(U534="A",K534,IF(U534="B",L534,IF(U534="C",M534,IF(N534="A",K534,IF(N534="B",L534,M534)))))</f>
        <v/>
      </c>
      <c r="W534" s="22">
        <f>IF(R534="",O534,MAX(V534-R534-N(S534),0))</f>
        <v/>
      </c>
      <c r="X534" s="20" t="n"/>
      <c r="Y534" s="23">
        <f>IF(OR(X534="",W534=0),"",X534/W534-1)</f>
        <v/>
      </c>
      <c r="Z534" s="24" t="n"/>
      <c r="AA534" s="21" t="n"/>
      <c r="AB534" s="25" t="n"/>
      <c r="AC534" s="26">
        <f>IF(T534="","Chưa quyết định",IF(OR(Z534="",AA534=""),"⚠ Thiếu lý do/người duyệt",IF(AND(X534&lt;&gt;"",N(X534)+N(R534)+N(S534)&gt;M534*1.001,R534&lt;&gt;""),"⚠ Vượt mục tiêu P90",IF(AND(Y534&lt;&gt;"",ABS(N(Y534))&gt;0.3),"⚠ Lệch &gt; 30% so với nhu cầu",IF(Q534="Có","ℹ Kiểm tra ngoại suy KM","✓ Hợp lệ")))))</f>
        <v/>
      </c>
    </row>
    <row r="535">
      <c r="A535" s="16" t="n">
        <v>531</v>
      </c>
      <c r="B535" s="17" t="inlineStr">
        <is>
          <t>DEC-S08-PLAYERS_AND_ELECTRONICS</t>
        </is>
      </c>
      <c r="C535" s="16" t="n">
        <v>8</v>
      </c>
      <c r="D535" s="17" t="inlineStr">
        <is>
          <t>PLAYERS AND ELECTRONICS</t>
        </is>
      </c>
      <c r="E535" s="17" t="inlineStr">
        <is>
          <t>HIGH</t>
        </is>
      </c>
      <c r="F535" s="17" t="inlineStr">
        <is>
          <t>TRUNG BÌNH</t>
        </is>
      </c>
      <c r="G535" s="18" t="inlineStr">
        <is>
          <t>RISK_HIGH · PROMO_EXTRAPOLATION</t>
        </is>
      </c>
      <c r="H535" s="19" t="n">
        <v>39.42588710784912</v>
      </c>
      <c r="I535" s="19" t="n">
        <v>233.2069292068481</v>
      </c>
      <c r="J535" s="19" t="n">
        <v>500.2745714187622</v>
      </c>
      <c r="K535" s="19" t="n">
        <v>233.2069292068481</v>
      </c>
      <c r="L535" s="19" t="n">
        <v>400.1242055892944</v>
      </c>
      <c r="M535" s="19" t="n">
        <v>500.2745714187622</v>
      </c>
      <c r="N535" s="17" t="inlineStr">
        <is>
          <t>B</t>
        </is>
      </c>
      <c r="O535" s="19" t="n">
        <v>213.5586622238159</v>
      </c>
      <c r="P535" s="18" t="inlineStr">
        <is>
          <t>CÂN NHẮC THỬ NGHIỆM</t>
        </is>
      </c>
      <c r="Q535" s="17" t="inlineStr">
        <is>
          <t>Có</t>
        </is>
      </c>
      <c r="R535" s="20" t="n"/>
      <c r="S535" s="20" t="n"/>
      <c r="T535" s="21" t="n"/>
      <c r="U535" s="21" t="n"/>
      <c r="V535" s="22">
        <f>IF(U535="A",K535,IF(U535="B",L535,IF(U535="C",M535,IF(N535="A",K535,IF(N535="B",L535,M535)))))</f>
        <v/>
      </c>
      <c r="W535" s="22">
        <f>IF(R535="",O535,MAX(V535-R535-N(S535),0))</f>
        <v/>
      </c>
      <c r="X535" s="20" t="n"/>
      <c r="Y535" s="23">
        <f>IF(OR(X535="",W535=0),"",X535/W535-1)</f>
        <v/>
      </c>
      <c r="Z535" s="24" t="n"/>
      <c r="AA535" s="21" t="n"/>
      <c r="AB535" s="25" t="n"/>
      <c r="AC535" s="26">
        <f>IF(T535="","Chưa quyết định",IF(OR(Z535="",AA535=""),"⚠ Thiếu lý do/người duyệt",IF(AND(X535&lt;&gt;"",N(X535)+N(R535)+N(S535)&gt;M535*1.001,R535&lt;&gt;""),"⚠ Vượt mục tiêu P90",IF(AND(Y535&lt;&gt;"",ABS(N(Y535))&gt;0.3),"⚠ Lệch &gt; 30% so với nhu cầu",IF(Q535="Có","ℹ Kiểm tra ngoại suy KM","✓ Hợp lệ")))))</f>
        <v/>
      </c>
    </row>
    <row r="536">
      <c r="A536" s="16" t="n">
        <v>532</v>
      </c>
      <c r="B536" s="17" t="inlineStr">
        <is>
          <t>DEC-S17-GROCERY_II</t>
        </is>
      </c>
      <c r="C536" s="16" t="n">
        <v>17</v>
      </c>
      <c r="D536" s="17" t="inlineStr">
        <is>
          <t>GROCERY II</t>
        </is>
      </c>
      <c r="E536" s="17" t="inlineStr">
        <is>
          <t>HIGH</t>
        </is>
      </c>
      <c r="F536" s="17" t="inlineStr">
        <is>
          <t>TRUNG BÌNH</t>
        </is>
      </c>
      <c r="G536" s="18" t="inlineStr">
        <is>
          <t>RISK_HIGH · PROMO_EXTRAPOLATION</t>
        </is>
      </c>
      <c r="H536" s="19" t="n">
        <v>79.68821430206299</v>
      </c>
      <c r="I536" s="19" t="n">
        <v>230.4617671966553</v>
      </c>
      <c r="J536" s="19" t="n">
        <v>442.1379022598267</v>
      </c>
      <c r="K536" s="19" t="n">
        <v>230.4617671966553</v>
      </c>
      <c r="L536" s="19" t="n">
        <v>362.7593516111374</v>
      </c>
      <c r="M536" s="19" t="n">
        <v>442.1379022598267</v>
      </c>
      <c r="N536" s="17" t="inlineStr">
        <is>
          <t>B</t>
        </is>
      </c>
      <c r="O536" s="19" t="n">
        <v>178.3899378538131</v>
      </c>
      <c r="P536" s="18" t="inlineStr">
        <is>
          <t>CÂN NHẮC THỬ NGHIỆM</t>
        </is>
      </c>
      <c r="Q536" s="17" t="inlineStr">
        <is>
          <t>Có</t>
        </is>
      </c>
      <c r="R536" s="20" t="n"/>
      <c r="S536" s="20" t="n"/>
      <c r="T536" s="21" t="n"/>
      <c r="U536" s="21" t="n"/>
      <c r="V536" s="22">
        <f>IF(U536="A",K536,IF(U536="B",L536,IF(U536="C",M536,IF(N536="A",K536,IF(N536="B",L536,M536)))))</f>
        <v/>
      </c>
      <c r="W536" s="22">
        <f>IF(R536="",O536,MAX(V536-R536-N(S536),0))</f>
        <v/>
      </c>
      <c r="X536" s="20" t="n"/>
      <c r="Y536" s="23">
        <f>IF(OR(X536="",W536=0),"",X536/W536-1)</f>
        <v/>
      </c>
      <c r="Z536" s="24" t="n"/>
      <c r="AA536" s="21" t="n"/>
      <c r="AB536" s="25" t="n"/>
      <c r="AC536" s="26">
        <f>IF(T536="","Chưa quyết định",IF(OR(Z536="",AA536=""),"⚠ Thiếu lý do/người duyệt",IF(AND(X536&lt;&gt;"",N(X536)+N(R536)+N(S536)&gt;M536*1.001,R536&lt;&gt;""),"⚠ Vượt mục tiêu P90",IF(AND(Y536&lt;&gt;"",ABS(N(Y536))&gt;0.3),"⚠ Lệch &gt; 30% so với nhu cầu",IF(Q536="Có","ℹ Kiểm tra ngoại suy KM","✓ Hợp lệ")))))</f>
        <v/>
      </c>
    </row>
    <row r="537">
      <c r="A537" s="16" t="n">
        <v>533</v>
      </c>
      <c r="B537" s="17" t="inlineStr">
        <is>
          <t>DEC-S25-BEAUTY</t>
        </is>
      </c>
      <c r="C537" s="16" t="n">
        <v>25</v>
      </c>
      <c r="D537" s="17" t="inlineStr">
        <is>
          <t>BEAUTY</t>
        </is>
      </c>
      <c r="E537" s="17" t="inlineStr">
        <is>
          <t>HIGH</t>
        </is>
      </c>
      <c r="F537" s="17" t="inlineStr">
        <is>
          <t>TRUNG BÌNH</t>
        </is>
      </c>
      <c r="G537" s="18" t="inlineStr">
        <is>
          <t>RISK_HIGH · PROMO_EXTRAPOLATION</t>
        </is>
      </c>
      <c r="H537" s="19" t="n">
        <v>98.73937511444092</v>
      </c>
      <c r="I537" s="19" t="n">
        <v>230.4030171632767</v>
      </c>
      <c r="J537" s="19" t="n">
        <v>416.7392815351486</v>
      </c>
      <c r="K537" s="19" t="n">
        <v>230.4030171632767</v>
      </c>
      <c r="L537" s="19" t="n">
        <v>346.8631823956966</v>
      </c>
      <c r="M537" s="19" t="n">
        <v>416.7392815351486</v>
      </c>
      <c r="N537" s="17" t="inlineStr">
        <is>
          <t>B</t>
        </is>
      </c>
      <c r="O537" s="19" t="n">
        <v>162.5407686650753</v>
      </c>
      <c r="P537" s="18" t="inlineStr">
        <is>
          <t>CÂN NHẮC THỬ NGHIỆM</t>
        </is>
      </c>
      <c r="Q537" s="17" t="inlineStr">
        <is>
          <t>Có</t>
        </is>
      </c>
      <c r="R537" s="20" t="n"/>
      <c r="S537" s="20" t="n"/>
      <c r="T537" s="21" t="n"/>
      <c r="U537" s="21" t="n"/>
      <c r="V537" s="22">
        <f>IF(U537="A",K537,IF(U537="B",L537,IF(U537="C",M537,IF(N537="A",K537,IF(N537="B",L537,M537)))))</f>
        <v/>
      </c>
      <c r="W537" s="22">
        <f>IF(R537="",O537,MAX(V537-R537-N(S537),0))</f>
        <v/>
      </c>
      <c r="X537" s="20" t="n"/>
      <c r="Y537" s="23">
        <f>IF(OR(X537="",W537=0),"",X537/W537-1)</f>
        <v/>
      </c>
      <c r="Z537" s="24" t="n"/>
      <c r="AA537" s="21" t="n"/>
      <c r="AB537" s="25" t="n"/>
      <c r="AC537" s="26">
        <f>IF(T537="","Chưa quyết định",IF(OR(Z537="",AA537=""),"⚠ Thiếu lý do/người duyệt",IF(AND(X537&lt;&gt;"",N(X537)+N(R537)+N(S537)&gt;M537*1.001,R537&lt;&gt;""),"⚠ Vượt mục tiêu P90",IF(AND(Y537&lt;&gt;"",ABS(N(Y537))&gt;0.3),"⚠ Lệch &gt; 30% so với nhu cầu",IF(Q537="Có","ℹ Kiểm tra ngoại suy KM","✓ Hợp lệ")))))</f>
        <v/>
      </c>
    </row>
    <row r="538">
      <c r="A538" s="16" t="n">
        <v>534</v>
      </c>
      <c r="B538" s="17" t="inlineStr">
        <is>
          <t>DEC-S37-BEAUTY</t>
        </is>
      </c>
      <c r="C538" s="16" t="n">
        <v>37</v>
      </c>
      <c r="D538" s="17" t="inlineStr">
        <is>
          <t>BEAUTY</t>
        </is>
      </c>
      <c r="E538" s="17" t="inlineStr">
        <is>
          <t>HIGH</t>
        </is>
      </c>
      <c r="F538" s="17" t="inlineStr">
        <is>
          <t>TRUNG BÌNH</t>
        </is>
      </c>
      <c r="G538" s="18" t="inlineStr">
        <is>
          <t>RISK_HIGH · PROMO_EXTRAPOLATION</t>
        </is>
      </c>
      <c r="H538" s="19" t="n">
        <v>46.9913501739502</v>
      </c>
      <c r="I538" s="19" t="n">
        <v>229.7922458648682</v>
      </c>
      <c r="J538" s="19" t="n">
        <v>480.5122165679932</v>
      </c>
      <c r="K538" s="19" t="n">
        <v>229.7922458648682</v>
      </c>
      <c r="L538" s="19" t="n">
        <v>386.4922275543213</v>
      </c>
      <c r="M538" s="19" t="n">
        <v>480.5122165679932</v>
      </c>
      <c r="N538" s="17" t="inlineStr">
        <is>
          <t>B</t>
        </is>
      </c>
      <c r="O538" s="19" t="n">
        <v>202.6584308624268</v>
      </c>
      <c r="P538" s="18" t="inlineStr">
        <is>
          <t>CÂN NHẮC THỬ NGHIỆM</t>
        </is>
      </c>
      <c r="Q538" s="17" t="inlineStr">
        <is>
          <t>Có</t>
        </is>
      </c>
      <c r="R538" s="20" t="n"/>
      <c r="S538" s="20" t="n"/>
      <c r="T538" s="21" t="n"/>
      <c r="U538" s="21" t="n"/>
      <c r="V538" s="22">
        <f>IF(U538="A",K538,IF(U538="B",L538,IF(U538="C",M538,IF(N538="A",K538,IF(N538="B",L538,M538)))))</f>
        <v/>
      </c>
      <c r="W538" s="22">
        <f>IF(R538="",O538,MAX(V538-R538-N(S538),0))</f>
        <v/>
      </c>
      <c r="X538" s="20" t="n"/>
      <c r="Y538" s="23">
        <f>IF(OR(X538="",W538=0),"",X538/W538-1)</f>
        <v/>
      </c>
      <c r="Z538" s="24" t="n"/>
      <c r="AA538" s="21" t="n"/>
      <c r="AB538" s="25" t="n"/>
      <c r="AC538" s="26">
        <f>IF(T538="","Chưa quyết định",IF(OR(Z538="",AA538=""),"⚠ Thiếu lý do/người duyệt",IF(AND(X538&lt;&gt;"",N(X538)+N(R538)+N(S538)&gt;M538*1.001,R538&lt;&gt;""),"⚠ Vượt mục tiêu P90",IF(AND(Y538&lt;&gt;"",ABS(N(Y538))&gt;0.3),"⚠ Lệch &gt; 30% so với nhu cầu",IF(Q538="Có","ℹ Kiểm tra ngoại suy KM","✓ Hợp lệ")))))</f>
        <v/>
      </c>
    </row>
    <row r="539">
      <c r="A539" s="16" t="n">
        <v>535</v>
      </c>
      <c r="B539" s="17" t="inlineStr">
        <is>
          <t>DEC-S53-LAWN_AND_GARDEN</t>
        </is>
      </c>
      <c r="C539" s="16" t="n">
        <v>53</v>
      </c>
      <c r="D539" s="17" t="inlineStr">
        <is>
          <t>LAWN AND GARDEN</t>
        </is>
      </c>
      <c r="E539" s="17" t="inlineStr">
        <is>
          <t>HIGH</t>
        </is>
      </c>
      <c r="F539" s="17" t="inlineStr">
        <is>
          <t>TRUNG BÌNH</t>
        </is>
      </c>
      <c r="G539" s="18" t="inlineStr">
        <is>
          <t>RISK_HIGH · PROMO_EXTRAPOLATION</t>
        </is>
      </c>
      <c r="H539" s="19" t="n">
        <v>109.3981866836548</v>
      </c>
      <c r="I539" s="19" t="n">
        <v>228.9369277954102</v>
      </c>
      <c r="J539" s="19" t="n">
        <v>391.5700483322144</v>
      </c>
      <c r="K539" s="19" t="n">
        <v>228.9369277954102</v>
      </c>
      <c r="L539" s="19" t="n">
        <v>330.5826281309128</v>
      </c>
      <c r="M539" s="19" t="n">
        <v>391.5700483322144</v>
      </c>
      <c r="N539" s="17" t="inlineStr">
        <is>
          <t>B</t>
        </is>
      </c>
      <c r="O539" s="19" t="n">
        <v>147.4330858945847</v>
      </c>
      <c r="P539" s="18" t="inlineStr">
        <is>
          <t>CÂN NHẮC THỬ NGHIỆM</t>
        </is>
      </c>
      <c r="Q539" s="17" t="inlineStr">
        <is>
          <t>Có</t>
        </is>
      </c>
      <c r="R539" s="20" t="n"/>
      <c r="S539" s="20" t="n"/>
      <c r="T539" s="21" t="n"/>
      <c r="U539" s="21" t="n"/>
      <c r="V539" s="22">
        <f>IF(U539="A",K539,IF(U539="B",L539,IF(U539="C",M539,IF(N539="A",K539,IF(N539="B",L539,M539)))))</f>
        <v/>
      </c>
      <c r="W539" s="22">
        <f>IF(R539="",O539,MAX(V539-R539-N(S539),0))</f>
        <v/>
      </c>
      <c r="X539" s="20" t="n"/>
      <c r="Y539" s="23">
        <f>IF(OR(X539="",W539=0),"",X539/W539-1)</f>
        <v/>
      </c>
      <c r="Z539" s="24" t="n"/>
      <c r="AA539" s="21" t="n"/>
      <c r="AB539" s="25" t="n"/>
      <c r="AC539" s="26">
        <f>IF(T539="","Chưa quyết định",IF(OR(Z539="",AA539=""),"⚠ Thiếu lý do/người duyệt",IF(AND(X539&lt;&gt;"",N(X539)+N(R539)+N(S539)&gt;M539*1.001,R539&lt;&gt;""),"⚠ Vượt mục tiêu P90",IF(AND(Y539&lt;&gt;"",ABS(N(Y539))&gt;0.3),"⚠ Lệch &gt; 30% so với nhu cầu",IF(Q539="Có","ℹ Kiểm tra ngoại suy KM","✓ Hợp lệ")))))</f>
        <v/>
      </c>
    </row>
    <row r="540">
      <c r="A540" s="16" t="n">
        <v>536</v>
      </c>
      <c r="B540" s="17" t="inlineStr">
        <is>
          <t>DEC-S26-HOME_AND_KITCHEN_I</t>
        </is>
      </c>
      <c r="C540" s="16" t="n">
        <v>26</v>
      </c>
      <c r="D540" s="17" t="inlineStr">
        <is>
          <t>HOME AND KITCHEN I</t>
        </is>
      </c>
      <c r="E540" s="17" t="inlineStr">
        <is>
          <t>HIGH</t>
        </is>
      </c>
      <c r="F540" s="17" t="inlineStr">
        <is>
          <t>TRUNG BÌNH</t>
        </is>
      </c>
      <c r="G540" s="18" t="inlineStr">
        <is>
          <t>RISK_HIGH · PROMO_EXTRAPOLATION</t>
        </is>
      </c>
      <c r="H540" s="19" t="n">
        <v>81.90131807327271</v>
      </c>
      <c r="I540" s="19" t="n">
        <v>228.805389881134</v>
      </c>
      <c r="J540" s="19" t="n">
        <v>432.3076891899109</v>
      </c>
      <c r="K540" s="19" t="n">
        <v>228.805389881134</v>
      </c>
      <c r="L540" s="19" t="n">
        <v>355.9943269491196</v>
      </c>
      <c r="M540" s="19" t="n">
        <v>432.3076891899109</v>
      </c>
      <c r="N540" s="17" t="inlineStr">
        <is>
          <t>B</t>
        </is>
      </c>
      <c r="O540" s="19" t="n">
        <v>172.9500150442123</v>
      </c>
      <c r="P540" s="18" t="inlineStr">
        <is>
          <t>CÂN NHẮC THỬ NGHIỆM</t>
        </is>
      </c>
      <c r="Q540" s="17" t="inlineStr">
        <is>
          <t>Có</t>
        </is>
      </c>
      <c r="R540" s="20" t="n"/>
      <c r="S540" s="20" t="n"/>
      <c r="T540" s="21" t="n"/>
      <c r="U540" s="21" t="n"/>
      <c r="V540" s="22">
        <f>IF(U540="A",K540,IF(U540="B",L540,IF(U540="C",M540,IF(N540="A",K540,IF(N540="B",L540,M540)))))</f>
        <v/>
      </c>
      <c r="W540" s="22">
        <f>IF(R540="",O540,MAX(V540-R540-N(S540),0))</f>
        <v/>
      </c>
      <c r="X540" s="20" t="n"/>
      <c r="Y540" s="23">
        <f>IF(OR(X540="",W540=0),"",X540/W540-1)</f>
        <v/>
      </c>
      <c r="Z540" s="24" t="n"/>
      <c r="AA540" s="21" t="n"/>
      <c r="AB540" s="25" t="n"/>
      <c r="AC540" s="26">
        <f>IF(T540="","Chưa quyết định",IF(OR(Z540="",AA540=""),"⚠ Thiếu lý do/người duyệt",IF(AND(X540&lt;&gt;"",N(X540)+N(R540)+N(S540)&gt;M540*1.001,R540&lt;&gt;""),"⚠ Vượt mục tiêu P90",IF(AND(Y540&lt;&gt;"",ABS(N(Y540))&gt;0.3),"⚠ Lệch &gt; 30% so với nhu cầu",IF(Q540="Có","ℹ Kiểm tra ngoại suy KM","✓ Hợp lệ")))))</f>
        <v/>
      </c>
    </row>
    <row r="541">
      <c r="A541" s="16" t="n">
        <v>537</v>
      </c>
      <c r="B541" s="17" t="inlineStr">
        <is>
          <t>DEC-S20-GROCERY_II</t>
        </is>
      </c>
      <c r="C541" s="16" t="n">
        <v>20</v>
      </c>
      <c r="D541" s="17" t="inlineStr">
        <is>
          <t>GROCERY II</t>
        </is>
      </c>
      <c r="E541" s="17" t="inlineStr">
        <is>
          <t>HIGH</t>
        </is>
      </c>
      <c r="F541" s="17" t="inlineStr">
        <is>
          <t>TRUNG BÌNH</t>
        </is>
      </c>
      <c r="G541" s="18" t="inlineStr">
        <is>
          <t>RISK_HIGH · PROMO_EXTRAPOLATION</t>
        </is>
      </c>
      <c r="H541" s="19" t="n">
        <v>64.40230894088745</v>
      </c>
      <c r="I541" s="19" t="n">
        <v>227.4249844551086</v>
      </c>
      <c r="J541" s="19" t="n">
        <v>463.6226267814636</v>
      </c>
      <c r="K541" s="19" t="n">
        <v>227.4249844551086</v>
      </c>
      <c r="L541" s="19" t="n">
        <v>375.0485109090805</v>
      </c>
      <c r="M541" s="19" t="n">
        <v>463.6226267814636</v>
      </c>
      <c r="N541" s="17" t="inlineStr">
        <is>
          <t>B</t>
        </is>
      </c>
      <c r="O541" s="19" t="n">
        <v>193.1085233449936</v>
      </c>
      <c r="P541" s="18" t="inlineStr">
        <is>
          <t>CÂN NHẮC THỬ NGHIỆM</t>
        </is>
      </c>
      <c r="Q541" s="17" t="inlineStr">
        <is>
          <t>Có</t>
        </is>
      </c>
      <c r="R541" s="20" t="n"/>
      <c r="S541" s="20" t="n"/>
      <c r="T541" s="21" t="n"/>
      <c r="U541" s="21" t="n"/>
      <c r="V541" s="22">
        <f>IF(U541="A",K541,IF(U541="B",L541,IF(U541="C",M541,IF(N541="A",K541,IF(N541="B",L541,M541)))))</f>
        <v/>
      </c>
      <c r="W541" s="22">
        <f>IF(R541="",O541,MAX(V541-R541-N(S541),0))</f>
        <v/>
      </c>
      <c r="X541" s="20" t="n"/>
      <c r="Y541" s="23">
        <f>IF(OR(X541="",W541=0),"",X541/W541-1)</f>
        <v/>
      </c>
      <c r="Z541" s="24" t="n"/>
      <c r="AA541" s="21" t="n"/>
      <c r="AB541" s="25" t="n"/>
      <c r="AC541" s="26">
        <f>IF(T541="","Chưa quyết định",IF(OR(Z541="",AA541=""),"⚠ Thiếu lý do/người duyệt",IF(AND(X541&lt;&gt;"",N(X541)+N(R541)+N(S541)&gt;M541*1.001,R541&lt;&gt;""),"⚠ Vượt mục tiêu P90",IF(AND(Y541&lt;&gt;"",ABS(N(Y541))&gt;0.3),"⚠ Lệch &gt; 30% so với nhu cầu",IF(Q541="Có","ℹ Kiểm tra ngoại suy KM","✓ Hợp lệ")))))</f>
        <v/>
      </c>
    </row>
    <row r="542">
      <c r="A542" s="16" t="n">
        <v>538</v>
      </c>
      <c r="B542" s="17" t="inlineStr">
        <is>
          <t>DEC-S07-BEAUTY</t>
        </is>
      </c>
      <c r="C542" s="16" t="n">
        <v>7</v>
      </c>
      <c r="D542" s="17" t="inlineStr">
        <is>
          <t>BEAUTY</t>
        </is>
      </c>
      <c r="E542" s="17" t="inlineStr">
        <is>
          <t>HIGH</t>
        </is>
      </c>
      <c r="F542" s="17" t="inlineStr">
        <is>
          <t>TRUNG BÌNH</t>
        </is>
      </c>
      <c r="G542" s="18" t="inlineStr">
        <is>
          <t>RISK_HIGH · PROMO_EXTRAPOLATION</t>
        </is>
      </c>
      <c r="H542" s="19" t="n">
        <v>61.45835709571838</v>
      </c>
      <c r="I542" s="19" t="n">
        <v>226.6231777668</v>
      </c>
      <c r="J542" s="19" t="n">
        <v>452.8216412067413</v>
      </c>
      <c r="K542" s="19" t="n">
        <v>226.6231777668</v>
      </c>
      <c r="L542" s="19" t="n">
        <v>367.9972174167633</v>
      </c>
      <c r="M542" s="19" t="n">
        <v>452.8216412067413</v>
      </c>
      <c r="N542" s="17" t="inlineStr">
        <is>
          <t>B</t>
        </is>
      </c>
      <c r="O542" s="19" t="n">
        <v>186.6986752033233</v>
      </c>
      <c r="P542" s="18" t="inlineStr">
        <is>
          <t>CÂN NHẮC THỬ NGHIỆM</t>
        </is>
      </c>
      <c r="Q542" s="17" t="inlineStr">
        <is>
          <t>Có</t>
        </is>
      </c>
      <c r="R542" s="20" t="n"/>
      <c r="S542" s="20" t="n"/>
      <c r="T542" s="21" t="n"/>
      <c r="U542" s="21" t="n"/>
      <c r="V542" s="22">
        <f>IF(U542="A",K542,IF(U542="B",L542,IF(U542="C",M542,IF(N542="A",K542,IF(N542="B",L542,M542)))))</f>
        <v/>
      </c>
      <c r="W542" s="22">
        <f>IF(R542="",O542,MAX(V542-R542-N(S542),0))</f>
        <v/>
      </c>
      <c r="X542" s="20" t="n"/>
      <c r="Y542" s="23">
        <f>IF(OR(X542="",W542=0),"",X542/W542-1)</f>
        <v/>
      </c>
      <c r="Z542" s="24" t="n"/>
      <c r="AA542" s="21" t="n"/>
      <c r="AB542" s="25" t="n"/>
      <c r="AC542" s="26">
        <f>IF(T542="","Chưa quyết định",IF(OR(Z542="",AA542=""),"⚠ Thiếu lý do/người duyệt",IF(AND(X542&lt;&gt;"",N(X542)+N(R542)+N(S542)&gt;M542*1.001,R542&lt;&gt;""),"⚠ Vượt mục tiêu P90",IF(AND(Y542&lt;&gt;"",ABS(N(Y542))&gt;0.3),"⚠ Lệch &gt; 30% so với nhu cầu",IF(Q542="Có","ℹ Kiểm tra ngoại suy KM","✓ Hợp lệ")))))</f>
        <v/>
      </c>
    </row>
    <row r="543">
      <c r="A543" s="16" t="n">
        <v>539</v>
      </c>
      <c r="B543" s="17" t="inlineStr">
        <is>
          <t>DEC-S14-GROCERY_II</t>
        </is>
      </c>
      <c r="C543" s="16" t="n">
        <v>14</v>
      </c>
      <c r="D543" s="17" t="inlineStr">
        <is>
          <t>GROCERY II</t>
        </is>
      </c>
      <c r="E543" s="17" t="inlineStr">
        <is>
          <t>HIGH</t>
        </is>
      </c>
      <c r="F543" s="17" t="inlineStr">
        <is>
          <t>TRUNG BÌNH</t>
        </is>
      </c>
      <c r="G543" s="18" t="inlineStr">
        <is>
          <t>RISK_HIGH · PROMO_EXTRAPOLATION</t>
        </is>
      </c>
      <c r="H543" s="19" t="n">
        <v>81.07440710067749</v>
      </c>
      <c r="I543" s="19" t="n">
        <v>225.7593493461609</v>
      </c>
      <c r="J543" s="19" t="n">
        <v>427.4363055229187</v>
      </c>
      <c r="K543" s="19" t="n">
        <v>225.7593493461609</v>
      </c>
      <c r="L543" s="19" t="n">
        <v>351.8074469566345</v>
      </c>
      <c r="M543" s="19" t="n">
        <v>427.4363055229187</v>
      </c>
      <c r="N543" s="17" t="inlineStr">
        <is>
          <t>B</t>
        </is>
      </c>
      <c r="O543" s="19" t="n">
        <v>171.1999674797058</v>
      </c>
      <c r="P543" s="18" t="inlineStr">
        <is>
          <t>CÂN NHẮC THỬ NGHIỆM</t>
        </is>
      </c>
      <c r="Q543" s="17" t="inlineStr">
        <is>
          <t>Có</t>
        </is>
      </c>
      <c r="R543" s="20" t="n"/>
      <c r="S543" s="20" t="n"/>
      <c r="T543" s="21" t="n"/>
      <c r="U543" s="21" t="n"/>
      <c r="V543" s="22">
        <f>IF(U543="A",K543,IF(U543="B",L543,IF(U543="C",M543,IF(N543="A",K543,IF(N543="B",L543,M543)))))</f>
        <v/>
      </c>
      <c r="W543" s="22">
        <f>IF(R543="",O543,MAX(V543-R543-N(S543),0))</f>
        <v/>
      </c>
      <c r="X543" s="20" t="n"/>
      <c r="Y543" s="23">
        <f>IF(OR(X543="",W543=0),"",X543/W543-1)</f>
        <v/>
      </c>
      <c r="Z543" s="24" t="n"/>
      <c r="AA543" s="21" t="n"/>
      <c r="AB543" s="25" t="n"/>
      <c r="AC543" s="26">
        <f>IF(T543="","Chưa quyết định",IF(OR(Z543="",AA543=""),"⚠ Thiếu lý do/người duyệt",IF(AND(X543&lt;&gt;"",N(X543)+N(R543)+N(S543)&gt;M543*1.001,R543&lt;&gt;""),"⚠ Vượt mục tiêu P90",IF(AND(Y543&lt;&gt;"",ABS(N(Y543))&gt;0.3),"⚠ Lệch &gt; 30% so với nhu cầu",IF(Q543="Có","ℹ Kiểm tra ngoại suy KM","✓ Hợp lệ")))))</f>
        <v/>
      </c>
    </row>
    <row r="544">
      <c r="A544" s="16" t="n">
        <v>540</v>
      </c>
      <c r="B544" s="17" t="inlineStr">
        <is>
          <t>DEC-S14-HOME_AND_KITCHEN_II</t>
        </is>
      </c>
      <c r="C544" s="16" t="n">
        <v>14</v>
      </c>
      <c r="D544" s="17" t="inlineStr">
        <is>
          <t>HOME AND KITCHEN II</t>
        </is>
      </c>
      <c r="E544" s="17" t="inlineStr">
        <is>
          <t>HIGH</t>
        </is>
      </c>
      <c r="F544" s="17" t="inlineStr">
        <is>
          <t>TRUNG BÌNH</t>
        </is>
      </c>
      <c r="G544" s="18" t="inlineStr">
        <is>
          <t>RISK_HIGH · PROMO_EXTRAPOLATION</t>
        </is>
      </c>
      <c r="H544" s="19" t="n">
        <v>62.15966987609863</v>
      </c>
      <c r="I544" s="19" t="n">
        <v>225.6369647979736</v>
      </c>
      <c r="J544" s="19" t="n">
        <v>460.0092639923096</v>
      </c>
      <c r="K544" s="19" t="n">
        <v>225.6369647979736</v>
      </c>
      <c r="L544" s="19" t="n">
        <v>372.1196517944336</v>
      </c>
      <c r="M544" s="19" t="n">
        <v>460.0092639923096</v>
      </c>
      <c r="N544" s="17" t="inlineStr">
        <is>
          <t>B</t>
        </is>
      </c>
      <c r="O544" s="19" t="n">
        <v>191.6100799560547</v>
      </c>
      <c r="P544" s="18" t="inlineStr">
        <is>
          <t>CÂN NHẮC THỬ NGHIỆM</t>
        </is>
      </c>
      <c r="Q544" s="17" t="inlineStr">
        <is>
          <t>Có</t>
        </is>
      </c>
      <c r="R544" s="20" t="n"/>
      <c r="S544" s="20" t="n"/>
      <c r="T544" s="21" t="n"/>
      <c r="U544" s="21" t="n"/>
      <c r="V544" s="22">
        <f>IF(U544="A",K544,IF(U544="B",L544,IF(U544="C",M544,IF(N544="A",K544,IF(N544="B",L544,M544)))))</f>
        <v/>
      </c>
      <c r="W544" s="22">
        <f>IF(R544="",O544,MAX(V544-R544-N(S544),0))</f>
        <v/>
      </c>
      <c r="X544" s="20" t="n"/>
      <c r="Y544" s="23">
        <f>IF(OR(X544="",W544=0),"",X544/W544-1)</f>
        <v/>
      </c>
      <c r="Z544" s="24" t="n"/>
      <c r="AA544" s="21" t="n"/>
      <c r="AB544" s="25" t="n"/>
      <c r="AC544" s="26">
        <f>IF(T544="","Chưa quyết định",IF(OR(Z544="",AA544=""),"⚠ Thiếu lý do/người duyệt",IF(AND(X544&lt;&gt;"",N(X544)+N(R544)+N(S544)&gt;M544*1.001,R544&lt;&gt;""),"⚠ Vượt mục tiêu P90",IF(AND(Y544&lt;&gt;"",ABS(N(Y544))&gt;0.3),"⚠ Lệch &gt; 30% so với nhu cầu",IF(Q544="Có","ℹ Kiểm tra ngoại suy KM","✓ Hợp lệ")))))</f>
        <v/>
      </c>
    </row>
    <row r="545">
      <c r="A545" s="16" t="n">
        <v>541</v>
      </c>
      <c r="B545" s="17" t="inlineStr">
        <is>
          <t>DEC-S17-SEAFOOD</t>
        </is>
      </c>
      <c r="C545" s="16" t="n">
        <v>17</v>
      </c>
      <c r="D545" s="17" t="inlineStr">
        <is>
          <t>SEAFOOD</t>
        </is>
      </c>
      <c r="E545" s="17" t="inlineStr">
        <is>
          <t>HIGH</t>
        </is>
      </c>
      <c r="F545" s="17" t="inlineStr">
        <is>
          <t>TRUNG BÌNH</t>
        </is>
      </c>
      <c r="G545" s="18" t="inlineStr">
        <is>
          <t>RISK_HIGH · PROMO_EXTRAPOLATION</t>
        </is>
      </c>
      <c r="H545" s="19" t="n">
        <v>59.76405477523804</v>
      </c>
      <c r="I545" s="19" t="n">
        <v>225.4855351448059</v>
      </c>
      <c r="J545" s="19" t="n">
        <v>459.8578343391418</v>
      </c>
      <c r="K545" s="19" t="n">
        <v>225.4855351448059</v>
      </c>
      <c r="L545" s="19" t="n">
        <v>371.9682221412659</v>
      </c>
      <c r="M545" s="19" t="n">
        <v>459.8578343391418</v>
      </c>
      <c r="N545" s="17" t="inlineStr">
        <is>
          <t>B</t>
        </is>
      </c>
      <c r="O545" s="19" t="n">
        <v>191.5797940254211</v>
      </c>
      <c r="P545" s="18" t="inlineStr">
        <is>
          <t>CÂN NHẮC THỬ NGHIỆM</t>
        </is>
      </c>
      <c r="Q545" s="17" t="inlineStr">
        <is>
          <t>Có</t>
        </is>
      </c>
      <c r="R545" s="20" t="n"/>
      <c r="S545" s="20" t="n"/>
      <c r="T545" s="21" t="n"/>
      <c r="U545" s="21" t="n"/>
      <c r="V545" s="22">
        <f>IF(U545="A",K545,IF(U545="B",L545,IF(U545="C",M545,IF(N545="A",K545,IF(N545="B",L545,M545)))))</f>
        <v/>
      </c>
      <c r="W545" s="22">
        <f>IF(R545="",O545,MAX(V545-R545-N(S545),0))</f>
        <v/>
      </c>
      <c r="X545" s="20" t="n"/>
      <c r="Y545" s="23">
        <f>IF(OR(X545="",W545=0),"",X545/W545-1)</f>
        <v/>
      </c>
      <c r="Z545" s="24" t="n"/>
      <c r="AA545" s="21" t="n"/>
      <c r="AB545" s="25" t="n"/>
      <c r="AC545" s="26">
        <f>IF(T545="","Chưa quyết định",IF(OR(Z545="",AA545=""),"⚠ Thiếu lý do/người duyệt",IF(AND(X545&lt;&gt;"",N(X545)+N(R545)+N(S545)&gt;M545*1.001,R545&lt;&gt;""),"⚠ Vượt mục tiêu P90",IF(AND(Y545&lt;&gt;"",ABS(N(Y545))&gt;0.3),"⚠ Lệch &gt; 30% so với nhu cầu",IF(Q545="Có","ℹ Kiểm tra ngoại suy KM","✓ Hợp lệ")))))</f>
        <v/>
      </c>
    </row>
    <row r="546">
      <c r="A546" s="16" t="n">
        <v>542</v>
      </c>
      <c r="B546" s="17" t="inlineStr">
        <is>
          <t>DEC-S22-GROCERY_II</t>
        </is>
      </c>
      <c r="C546" s="16" t="n">
        <v>22</v>
      </c>
      <c r="D546" s="17" t="inlineStr">
        <is>
          <t>GROCERY II</t>
        </is>
      </c>
      <c r="E546" s="17" t="inlineStr">
        <is>
          <t>HIGH</t>
        </is>
      </c>
      <c r="F546" s="17" t="inlineStr">
        <is>
          <t>TRUNG BÌNH</t>
        </is>
      </c>
      <c r="G546" s="18" t="inlineStr">
        <is>
          <t>RISK_HIGH · PROMO_EXTRAPOLATION</t>
        </is>
      </c>
      <c r="H546" s="19" t="n">
        <v>85.48065233230591</v>
      </c>
      <c r="I546" s="19" t="n">
        <v>225.0237526893616</v>
      </c>
      <c r="J546" s="19" t="n">
        <v>418.5268731117249</v>
      </c>
      <c r="K546" s="19" t="n">
        <v>225.0237526893616</v>
      </c>
      <c r="L546" s="19" t="n">
        <v>345.9632029533386</v>
      </c>
      <c r="M546" s="19" t="n">
        <v>418.5268731117249</v>
      </c>
      <c r="N546" s="17" t="inlineStr">
        <is>
          <t>B</t>
        </is>
      </c>
      <c r="O546" s="19" t="n">
        <v>165.9442008018493</v>
      </c>
      <c r="P546" s="18" t="inlineStr">
        <is>
          <t>CÂN NHẮC THỬ NGHIỆM</t>
        </is>
      </c>
      <c r="Q546" s="17" t="inlineStr">
        <is>
          <t>Có</t>
        </is>
      </c>
      <c r="R546" s="20" t="n"/>
      <c r="S546" s="20" t="n"/>
      <c r="T546" s="21" t="n"/>
      <c r="U546" s="21" t="n"/>
      <c r="V546" s="22">
        <f>IF(U546="A",K546,IF(U546="B",L546,IF(U546="C",M546,IF(N546="A",K546,IF(N546="B",L546,M546)))))</f>
        <v/>
      </c>
      <c r="W546" s="22">
        <f>IF(R546="",O546,MAX(V546-R546-N(S546),0))</f>
        <v/>
      </c>
      <c r="X546" s="20" t="n"/>
      <c r="Y546" s="23">
        <f>IF(OR(X546="",W546=0),"",X546/W546-1)</f>
        <v/>
      </c>
      <c r="Z546" s="24" t="n"/>
      <c r="AA546" s="21" t="n"/>
      <c r="AB546" s="25" t="n"/>
      <c r="AC546" s="26">
        <f>IF(T546="","Chưa quyết định",IF(OR(Z546="",AA546=""),"⚠ Thiếu lý do/người duyệt",IF(AND(X546&lt;&gt;"",N(X546)+N(R546)+N(S546)&gt;M546*1.001,R546&lt;&gt;""),"⚠ Vượt mục tiêu P90",IF(AND(Y546&lt;&gt;"",ABS(N(Y546))&gt;0.3),"⚠ Lệch &gt; 30% so với nhu cầu",IF(Q546="Có","ℹ Kiểm tra ngoại suy KM","✓ Hợp lệ")))))</f>
        <v/>
      </c>
    </row>
    <row r="547">
      <c r="A547" s="16" t="n">
        <v>543</v>
      </c>
      <c r="B547" s="17" t="inlineStr">
        <is>
          <t>DEC-S33-CELEBRATION</t>
        </is>
      </c>
      <c r="C547" s="16" t="n">
        <v>33</v>
      </c>
      <c r="D547" s="17" t="inlineStr">
        <is>
          <t>CELEBRATION</t>
        </is>
      </c>
      <c r="E547" s="17" t="inlineStr">
        <is>
          <t>HIGH</t>
        </is>
      </c>
      <c r="F547" s="17" t="inlineStr">
        <is>
          <t>TRUNG BÌNH</t>
        </is>
      </c>
      <c r="G547" s="18" t="inlineStr">
        <is>
          <t>RISK_HIGH · PROMO_EXTRAPOLATION</t>
        </is>
      </c>
      <c r="H547" s="19" t="n">
        <v>58.47304916381836</v>
      </c>
      <c r="I547" s="19" t="n">
        <v>224.5665397644043</v>
      </c>
      <c r="J547" s="19" t="n">
        <v>450.7650032043457</v>
      </c>
      <c r="K547" s="19" t="n">
        <v>224.5665397644043</v>
      </c>
      <c r="L547" s="19" t="n">
        <v>365.9405794143677</v>
      </c>
      <c r="M547" s="19" t="n">
        <v>450.7650032043457</v>
      </c>
      <c r="N547" s="17" t="inlineStr">
        <is>
          <t>B</t>
        </is>
      </c>
      <c r="O547" s="19" t="n">
        <v>186.2873476028442</v>
      </c>
      <c r="P547" s="18" t="inlineStr">
        <is>
          <t>CÂN NHẮC THỬ NGHIỆM</t>
        </is>
      </c>
      <c r="Q547" s="17" t="inlineStr">
        <is>
          <t>Có</t>
        </is>
      </c>
      <c r="R547" s="20" t="n"/>
      <c r="S547" s="20" t="n"/>
      <c r="T547" s="21" t="n"/>
      <c r="U547" s="21" t="n"/>
      <c r="V547" s="22">
        <f>IF(U547="A",K547,IF(U547="B",L547,IF(U547="C",M547,IF(N547="A",K547,IF(N547="B",L547,M547)))))</f>
        <v/>
      </c>
      <c r="W547" s="22">
        <f>IF(R547="",O547,MAX(V547-R547-N(S547),0))</f>
        <v/>
      </c>
      <c r="X547" s="20" t="n"/>
      <c r="Y547" s="23">
        <f>IF(OR(X547="",W547=0),"",X547/W547-1)</f>
        <v/>
      </c>
      <c r="Z547" s="24" t="n"/>
      <c r="AA547" s="21" t="n"/>
      <c r="AB547" s="25" t="n"/>
      <c r="AC547" s="26">
        <f>IF(T547="","Chưa quyết định",IF(OR(Z547="",AA547=""),"⚠ Thiếu lý do/người duyệt",IF(AND(X547&lt;&gt;"",N(X547)+N(R547)+N(S547)&gt;M547*1.001,R547&lt;&gt;""),"⚠ Vượt mục tiêu P90",IF(AND(Y547&lt;&gt;"",ABS(N(Y547))&gt;0.3),"⚠ Lệch &gt; 30% so với nhu cầu",IF(Q547="Có","ℹ Kiểm tra ngoại suy KM","✓ Hợp lệ")))))</f>
        <v/>
      </c>
    </row>
    <row r="548">
      <c r="A548" s="16" t="n">
        <v>544</v>
      </c>
      <c r="B548" s="17" t="inlineStr">
        <is>
          <t>DEC-S40-GROCERY_II</t>
        </is>
      </c>
      <c r="C548" s="16" t="n">
        <v>40</v>
      </c>
      <c r="D548" s="17" t="inlineStr">
        <is>
          <t>GROCERY II</t>
        </is>
      </c>
      <c r="E548" s="17" t="inlineStr">
        <is>
          <t>HIGH</t>
        </is>
      </c>
      <c r="F548" s="17" t="inlineStr">
        <is>
          <t>TRUNG BÌNH</t>
        </is>
      </c>
      <c r="G548" s="18" t="inlineStr">
        <is>
          <t>RISK_HIGH · PROMO_EXTRAPOLATION</t>
        </is>
      </c>
      <c r="H548" s="19" t="n">
        <v>72.89418792724609</v>
      </c>
      <c r="I548" s="19" t="n">
        <v>223.7319946289062</v>
      </c>
      <c r="J548" s="19" t="n">
        <v>441.7566223144531</v>
      </c>
      <c r="K548" s="19" t="n">
        <v>223.7319946289062</v>
      </c>
      <c r="L548" s="19" t="n">
        <v>359.997386932373</v>
      </c>
      <c r="M548" s="19" t="n">
        <v>441.7566223144531</v>
      </c>
      <c r="N548" s="17" t="inlineStr">
        <is>
          <t>B</t>
        </is>
      </c>
      <c r="O548" s="19" t="n">
        <v>181.011791229248</v>
      </c>
      <c r="P548" s="18" t="inlineStr">
        <is>
          <t>CÂN NHẮC THỬ NGHIỆM</t>
        </is>
      </c>
      <c r="Q548" s="17" t="inlineStr">
        <is>
          <t>Có</t>
        </is>
      </c>
      <c r="R548" s="20" t="n"/>
      <c r="S548" s="20" t="n"/>
      <c r="T548" s="21" t="n"/>
      <c r="U548" s="21" t="n"/>
      <c r="V548" s="22">
        <f>IF(U548="A",K548,IF(U548="B",L548,IF(U548="C",M548,IF(N548="A",K548,IF(N548="B",L548,M548)))))</f>
        <v/>
      </c>
      <c r="W548" s="22">
        <f>IF(R548="",O548,MAX(V548-R548-N(S548),0))</f>
        <v/>
      </c>
      <c r="X548" s="20" t="n"/>
      <c r="Y548" s="23">
        <f>IF(OR(X548="",W548=0),"",X548/W548-1)</f>
        <v/>
      </c>
      <c r="Z548" s="24" t="n"/>
      <c r="AA548" s="21" t="n"/>
      <c r="AB548" s="25" t="n"/>
      <c r="AC548" s="26">
        <f>IF(T548="","Chưa quyết định",IF(OR(Z548="",AA548=""),"⚠ Thiếu lý do/người duyệt",IF(AND(X548&lt;&gt;"",N(X548)+N(R548)+N(S548)&gt;M548*1.001,R548&lt;&gt;""),"⚠ Vượt mục tiêu P90",IF(AND(Y548&lt;&gt;"",ABS(N(Y548))&gt;0.3),"⚠ Lệch &gt; 30% so với nhu cầu",IF(Q548="Có","ℹ Kiểm tra ngoại suy KM","✓ Hợp lệ")))))</f>
        <v/>
      </c>
    </row>
    <row r="549">
      <c r="A549" s="16" t="n">
        <v>545</v>
      </c>
      <c r="B549" s="17" t="inlineStr">
        <is>
          <t>DEC-S38-SEAFOOD</t>
        </is>
      </c>
      <c r="C549" s="16" t="n">
        <v>38</v>
      </c>
      <c r="D549" s="17" t="inlineStr">
        <is>
          <t>SEAFOOD</t>
        </is>
      </c>
      <c r="E549" s="17" t="inlineStr">
        <is>
          <t>HIGH</t>
        </is>
      </c>
      <c r="F549" s="17" t="inlineStr">
        <is>
          <t>TRUNG BÌNH</t>
        </is>
      </c>
      <c r="G549" s="18" t="inlineStr">
        <is>
          <t>RISK_HIGH · PROMO_EXTRAPOLATION</t>
        </is>
      </c>
      <c r="H549" s="19" t="n">
        <v>55.89432811737061</v>
      </c>
      <c r="I549" s="19" t="n">
        <v>222.2282857894897</v>
      </c>
      <c r="J549" s="19" t="n">
        <v>458.4259281158447</v>
      </c>
      <c r="K549" s="19" t="n">
        <v>222.2282857894897</v>
      </c>
      <c r="L549" s="19" t="n">
        <v>369.8518122434616</v>
      </c>
      <c r="M549" s="19" t="n">
        <v>458.4259281158447</v>
      </c>
      <c r="N549" s="17" t="inlineStr">
        <is>
          <t>B</t>
        </is>
      </c>
      <c r="O549" s="19" t="n">
        <v>192.0691836118698</v>
      </c>
      <c r="P549" s="18" t="inlineStr">
        <is>
          <t>CÂN NHẮC THỬ NGHIỆM</t>
        </is>
      </c>
      <c r="Q549" s="17" t="inlineStr">
        <is>
          <t>Có</t>
        </is>
      </c>
      <c r="R549" s="20" t="n"/>
      <c r="S549" s="20" t="n"/>
      <c r="T549" s="21" t="n"/>
      <c r="U549" s="21" t="n"/>
      <c r="V549" s="22">
        <f>IF(U549="A",K549,IF(U549="B",L549,IF(U549="C",M549,IF(N549="A",K549,IF(N549="B",L549,M549)))))</f>
        <v/>
      </c>
      <c r="W549" s="22">
        <f>IF(R549="",O549,MAX(V549-R549-N(S549),0))</f>
        <v/>
      </c>
      <c r="X549" s="20" t="n"/>
      <c r="Y549" s="23">
        <f>IF(OR(X549="",W549=0),"",X549/W549-1)</f>
        <v/>
      </c>
      <c r="Z549" s="24" t="n"/>
      <c r="AA549" s="21" t="n"/>
      <c r="AB549" s="25" t="n"/>
      <c r="AC549" s="26">
        <f>IF(T549="","Chưa quyết định",IF(OR(Z549="",AA549=""),"⚠ Thiếu lý do/người duyệt",IF(AND(X549&lt;&gt;"",N(X549)+N(R549)+N(S549)&gt;M549*1.001,R549&lt;&gt;""),"⚠ Vượt mục tiêu P90",IF(AND(Y549&lt;&gt;"",ABS(N(Y549))&gt;0.3),"⚠ Lệch &gt; 30% so với nhu cầu",IF(Q549="Có","ℹ Kiểm tra ngoại suy KM","✓ Hợp lệ")))))</f>
        <v/>
      </c>
    </row>
    <row r="550">
      <c r="A550" s="16" t="n">
        <v>546</v>
      </c>
      <c r="B550" s="17" t="inlineStr">
        <is>
          <t>DEC-S38-BEAUTY</t>
        </is>
      </c>
      <c r="C550" s="16" t="n">
        <v>38</v>
      </c>
      <c r="D550" s="17" t="inlineStr">
        <is>
          <t>BEAUTY</t>
        </is>
      </c>
      <c r="E550" s="17" t="inlineStr">
        <is>
          <t>HIGH</t>
        </is>
      </c>
      <c r="F550" s="17" t="inlineStr">
        <is>
          <t>TRUNG BÌNH</t>
        </is>
      </c>
      <c r="G550" s="18" t="inlineStr">
        <is>
          <t>RISK_HIGH · PROMO_EXTRAPOLATION</t>
        </is>
      </c>
      <c r="H550" s="19" t="n">
        <v>61.42298412322998</v>
      </c>
      <c r="I550" s="19" t="n">
        <v>221.8026733398437</v>
      </c>
      <c r="J550" s="19" t="n">
        <v>445.6121847629547</v>
      </c>
      <c r="K550" s="19" t="n">
        <v>221.8026733398437</v>
      </c>
      <c r="L550" s="19" t="n">
        <v>361.6836179792881</v>
      </c>
      <c r="M550" s="19" t="n">
        <v>445.6121847629547</v>
      </c>
      <c r="N550" s="17" t="inlineStr">
        <is>
          <t>B</t>
        </is>
      </c>
      <c r="O550" s="19" t="n">
        <v>184.2414793074131</v>
      </c>
      <c r="P550" s="18" t="inlineStr">
        <is>
          <t>CÂN NHẮC THỬ NGHIỆM</t>
        </is>
      </c>
      <c r="Q550" s="17" t="inlineStr">
        <is>
          <t>Có</t>
        </is>
      </c>
      <c r="R550" s="20" t="n"/>
      <c r="S550" s="20" t="n"/>
      <c r="T550" s="21" t="n"/>
      <c r="U550" s="21" t="n"/>
      <c r="V550" s="22">
        <f>IF(U550="A",K550,IF(U550="B",L550,IF(U550="C",M550,IF(N550="A",K550,IF(N550="B",L550,M550)))))</f>
        <v/>
      </c>
      <c r="W550" s="22">
        <f>IF(R550="",O550,MAX(V550-R550-N(S550),0))</f>
        <v/>
      </c>
      <c r="X550" s="20" t="n"/>
      <c r="Y550" s="23">
        <f>IF(OR(X550="",W550=0),"",X550/W550-1)</f>
        <v/>
      </c>
      <c r="Z550" s="24" t="n"/>
      <c r="AA550" s="21" t="n"/>
      <c r="AB550" s="25" t="n"/>
      <c r="AC550" s="26">
        <f>IF(T550="","Chưa quyết định",IF(OR(Z550="",AA550=""),"⚠ Thiếu lý do/người duyệt",IF(AND(X550&lt;&gt;"",N(X550)+N(R550)+N(S550)&gt;M550*1.001,R550&lt;&gt;""),"⚠ Vượt mục tiêu P90",IF(AND(Y550&lt;&gt;"",ABS(N(Y550))&gt;0.3),"⚠ Lệch &gt; 30% so với nhu cầu",IF(Q550="Có","ℹ Kiểm tra ngoại suy KM","✓ Hợp lệ")))))</f>
        <v/>
      </c>
    </row>
    <row r="551">
      <c r="A551" s="16" t="n">
        <v>547</v>
      </c>
      <c r="B551" s="17" t="inlineStr">
        <is>
          <t>DEC-S03-PET_SUPPLIES</t>
        </is>
      </c>
      <c r="C551" s="16" t="n">
        <v>3</v>
      </c>
      <c r="D551" s="17" t="inlineStr">
        <is>
          <t>PET SUPPLIES</t>
        </is>
      </c>
      <c r="E551" s="17" t="inlineStr">
        <is>
          <t>HIGH</t>
        </is>
      </c>
      <c r="F551" s="17" t="inlineStr">
        <is>
          <t>TRUNG BÌNH</t>
        </is>
      </c>
      <c r="G551" s="18" t="inlineStr">
        <is>
          <t>RISK_HIGH · PROMO_EXTRAPOLATION</t>
        </is>
      </c>
      <c r="H551" s="19" t="n">
        <v>36.71910858154297</v>
      </c>
      <c r="I551" s="19" t="n">
        <v>221.6971712112427</v>
      </c>
      <c r="J551" s="19" t="n">
        <v>480.5909776687622</v>
      </c>
      <c r="K551" s="19" t="n">
        <v>221.6971712112427</v>
      </c>
      <c r="L551" s="19" t="n">
        <v>383.5058002471924</v>
      </c>
      <c r="M551" s="19" t="n">
        <v>480.5909776687622</v>
      </c>
      <c r="N551" s="17" t="inlineStr">
        <is>
          <t>B</t>
        </is>
      </c>
      <c r="O551" s="19" t="n">
        <v>206.1480632781982</v>
      </c>
      <c r="P551" s="18" t="inlineStr">
        <is>
          <t>CÂN NHẮC THỬ NGHIỆM</t>
        </is>
      </c>
      <c r="Q551" s="17" t="inlineStr">
        <is>
          <t>Có</t>
        </is>
      </c>
      <c r="R551" s="20" t="n"/>
      <c r="S551" s="20" t="n"/>
      <c r="T551" s="21" t="n"/>
      <c r="U551" s="21" t="n"/>
      <c r="V551" s="22">
        <f>IF(U551="A",K551,IF(U551="B",L551,IF(U551="C",M551,IF(N551="A",K551,IF(N551="B",L551,M551)))))</f>
        <v/>
      </c>
      <c r="W551" s="22">
        <f>IF(R551="",O551,MAX(V551-R551-N(S551),0))</f>
        <v/>
      </c>
      <c r="X551" s="20" t="n"/>
      <c r="Y551" s="23">
        <f>IF(OR(X551="",W551=0),"",X551/W551-1)</f>
        <v/>
      </c>
      <c r="Z551" s="24" t="n"/>
      <c r="AA551" s="21" t="n"/>
      <c r="AB551" s="25" t="n"/>
      <c r="AC551" s="26">
        <f>IF(T551="","Chưa quyết định",IF(OR(Z551="",AA551=""),"⚠ Thiếu lý do/người duyệt",IF(AND(X551&lt;&gt;"",N(X551)+N(R551)+N(S551)&gt;M551*1.001,R551&lt;&gt;""),"⚠ Vượt mục tiêu P90",IF(AND(Y551&lt;&gt;"",ABS(N(Y551))&gt;0.3),"⚠ Lệch &gt; 30% so với nhu cầu",IF(Q551="Có","ℹ Kiểm tra ngoại suy KM","✓ Hợp lệ")))))</f>
        <v/>
      </c>
    </row>
    <row r="552">
      <c r="A552" s="16" t="n">
        <v>548</v>
      </c>
      <c r="B552" s="17" t="inlineStr">
        <is>
          <t>DEC-S45-MAGAZINES</t>
        </is>
      </c>
      <c r="C552" s="16" t="n">
        <v>45</v>
      </c>
      <c r="D552" s="17" t="inlineStr">
        <is>
          <t>MAGAZINES</t>
        </is>
      </c>
      <c r="E552" s="17" t="inlineStr">
        <is>
          <t>HIGH</t>
        </is>
      </c>
      <c r="F552" s="17" t="inlineStr">
        <is>
          <t>TRUNG BÌNH</t>
        </is>
      </c>
      <c r="G552" s="18" t="inlineStr">
        <is>
          <t>RISK_HIGH · PROMO_EXTRAPOLATION</t>
        </is>
      </c>
      <c r="H552" s="19" t="n">
        <v>44.19004344940186</v>
      </c>
      <c r="I552" s="19" t="n">
        <v>221.3102731704712</v>
      </c>
      <c r="J552" s="19" t="n">
        <v>472.0302438735962</v>
      </c>
      <c r="K552" s="19" t="n">
        <v>221.3102731704712</v>
      </c>
      <c r="L552" s="19" t="n">
        <v>378.0102548599243</v>
      </c>
      <c r="M552" s="19" t="n">
        <v>472.0302438735962</v>
      </c>
      <c r="N552" s="17" t="inlineStr">
        <is>
          <t>B</t>
        </is>
      </c>
      <c r="O552" s="19" t="n">
        <v>200.9620363235473</v>
      </c>
      <c r="P552" s="18" t="inlineStr">
        <is>
          <t>CÂN NHẮC THỬ NGHIỆM</t>
        </is>
      </c>
      <c r="Q552" s="17" t="inlineStr">
        <is>
          <t>Có</t>
        </is>
      </c>
      <c r="R552" s="20" t="n"/>
      <c r="S552" s="20" t="n"/>
      <c r="T552" s="21" t="n"/>
      <c r="U552" s="21" t="n"/>
      <c r="V552" s="22">
        <f>IF(U552="A",K552,IF(U552="B",L552,IF(U552="C",M552,IF(N552="A",K552,IF(N552="B",L552,M552)))))</f>
        <v/>
      </c>
      <c r="W552" s="22">
        <f>IF(R552="",O552,MAX(V552-R552-N(S552),0))</f>
        <v/>
      </c>
      <c r="X552" s="20" t="n"/>
      <c r="Y552" s="23">
        <f>IF(OR(X552="",W552=0),"",X552/W552-1)</f>
        <v/>
      </c>
      <c r="Z552" s="24" t="n"/>
      <c r="AA552" s="21" t="n"/>
      <c r="AB552" s="25" t="n"/>
      <c r="AC552" s="26">
        <f>IF(T552="","Chưa quyết định",IF(OR(Z552="",AA552=""),"⚠ Thiếu lý do/người duyệt",IF(AND(X552&lt;&gt;"",N(X552)+N(R552)+N(S552)&gt;M552*1.001,R552&lt;&gt;""),"⚠ Vượt mục tiêu P90",IF(AND(Y552&lt;&gt;"",ABS(N(Y552))&gt;0.3),"⚠ Lệch &gt; 30% so với nhu cầu",IF(Q552="Có","ℹ Kiểm tra ngoại suy KM","✓ Hợp lệ")))))</f>
        <v/>
      </c>
    </row>
    <row r="553">
      <c r="A553" s="16" t="n">
        <v>549</v>
      </c>
      <c r="B553" s="17" t="inlineStr">
        <is>
          <t>DEC-S49-MAGAZINES</t>
        </is>
      </c>
      <c r="C553" s="16" t="n">
        <v>49</v>
      </c>
      <c r="D553" s="17" t="inlineStr">
        <is>
          <t>MAGAZINES</t>
        </is>
      </c>
      <c r="E553" s="17" t="inlineStr">
        <is>
          <t>HIGH</t>
        </is>
      </c>
      <c r="F553" s="17" t="inlineStr">
        <is>
          <t>TRUNG BÌNH</t>
        </is>
      </c>
      <c r="G553" s="18" t="inlineStr">
        <is>
          <t>RISK_HIGH · PROMO_EXTRAPOLATION</t>
        </is>
      </c>
      <c r="H553" s="19" t="n">
        <v>52.02664661407471</v>
      </c>
      <c r="I553" s="19" t="n">
        <v>221.0180721282959</v>
      </c>
      <c r="J553" s="19" t="n">
        <v>463.5642070770264</v>
      </c>
      <c r="K553" s="19" t="n">
        <v>221.0180721282959</v>
      </c>
      <c r="L553" s="19" t="n">
        <v>372.6094064712524</v>
      </c>
      <c r="M553" s="19" t="n">
        <v>463.5642070770264</v>
      </c>
      <c r="N553" s="17" t="inlineStr">
        <is>
          <t>B</t>
        </is>
      </c>
      <c r="O553" s="19" t="n">
        <v>195.7949487686157</v>
      </c>
      <c r="P553" s="18" t="inlineStr">
        <is>
          <t>CÂN NHẮC THỬ NGHIỆM</t>
        </is>
      </c>
      <c r="Q553" s="17" t="inlineStr">
        <is>
          <t>Có</t>
        </is>
      </c>
      <c r="R553" s="20" t="n"/>
      <c r="S553" s="20" t="n"/>
      <c r="T553" s="21" t="n"/>
      <c r="U553" s="21" t="n"/>
      <c r="V553" s="22">
        <f>IF(U553="A",K553,IF(U553="B",L553,IF(U553="C",M553,IF(N553="A",K553,IF(N553="B",L553,M553)))))</f>
        <v/>
      </c>
      <c r="W553" s="22">
        <f>IF(R553="",O553,MAX(V553-R553-N(S553),0))</f>
        <v/>
      </c>
      <c r="X553" s="20" t="n"/>
      <c r="Y553" s="23">
        <f>IF(OR(X553="",W553=0),"",X553/W553-1)</f>
        <v/>
      </c>
      <c r="Z553" s="24" t="n"/>
      <c r="AA553" s="21" t="n"/>
      <c r="AB553" s="25" t="n"/>
      <c r="AC553" s="26">
        <f>IF(T553="","Chưa quyết định",IF(OR(Z553="",AA553=""),"⚠ Thiếu lý do/người duyệt",IF(AND(X553&lt;&gt;"",N(X553)+N(R553)+N(S553)&gt;M553*1.001,R553&lt;&gt;""),"⚠ Vượt mục tiêu P90",IF(AND(Y553&lt;&gt;"",ABS(N(Y553))&gt;0.3),"⚠ Lệch &gt; 30% so với nhu cầu",IF(Q553="Có","ℹ Kiểm tra ngoại suy KM","✓ Hợp lệ")))))</f>
        <v/>
      </c>
    </row>
    <row r="554">
      <c r="A554" s="16" t="n">
        <v>550</v>
      </c>
      <c r="B554" s="17" t="inlineStr">
        <is>
          <t>DEC-S46-CELEBRATION</t>
        </is>
      </c>
      <c r="C554" s="16" t="n">
        <v>46</v>
      </c>
      <c r="D554" s="17" t="inlineStr">
        <is>
          <t>CELEBRATION</t>
        </is>
      </c>
      <c r="E554" s="17" t="inlineStr">
        <is>
          <t>HIGH</t>
        </is>
      </c>
      <c r="F554" s="17" t="inlineStr">
        <is>
          <t>TRUNG BÌNH</t>
        </is>
      </c>
      <c r="G554" s="18" t="inlineStr">
        <is>
          <t>RISK_HIGH · PROMO_EXTRAPOLATION</t>
        </is>
      </c>
      <c r="H554" s="19" t="n">
        <v>59.90858459472656</v>
      </c>
      <c r="I554" s="19" t="n">
        <v>220.7832345962524</v>
      </c>
      <c r="J554" s="19" t="n">
        <v>446.9816980361938</v>
      </c>
      <c r="K554" s="19" t="n">
        <v>220.7832345962524</v>
      </c>
      <c r="L554" s="19" t="n">
        <v>362.1572742462158</v>
      </c>
      <c r="M554" s="19" t="n">
        <v>446.9816980361938</v>
      </c>
      <c r="N554" s="17" t="inlineStr">
        <is>
          <t>B</t>
        </is>
      </c>
      <c r="O554" s="19" t="n">
        <v>185.5306865692138</v>
      </c>
      <c r="P554" s="18" t="inlineStr">
        <is>
          <t>CÂN NHẮC THỬ NGHIỆM</t>
        </is>
      </c>
      <c r="Q554" s="17" t="inlineStr">
        <is>
          <t>Có</t>
        </is>
      </c>
      <c r="R554" s="20" t="n"/>
      <c r="S554" s="20" t="n"/>
      <c r="T554" s="21" t="n"/>
      <c r="U554" s="21" t="n"/>
      <c r="V554" s="22">
        <f>IF(U554="A",K554,IF(U554="B",L554,IF(U554="C",M554,IF(N554="A",K554,IF(N554="B",L554,M554)))))</f>
        <v/>
      </c>
      <c r="W554" s="22">
        <f>IF(R554="",O554,MAX(V554-R554-N(S554),0))</f>
        <v/>
      </c>
      <c r="X554" s="20" t="n"/>
      <c r="Y554" s="23">
        <f>IF(OR(X554="",W554=0),"",X554/W554-1)</f>
        <v/>
      </c>
      <c r="Z554" s="24" t="n"/>
      <c r="AA554" s="21" t="n"/>
      <c r="AB554" s="25" t="n"/>
      <c r="AC554" s="26">
        <f>IF(T554="","Chưa quyết định",IF(OR(Z554="",AA554=""),"⚠ Thiếu lý do/người duyệt",IF(AND(X554&lt;&gt;"",N(X554)+N(R554)+N(S554)&gt;M554*1.001,R554&lt;&gt;""),"⚠ Vượt mục tiêu P90",IF(AND(Y554&lt;&gt;"",ABS(N(Y554))&gt;0.3),"⚠ Lệch &gt; 30% so với nhu cầu",IF(Q554="Có","ℹ Kiểm tra ngoại suy KM","✓ Hợp lệ")))))</f>
        <v/>
      </c>
    </row>
    <row r="555">
      <c r="A555" s="16" t="n">
        <v>551</v>
      </c>
      <c r="B555" s="17" t="inlineStr">
        <is>
          <t>DEC-S41-BEAUTY</t>
        </is>
      </c>
      <c r="C555" s="16" t="n">
        <v>41</v>
      </c>
      <c r="D555" s="17" t="inlineStr">
        <is>
          <t>BEAUTY</t>
        </is>
      </c>
      <c r="E555" s="17" t="inlineStr">
        <is>
          <t>HIGH</t>
        </is>
      </c>
      <c r="F555" s="17" t="inlineStr">
        <is>
          <t>TRUNG BÌNH</t>
        </is>
      </c>
      <c r="G555" s="18" t="inlineStr">
        <is>
          <t>RISK_HIGH · PROMO_EXTRAPOLATION</t>
        </is>
      </c>
      <c r="H555" s="19" t="n">
        <v>49.75033664703369</v>
      </c>
      <c r="I555" s="19" t="n">
        <v>220.5846719741821</v>
      </c>
      <c r="J555" s="19" t="n">
        <v>454.9569711685181</v>
      </c>
      <c r="K555" s="19" t="n">
        <v>220.5846719741821</v>
      </c>
      <c r="L555" s="19" t="n">
        <v>367.0673589706421</v>
      </c>
      <c r="M555" s="19" t="n">
        <v>454.9569711685181</v>
      </c>
      <c r="N555" s="17" t="inlineStr">
        <is>
          <t>B</t>
        </is>
      </c>
      <c r="O555" s="19" t="n">
        <v>190.5996213912964</v>
      </c>
      <c r="P555" s="18" t="inlineStr">
        <is>
          <t>CÂN NHẮC THỬ NGHIỆM</t>
        </is>
      </c>
      <c r="Q555" s="17" t="inlineStr">
        <is>
          <t>Có</t>
        </is>
      </c>
      <c r="R555" s="20" t="n"/>
      <c r="S555" s="20" t="n"/>
      <c r="T555" s="21" t="n"/>
      <c r="U555" s="21" t="n"/>
      <c r="V555" s="22">
        <f>IF(U555="A",K555,IF(U555="B",L555,IF(U555="C",M555,IF(N555="A",K555,IF(N555="B",L555,M555)))))</f>
        <v/>
      </c>
      <c r="W555" s="22">
        <f>IF(R555="",O555,MAX(V555-R555-N(S555),0))</f>
        <v/>
      </c>
      <c r="X555" s="20" t="n"/>
      <c r="Y555" s="23">
        <f>IF(OR(X555="",W555=0),"",X555/W555-1)</f>
        <v/>
      </c>
      <c r="Z555" s="24" t="n"/>
      <c r="AA555" s="21" t="n"/>
      <c r="AB555" s="25" t="n"/>
      <c r="AC555" s="26">
        <f>IF(T555="","Chưa quyết định",IF(OR(Z555="",AA555=""),"⚠ Thiếu lý do/người duyệt",IF(AND(X555&lt;&gt;"",N(X555)+N(R555)+N(S555)&gt;M555*1.001,R555&lt;&gt;""),"⚠ Vượt mục tiêu P90",IF(AND(Y555&lt;&gt;"",ABS(N(Y555))&gt;0.3),"⚠ Lệch &gt; 30% so với nhu cầu",IF(Q555="Có","ℹ Kiểm tra ngoại suy KM","✓ Hợp lệ")))))</f>
        <v/>
      </c>
    </row>
    <row r="556">
      <c r="A556" s="16" t="n">
        <v>552</v>
      </c>
      <c r="B556" s="17" t="inlineStr">
        <is>
          <t>DEC-S53-GROCERY_II</t>
        </is>
      </c>
      <c r="C556" s="16" t="n">
        <v>53</v>
      </c>
      <c r="D556" s="17" t="inlineStr">
        <is>
          <t>GROCERY II</t>
        </is>
      </c>
      <c r="E556" s="17" t="inlineStr">
        <is>
          <t>HIGH</t>
        </is>
      </c>
      <c r="F556" s="17" t="inlineStr">
        <is>
          <t>TRUNG BÌNH</t>
        </is>
      </c>
      <c r="G556" s="18" t="inlineStr">
        <is>
          <t>RISK_HIGH · PROMO_EXTRAPOLATION</t>
        </is>
      </c>
      <c r="H556" s="19" t="n">
        <v>76.683349609375</v>
      </c>
      <c r="I556" s="19" t="n">
        <v>219.2807025909424</v>
      </c>
      <c r="J556" s="19" t="n">
        <v>420.9576587677002</v>
      </c>
      <c r="K556" s="19" t="n">
        <v>219.2807025909424</v>
      </c>
      <c r="L556" s="19" t="n">
        <v>345.328800201416</v>
      </c>
      <c r="M556" s="19" t="n">
        <v>420.9576587677002</v>
      </c>
      <c r="N556" s="17" t="inlineStr">
        <is>
          <t>B</t>
        </is>
      </c>
      <c r="O556" s="19" t="n">
        <v>169.9042381286621</v>
      </c>
      <c r="P556" s="18" t="inlineStr">
        <is>
          <t>CÂN NHẮC THỬ NGHIỆM</t>
        </is>
      </c>
      <c r="Q556" s="17" t="inlineStr">
        <is>
          <t>Có</t>
        </is>
      </c>
      <c r="R556" s="20" t="n"/>
      <c r="S556" s="20" t="n"/>
      <c r="T556" s="21" t="n"/>
      <c r="U556" s="21" t="n"/>
      <c r="V556" s="22">
        <f>IF(U556="A",K556,IF(U556="B",L556,IF(U556="C",M556,IF(N556="A",K556,IF(N556="B",L556,M556)))))</f>
        <v/>
      </c>
      <c r="W556" s="22">
        <f>IF(R556="",O556,MAX(V556-R556-N(S556),0))</f>
        <v/>
      </c>
      <c r="X556" s="20" t="n"/>
      <c r="Y556" s="23">
        <f>IF(OR(X556="",W556=0),"",X556/W556-1)</f>
        <v/>
      </c>
      <c r="Z556" s="24" t="n"/>
      <c r="AA556" s="21" t="n"/>
      <c r="AB556" s="25" t="n"/>
      <c r="AC556" s="26">
        <f>IF(T556="","Chưa quyết định",IF(OR(Z556="",AA556=""),"⚠ Thiếu lý do/người duyệt",IF(AND(X556&lt;&gt;"",N(X556)+N(R556)+N(S556)&gt;M556*1.001,R556&lt;&gt;""),"⚠ Vượt mục tiêu P90",IF(AND(Y556&lt;&gt;"",ABS(N(Y556))&gt;0.3),"⚠ Lệch &gt; 30% so với nhu cầu",IF(Q556="Có","ℹ Kiểm tra ngoại suy KM","✓ Hợp lệ")))))</f>
        <v/>
      </c>
    </row>
    <row r="557">
      <c r="A557" s="16" t="n">
        <v>553</v>
      </c>
      <c r="B557" s="17" t="inlineStr">
        <is>
          <t>DEC-S08-BEAUTY</t>
        </is>
      </c>
      <c r="C557" s="16" t="n">
        <v>8</v>
      </c>
      <c r="D557" s="17" t="inlineStr">
        <is>
          <t>BEAUTY</t>
        </is>
      </c>
      <c r="E557" s="17" t="inlineStr">
        <is>
          <t>HIGH</t>
        </is>
      </c>
      <c r="F557" s="17" t="inlineStr">
        <is>
          <t>TRUNG BÌNH</t>
        </is>
      </c>
      <c r="G557" s="18" t="inlineStr">
        <is>
          <t>RISK_HIGH · PROMO_EXTRAPOLATION</t>
        </is>
      </c>
      <c r="H557" s="19" t="n">
        <v>52.98309659957886</v>
      </c>
      <c r="I557" s="19" t="n">
        <v>219.1157183647156</v>
      </c>
      <c r="J557" s="19" t="n">
        <v>453.4880175590515</v>
      </c>
      <c r="K557" s="19" t="n">
        <v>219.1157183647156</v>
      </c>
      <c r="L557" s="19" t="n">
        <v>365.5984053611755</v>
      </c>
      <c r="M557" s="19" t="n">
        <v>453.4880175590515</v>
      </c>
      <c r="N557" s="17" t="inlineStr">
        <is>
          <t>B</t>
        </is>
      </c>
      <c r="O557" s="19" t="n">
        <v>190.305830669403</v>
      </c>
      <c r="P557" s="18" t="inlineStr">
        <is>
          <t>CÂN NHẮC THỬ NGHIỆM</t>
        </is>
      </c>
      <c r="Q557" s="17" t="inlineStr">
        <is>
          <t>Có</t>
        </is>
      </c>
      <c r="R557" s="20" t="n"/>
      <c r="S557" s="20" t="n"/>
      <c r="T557" s="21" t="n"/>
      <c r="U557" s="21" t="n"/>
      <c r="V557" s="22">
        <f>IF(U557="A",K557,IF(U557="B",L557,IF(U557="C",M557,IF(N557="A",K557,IF(N557="B",L557,M557)))))</f>
        <v/>
      </c>
      <c r="W557" s="22">
        <f>IF(R557="",O557,MAX(V557-R557-N(S557),0))</f>
        <v/>
      </c>
      <c r="X557" s="20" t="n"/>
      <c r="Y557" s="23">
        <f>IF(OR(X557="",W557=0),"",X557/W557-1)</f>
        <v/>
      </c>
      <c r="Z557" s="24" t="n"/>
      <c r="AA557" s="21" t="n"/>
      <c r="AB557" s="25" t="n"/>
      <c r="AC557" s="26">
        <f>IF(T557="","Chưa quyết định",IF(OR(Z557="",AA557=""),"⚠ Thiếu lý do/người duyệt",IF(AND(X557&lt;&gt;"",N(X557)+N(R557)+N(S557)&gt;M557*1.001,R557&lt;&gt;""),"⚠ Vượt mục tiêu P90",IF(AND(Y557&lt;&gt;"",ABS(N(Y557))&gt;0.3),"⚠ Lệch &gt; 30% so với nhu cầu",IF(Q557="Có","ℹ Kiểm tra ngoại suy KM","✓ Hợp lệ")))))</f>
        <v/>
      </c>
    </row>
    <row r="558">
      <c r="A558" s="16" t="n">
        <v>554</v>
      </c>
      <c r="B558" s="17" t="inlineStr">
        <is>
          <t>DEC-S45-AUTOMOTIVE</t>
        </is>
      </c>
      <c r="C558" s="16" t="n">
        <v>45</v>
      </c>
      <c r="D558" s="17" t="inlineStr">
        <is>
          <t>AUTOMOTIVE</t>
        </is>
      </c>
      <c r="E558" s="17" t="inlineStr">
        <is>
          <t>HIGH</t>
        </is>
      </c>
      <c r="F558" s="17" t="inlineStr">
        <is>
          <t>TRUNG BÌNH</t>
        </is>
      </c>
      <c r="G558" s="18" t="inlineStr">
        <is>
          <t>RISK_HIGH · PROMO_EXTRAPOLATION</t>
        </is>
      </c>
      <c r="H558" s="19" t="n">
        <v>72.42954158782959</v>
      </c>
      <c r="I558" s="19" t="n">
        <v>218.0021963119507</v>
      </c>
      <c r="J558" s="19" t="n">
        <v>427.852988243103</v>
      </c>
      <c r="K558" s="19" t="n">
        <v>218.0021963119507</v>
      </c>
      <c r="L558" s="19" t="n">
        <v>349.1589412689209</v>
      </c>
      <c r="M558" s="19" t="n">
        <v>427.852988243103</v>
      </c>
      <c r="N558" s="17" t="inlineStr">
        <is>
          <t>B</t>
        </is>
      </c>
      <c r="O558" s="19" t="n">
        <v>174.7571842193603</v>
      </c>
      <c r="P558" s="18" t="inlineStr">
        <is>
          <t>CÂN NHẮC THỬ NGHIỆM</t>
        </is>
      </c>
      <c r="Q558" s="17" t="inlineStr">
        <is>
          <t>Có</t>
        </is>
      </c>
      <c r="R558" s="20" t="n"/>
      <c r="S558" s="20" t="n"/>
      <c r="T558" s="21" t="n"/>
      <c r="U558" s="21" t="n"/>
      <c r="V558" s="22">
        <f>IF(U558="A",K558,IF(U558="B",L558,IF(U558="C",M558,IF(N558="A",K558,IF(N558="B",L558,M558)))))</f>
        <v/>
      </c>
      <c r="W558" s="22">
        <f>IF(R558="",O558,MAX(V558-R558-N(S558),0))</f>
        <v/>
      </c>
      <c r="X558" s="20" t="n"/>
      <c r="Y558" s="23">
        <f>IF(OR(X558="",W558=0),"",X558/W558-1)</f>
        <v/>
      </c>
      <c r="Z558" s="24" t="n"/>
      <c r="AA558" s="21" t="n"/>
      <c r="AB558" s="25" t="n"/>
      <c r="AC558" s="26">
        <f>IF(T558="","Chưa quyết định",IF(OR(Z558="",AA558=""),"⚠ Thiếu lý do/người duyệt",IF(AND(X558&lt;&gt;"",N(X558)+N(R558)+N(S558)&gt;M558*1.001,R558&lt;&gt;""),"⚠ Vượt mục tiêu P90",IF(AND(Y558&lt;&gt;"",ABS(N(Y558))&gt;0.3),"⚠ Lệch &gt; 30% so với nhu cầu",IF(Q558="Có","ℹ Kiểm tra ngoại suy KM","✓ Hợp lệ")))))</f>
        <v/>
      </c>
    </row>
    <row r="559">
      <c r="A559" s="16" t="n">
        <v>555</v>
      </c>
      <c r="B559" s="17" t="inlineStr">
        <is>
          <t>DEC-S51-PET_SUPPLIES</t>
        </is>
      </c>
      <c r="C559" s="16" t="n">
        <v>51</v>
      </c>
      <c r="D559" s="17" t="inlineStr">
        <is>
          <t>PET SUPPLIES</t>
        </is>
      </c>
      <c r="E559" s="17" t="inlineStr">
        <is>
          <t>HIGH</t>
        </is>
      </c>
      <c r="F559" s="17" t="inlineStr">
        <is>
          <t>TRUNG BÌNH</t>
        </is>
      </c>
      <c r="G559" s="18" t="inlineStr">
        <is>
          <t>RISK_HIGH · PROMO_EXTRAPOLATION</t>
        </is>
      </c>
      <c r="H559" s="19" t="n">
        <v>34.12644481658936</v>
      </c>
      <c r="I559" s="19" t="n">
        <v>216.1217136383057</v>
      </c>
      <c r="J559" s="19" t="n">
        <v>475.0155200958252</v>
      </c>
      <c r="K559" s="19" t="n">
        <v>216.1217136383057</v>
      </c>
      <c r="L559" s="19" t="n">
        <v>377.9303426742554</v>
      </c>
      <c r="M559" s="19" t="n">
        <v>475.0155200958252</v>
      </c>
      <c r="N559" s="17" t="inlineStr">
        <is>
          <t>B</t>
        </is>
      </c>
      <c r="O559" s="19" t="n">
        <v>205.0329717636108</v>
      </c>
      <c r="P559" s="18" t="inlineStr">
        <is>
          <t>CÂN NHẮC THỬ NGHIỆM</t>
        </is>
      </c>
      <c r="Q559" s="17" t="inlineStr">
        <is>
          <t>Có</t>
        </is>
      </c>
      <c r="R559" s="20" t="n"/>
      <c r="S559" s="20" t="n"/>
      <c r="T559" s="21" t="n"/>
      <c r="U559" s="21" t="n"/>
      <c r="V559" s="22">
        <f>IF(U559="A",K559,IF(U559="B",L559,IF(U559="C",M559,IF(N559="A",K559,IF(N559="B",L559,M559)))))</f>
        <v/>
      </c>
      <c r="W559" s="22">
        <f>IF(R559="",O559,MAX(V559-R559-N(S559),0))</f>
        <v/>
      </c>
      <c r="X559" s="20" t="n"/>
      <c r="Y559" s="23">
        <f>IF(OR(X559="",W559=0),"",X559/W559-1)</f>
        <v/>
      </c>
      <c r="Z559" s="24" t="n"/>
      <c r="AA559" s="21" t="n"/>
      <c r="AB559" s="25" t="n"/>
      <c r="AC559" s="26">
        <f>IF(T559="","Chưa quyết định",IF(OR(Z559="",AA559=""),"⚠ Thiếu lý do/người duyệt",IF(AND(X559&lt;&gt;"",N(X559)+N(R559)+N(S559)&gt;M559*1.001,R559&lt;&gt;""),"⚠ Vượt mục tiêu P90",IF(AND(Y559&lt;&gt;"",ABS(N(Y559))&gt;0.3),"⚠ Lệch &gt; 30% so với nhu cầu",IF(Q559="Có","ℹ Kiểm tra ngoại suy KM","✓ Hợp lệ")))))</f>
        <v/>
      </c>
    </row>
    <row r="560">
      <c r="A560" s="16" t="n">
        <v>556</v>
      </c>
      <c r="B560" s="17" t="inlineStr">
        <is>
          <t>DEC-S09-LADIESWEAR</t>
        </is>
      </c>
      <c r="C560" s="16" t="n">
        <v>9</v>
      </c>
      <c r="D560" s="17" t="inlineStr">
        <is>
          <t>LADIESWEAR</t>
        </is>
      </c>
      <c r="E560" s="17" t="inlineStr">
        <is>
          <t>HIGH</t>
        </is>
      </c>
      <c r="F560" s="17" t="inlineStr">
        <is>
          <t>TRUNG BÌNH</t>
        </is>
      </c>
      <c r="G560" s="18" t="inlineStr">
        <is>
          <t>RISK_HIGH · PROMO_EXTRAPOLATION</t>
        </is>
      </c>
      <c r="H560" s="19" t="n">
        <v>77.49811935424805</v>
      </c>
      <c r="I560" s="19" t="n">
        <v>215.8725328445434</v>
      </c>
      <c r="J560" s="19" t="n">
        <v>409.3756532669067</v>
      </c>
      <c r="K560" s="19" t="n">
        <v>215.8725328445434</v>
      </c>
      <c r="L560" s="19" t="n">
        <v>336.8119831085205</v>
      </c>
      <c r="M560" s="19" t="n">
        <v>409.3756532669067</v>
      </c>
      <c r="N560" s="17" t="inlineStr">
        <is>
          <t>B</t>
        </is>
      </c>
      <c r="O560" s="19" t="n">
        <v>164.1139568328857</v>
      </c>
      <c r="P560" s="18" t="inlineStr">
        <is>
          <t>CÂN NHẮC THỬ NGHIỆM</t>
        </is>
      </c>
      <c r="Q560" s="17" t="inlineStr">
        <is>
          <t>Có</t>
        </is>
      </c>
      <c r="R560" s="20" t="n"/>
      <c r="S560" s="20" t="n"/>
      <c r="T560" s="21" t="n"/>
      <c r="U560" s="21" t="n"/>
      <c r="V560" s="22">
        <f>IF(U560="A",K560,IF(U560="B",L560,IF(U560="C",M560,IF(N560="A",K560,IF(N560="B",L560,M560)))))</f>
        <v/>
      </c>
      <c r="W560" s="22">
        <f>IF(R560="",O560,MAX(V560-R560-N(S560),0))</f>
        <v/>
      </c>
      <c r="X560" s="20" t="n"/>
      <c r="Y560" s="23">
        <f>IF(OR(X560="",W560=0),"",X560/W560-1)</f>
        <v/>
      </c>
      <c r="Z560" s="24" t="n"/>
      <c r="AA560" s="21" t="n"/>
      <c r="AB560" s="25" t="n"/>
      <c r="AC560" s="26">
        <f>IF(T560="","Chưa quyết định",IF(OR(Z560="",AA560=""),"⚠ Thiếu lý do/người duyệt",IF(AND(X560&lt;&gt;"",N(X560)+N(R560)+N(S560)&gt;M560*1.001,R560&lt;&gt;""),"⚠ Vượt mục tiêu P90",IF(AND(Y560&lt;&gt;"",ABS(N(Y560))&gt;0.3),"⚠ Lệch &gt; 30% so với nhu cầu",IF(Q560="Có","ℹ Kiểm tra ngoại suy KM","✓ Hợp lệ")))))</f>
        <v/>
      </c>
    </row>
    <row r="561">
      <c r="A561" s="16" t="n">
        <v>557</v>
      </c>
      <c r="B561" s="17" t="inlineStr">
        <is>
          <t>DEC-S35-HOME_AND_KITCHEN_I</t>
        </is>
      </c>
      <c r="C561" s="16" t="n">
        <v>35</v>
      </c>
      <c r="D561" s="17" t="inlineStr">
        <is>
          <t>HOME AND KITCHEN I</t>
        </is>
      </c>
      <c r="E561" s="17" t="inlineStr">
        <is>
          <t>HIGH</t>
        </is>
      </c>
      <c r="F561" s="17" t="inlineStr">
        <is>
          <t>TRUNG BÌNH</t>
        </is>
      </c>
      <c r="G561" s="18" t="inlineStr">
        <is>
          <t>RISK_HIGH · PROMO_EXTRAPOLATION</t>
        </is>
      </c>
      <c r="H561" s="19" t="n">
        <v>74.40674352645874</v>
      </c>
      <c r="I561" s="19" t="n">
        <v>214.7404847145081</v>
      </c>
      <c r="J561" s="19" t="n">
        <v>408.2436051368713</v>
      </c>
      <c r="K561" s="19" t="n">
        <v>214.7404847145081</v>
      </c>
      <c r="L561" s="19" t="n">
        <v>335.6799349784851</v>
      </c>
      <c r="M561" s="19" t="n">
        <v>408.2436051368713</v>
      </c>
      <c r="N561" s="17" t="inlineStr">
        <is>
          <t>B</t>
        </is>
      </c>
      <c r="O561" s="19" t="n">
        <v>163.8875472068787</v>
      </c>
      <c r="P561" s="18" t="inlineStr">
        <is>
          <t>CÂN NHẮC THỬ NGHIỆM</t>
        </is>
      </c>
      <c r="Q561" s="17" t="inlineStr">
        <is>
          <t>Có</t>
        </is>
      </c>
      <c r="R561" s="20" t="n"/>
      <c r="S561" s="20" t="n"/>
      <c r="T561" s="21" t="n"/>
      <c r="U561" s="21" t="n"/>
      <c r="V561" s="22">
        <f>IF(U561="A",K561,IF(U561="B",L561,IF(U561="C",M561,IF(N561="A",K561,IF(N561="B",L561,M561)))))</f>
        <v/>
      </c>
      <c r="W561" s="22">
        <f>IF(R561="",O561,MAX(V561-R561-N(S561),0))</f>
        <v/>
      </c>
      <c r="X561" s="20" t="n"/>
      <c r="Y561" s="23">
        <f>IF(OR(X561="",W561=0),"",X561/W561-1)</f>
        <v/>
      </c>
      <c r="Z561" s="24" t="n"/>
      <c r="AA561" s="21" t="n"/>
      <c r="AB561" s="25" t="n"/>
      <c r="AC561" s="26">
        <f>IF(T561="","Chưa quyết định",IF(OR(Z561="",AA561=""),"⚠ Thiếu lý do/người duyệt",IF(AND(X561&lt;&gt;"",N(X561)+N(R561)+N(S561)&gt;M561*1.001,R561&lt;&gt;""),"⚠ Vượt mục tiêu P90",IF(AND(Y561&lt;&gt;"",ABS(N(Y561))&gt;0.3),"⚠ Lệch &gt; 30% so với nhu cầu",IF(Q561="Có","ℹ Kiểm tra ngoại suy KM","✓ Hợp lệ")))))</f>
        <v/>
      </c>
    </row>
    <row r="562">
      <c r="A562" s="16" t="n">
        <v>558</v>
      </c>
      <c r="B562" s="17" t="inlineStr">
        <is>
          <t>DEC-S18-GROCERY_II</t>
        </is>
      </c>
      <c r="C562" s="16" t="n">
        <v>18</v>
      </c>
      <c r="D562" s="17" t="inlineStr">
        <is>
          <t>GROCERY II</t>
        </is>
      </c>
      <c r="E562" s="17" t="inlineStr">
        <is>
          <t>HIGH</t>
        </is>
      </c>
      <c r="F562" s="17" t="inlineStr">
        <is>
          <t>TRUNG BÌNH</t>
        </is>
      </c>
      <c r="G562" s="18" t="inlineStr">
        <is>
          <t>RISK_HIGH · PROMO_EXTRAPOLATION</t>
        </is>
      </c>
      <c r="H562" s="19" t="n">
        <v>88.9647045135498</v>
      </c>
      <c r="I562" s="19" t="n">
        <v>214.2605104446411</v>
      </c>
      <c r="J562" s="19" t="n">
        <v>385.0674667358398</v>
      </c>
      <c r="K562" s="19" t="n">
        <v>214.2605104446411</v>
      </c>
      <c r="L562" s="19" t="n">
        <v>321.0148581266403</v>
      </c>
      <c r="M562" s="19" t="n">
        <v>385.0674667358398</v>
      </c>
      <c r="N562" s="17" t="inlineStr">
        <is>
          <t>B</t>
        </is>
      </c>
      <c r="O562" s="19" t="n">
        <v>149.6064497709274</v>
      </c>
      <c r="P562" s="18" t="inlineStr">
        <is>
          <t>CÂN NHẮC THỬ NGHIỆM</t>
        </is>
      </c>
      <c r="Q562" s="17" t="inlineStr">
        <is>
          <t>Có</t>
        </is>
      </c>
      <c r="R562" s="20" t="n"/>
      <c r="S562" s="20" t="n"/>
      <c r="T562" s="21" t="n"/>
      <c r="U562" s="21" t="n"/>
      <c r="V562" s="22">
        <f>IF(U562="A",K562,IF(U562="B",L562,IF(U562="C",M562,IF(N562="A",K562,IF(N562="B",L562,M562)))))</f>
        <v/>
      </c>
      <c r="W562" s="22">
        <f>IF(R562="",O562,MAX(V562-R562-N(S562),0))</f>
        <v/>
      </c>
      <c r="X562" s="20" t="n"/>
      <c r="Y562" s="23">
        <f>IF(OR(X562="",W562=0),"",X562/W562-1)</f>
        <v/>
      </c>
      <c r="Z562" s="24" t="n"/>
      <c r="AA562" s="21" t="n"/>
      <c r="AB562" s="25" t="n"/>
      <c r="AC562" s="26">
        <f>IF(T562="","Chưa quyết định",IF(OR(Z562="",AA562=""),"⚠ Thiếu lý do/người duyệt",IF(AND(X562&lt;&gt;"",N(X562)+N(R562)+N(S562)&gt;M562*1.001,R562&lt;&gt;""),"⚠ Vượt mục tiêu P90",IF(AND(Y562&lt;&gt;"",ABS(N(Y562))&gt;0.3),"⚠ Lệch &gt; 30% so với nhu cầu",IF(Q562="Có","ℹ Kiểm tra ngoại suy KM","✓ Hợp lệ")))))</f>
        <v/>
      </c>
    </row>
    <row r="563">
      <c r="A563" s="16" t="n">
        <v>559</v>
      </c>
      <c r="B563" s="17" t="inlineStr">
        <is>
          <t>DEC-S07-CELEBRATION</t>
        </is>
      </c>
      <c r="C563" s="16" t="n">
        <v>7</v>
      </c>
      <c r="D563" s="17" t="inlineStr">
        <is>
          <t>CELEBRATION</t>
        </is>
      </c>
      <c r="E563" s="17" t="inlineStr">
        <is>
          <t>HIGH</t>
        </is>
      </c>
      <c r="F563" s="17" t="inlineStr">
        <is>
          <t>TRUNG BÌNH</t>
        </is>
      </c>
      <c r="G563" s="18" t="inlineStr">
        <is>
          <t>RISK_HIGH · PROMO_EXTRAPOLATION</t>
        </is>
      </c>
      <c r="H563" s="19" t="n">
        <v>32.21942710876465</v>
      </c>
      <c r="I563" s="19" t="n">
        <v>214.0870952606201</v>
      </c>
      <c r="J563" s="19" t="n">
        <v>472.9809017181397</v>
      </c>
      <c r="K563" s="19" t="n">
        <v>214.0870952606201</v>
      </c>
      <c r="L563" s="19" t="n">
        <v>375.8957242965698</v>
      </c>
      <c r="M563" s="19" t="n">
        <v>472.9809017181397</v>
      </c>
      <c r="N563" s="17" t="inlineStr">
        <is>
          <t>B</t>
        </is>
      </c>
      <c r="O563" s="19" t="n">
        <v>204.6260480880737</v>
      </c>
      <c r="P563" s="18" t="inlineStr">
        <is>
          <t>CÂN NHẮC THỬ NGHIỆM</t>
        </is>
      </c>
      <c r="Q563" s="17" t="inlineStr">
        <is>
          <t>Có</t>
        </is>
      </c>
      <c r="R563" s="20" t="n"/>
      <c r="S563" s="20" t="n"/>
      <c r="T563" s="21" t="n"/>
      <c r="U563" s="21" t="n"/>
      <c r="V563" s="22">
        <f>IF(U563="A",K563,IF(U563="B",L563,IF(U563="C",M563,IF(N563="A",K563,IF(N563="B",L563,M563)))))</f>
        <v/>
      </c>
      <c r="W563" s="22">
        <f>IF(R563="",O563,MAX(V563-R563-N(S563),0))</f>
        <v/>
      </c>
      <c r="X563" s="20" t="n"/>
      <c r="Y563" s="23">
        <f>IF(OR(X563="",W563=0),"",X563/W563-1)</f>
        <v/>
      </c>
      <c r="Z563" s="24" t="n"/>
      <c r="AA563" s="21" t="n"/>
      <c r="AB563" s="25" t="n"/>
      <c r="AC563" s="26">
        <f>IF(T563="","Chưa quyết định",IF(OR(Z563="",AA563=""),"⚠ Thiếu lý do/người duyệt",IF(AND(X563&lt;&gt;"",N(X563)+N(R563)+N(S563)&gt;M563*1.001,R563&lt;&gt;""),"⚠ Vượt mục tiêu P90",IF(AND(Y563&lt;&gt;"",ABS(N(Y563))&gt;0.3),"⚠ Lệch &gt; 30% so với nhu cầu",IF(Q563="Có","ℹ Kiểm tra ngoại suy KM","✓ Hợp lệ")))))</f>
        <v/>
      </c>
    </row>
    <row r="564">
      <c r="A564" s="16" t="n">
        <v>560</v>
      </c>
      <c r="B564" s="17" t="inlineStr">
        <is>
          <t>DEC-S18-LINGERIE</t>
        </is>
      </c>
      <c r="C564" s="16" t="n">
        <v>18</v>
      </c>
      <c r="D564" s="17" t="inlineStr">
        <is>
          <t>LINGERIE</t>
        </is>
      </c>
      <c r="E564" s="17" t="inlineStr">
        <is>
          <t>HIGH</t>
        </is>
      </c>
      <c r="F564" s="17" t="inlineStr">
        <is>
          <t>TRUNG BÌNH</t>
        </is>
      </c>
      <c r="G564" s="18" t="inlineStr">
        <is>
          <t>RISK_HIGH · PROMO_EXTRAPOLATION</t>
        </is>
      </c>
      <c r="H564" s="19" t="n">
        <v>65.83901381492615</v>
      </c>
      <c r="I564" s="19" t="n">
        <v>214.0802612304688</v>
      </c>
      <c r="J564" s="19" t="n">
        <v>424.9380328655243</v>
      </c>
      <c r="K564" s="19" t="n">
        <v>214.0802612304688</v>
      </c>
      <c r="L564" s="19" t="n">
        <v>345.8663685023785</v>
      </c>
      <c r="M564" s="19" t="n">
        <v>424.9380328655243</v>
      </c>
      <c r="N564" s="17" t="inlineStr">
        <is>
          <t>B</t>
        </is>
      </c>
      <c r="O564" s="19" t="n">
        <v>174.6021595180034</v>
      </c>
      <c r="P564" s="18" t="inlineStr">
        <is>
          <t>CÂN NHẮC THỬ NGHIỆM</t>
        </is>
      </c>
      <c r="Q564" s="17" t="inlineStr">
        <is>
          <t>Có</t>
        </is>
      </c>
      <c r="R564" s="20" t="n"/>
      <c r="S564" s="20" t="n"/>
      <c r="T564" s="21" t="n"/>
      <c r="U564" s="21" t="n"/>
      <c r="V564" s="22">
        <f>IF(U564="A",K564,IF(U564="B",L564,IF(U564="C",M564,IF(N564="A",K564,IF(N564="B",L564,M564)))))</f>
        <v/>
      </c>
      <c r="W564" s="22">
        <f>IF(R564="",O564,MAX(V564-R564-N(S564),0))</f>
        <v/>
      </c>
      <c r="X564" s="20" t="n"/>
      <c r="Y564" s="23">
        <f>IF(OR(X564="",W564=0),"",X564/W564-1)</f>
        <v/>
      </c>
      <c r="Z564" s="24" t="n"/>
      <c r="AA564" s="21" t="n"/>
      <c r="AB564" s="25" t="n"/>
      <c r="AC564" s="26">
        <f>IF(T564="","Chưa quyết định",IF(OR(Z564="",AA564=""),"⚠ Thiếu lý do/người duyệt",IF(AND(X564&lt;&gt;"",N(X564)+N(R564)+N(S564)&gt;M564*1.001,R564&lt;&gt;""),"⚠ Vượt mục tiêu P90",IF(AND(Y564&lt;&gt;"",ABS(N(Y564))&gt;0.3),"⚠ Lệch &gt; 30% so với nhu cầu",IF(Q564="Có","ℹ Kiểm tra ngoại suy KM","✓ Hợp lệ")))))</f>
        <v/>
      </c>
    </row>
    <row r="565">
      <c r="A565" s="16" t="n">
        <v>561</v>
      </c>
      <c r="B565" s="17" t="inlineStr">
        <is>
          <t>DEC-S13-GROCERY_II</t>
        </is>
      </c>
      <c r="C565" s="16" t="n">
        <v>13</v>
      </c>
      <c r="D565" s="17" t="inlineStr">
        <is>
          <t>GROCERY II</t>
        </is>
      </c>
      <c r="E565" s="17" t="inlineStr">
        <is>
          <t>HIGH</t>
        </is>
      </c>
      <c r="F565" s="17" t="inlineStr">
        <is>
          <t>TRUNG BÌNH</t>
        </is>
      </c>
      <c r="G565" s="18" t="inlineStr">
        <is>
          <t>RISK_HIGH · PROMO_EXTRAPOLATION</t>
        </is>
      </c>
      <c r="H565" s="19" t="n">
        <v>85.57555389404297</v>
      </c>
      <c r="I565" s="19" t="n">
        <v>213.924822807312</v>
      </c>
      <c r="J565" s="19" t="n">
        <v>391.0802717208862</v>
      </c>
      <c r="K565" s="19" t="n">
        <v>213.924822807312</v>
      </c>
      <c r="L565" s="19" t="n">
        <v>324.6469783782959</v>
      </c>
      <c r="M565" s="19" t="n">
        <v>391.0802717208862</v>
      </c>
      <c r="N565" s="17" t="inlineStr">
        <is>
          <t>B</t>
        </is>
      </c>
      <c r="O565" s="19" t="n">
        <v>153.5071201324463</v>
      </c>
      <c r="P565" s="18" t="inlineStr">
        <is>
          <t>CÂN NHẮC THỬ NGHIỆM</t>
        </is>
      </c>
      <c r="Q565" s="17" t="inlineStr">
        <is>
          <t>Có</t>
        </is>
      </c>
      <c r="R565" s="20" t="n"/>
      <c r="S565" s="20" t="n"/>
      <c r="T565" s="21" t="n"/>
      <c r="U565" s="21" t="n"/>
      <c r="V565" s="22">
        <f>IF(U565="A",K565,IF(U565="B",L565,IF(U565="C",M565,IF(N565="A",K565,IF(N565="B",L565,M565)))))</f>
        <v/>
      </c>
      <c r="W565" s="22">
        <f>IF(R565="",O565,MAX(V565-R565-N(S565),0))</f>
        <v/>
      </c>
      <c r="X565" s="20" t="n"/>
      <c r="Y565" s="23">
        <f>IF(OR(X565="",W565=0),"",X565/W565-1)</f>
        <v/>
      </c>
      <c r="Z565" s="24" t="n"/>
      <c r="AA565" s="21" t="n"/>
      <c r="AB565" s="25" t="n"/>
      <c r="AC565" s="26">
        <f>IF(T565="","Chưa quyết định",IF(OR(Z565="",AA565=""),"⚠ Thiếu lý do/người duyệt",IF(AND(X565&lt;&gt;"",N(X565)+N(R565)+N(S565)&gt;M565*1.001,R565&lt;&gt;""),"⚠ Vượt mục tiêu P90",IF(AND(Y565&lt;&gt;"",ABS(N(Y565))&gt;0.3),"⚠ Lệch &gt; 30% so với nhu cầu",IF(Q565="Có","ℹ Kiểm tra ngoại suy KM","✓ Hợp lệ")))))</f>
        <v/>
      </c>
    </row>
    <row r="566">
      <c r="A566" s="16" t="n">
        <v>562</v>
      </c>
      <c r="B566" s="17" t="inlineStr">
        <is>
          <t>DEC-S15-HOME_AND_KITCHEN_II</t>
        </is>
      </c>
      <c r="C566" s="16" t="n">
        <v>15</v>
      </c>
      <c r="D566" s="17" t="inlineStr">
        <is>
          <t>HOME AND KITCHEN II</t>
        </is>
      </c>
      <c r="E566" s="17" t="inlineStr">
        <is>
          <t>HIGH</t>
        </is>
      </c>
      <c r="F566" s="17" t="inlineStr">
        <is>
          <t>TRUNG BÌNH</t>
        </is>
      </c>
      <c r="G566" s="18" t="inlineStr">
        <is>
          <t>RISK_HIGH · PROMO_EXTRAPOLATION</t>
        </is>
      </c>
      <c r="H566" s="19" t="n">
        <v>51.37572193145752</v>
      </c>
      <c r="I566" s="19" t="n">
        <v>213.4604434967041</v>
      </c>
      <c r="J566" s="19" t="n">
        <v>447.83274269104</v>
      </c>
      <c r="K566" s="19" t="n">
        <v>213.4604434967041</v>
      </c>
      <c r="L566" s="19" t="n">
        <v>359.943130493164</v>
      </c>
      <c r="M566" s="19" t="n">
        <v>447.83274269104</v>
      </c>
      <c r="N566" s="17" t="inlineStr">
        <is>
          <t>B</t>
        </is>
      </c>
      <c r="O566" s="19" t="n">
        <v>189.1747756958007</v>
      </c>
      <c r="P566" s="18" t="inlineStr">
        <is>
          <t>CÂN NHẮC THỬ NGHIỆM</t>
        </is>
      </c>
      <c r="Q566" s="17" t="inlineStr">
        <is>
          <t>Có</t>
        </is>
      </c>
      <c r="R566" s="20" t="n"/>
      <c r="S566" s="20" t="n"/>
      <c r="T566" s="21" t="n"/>
      <c r="U566" s="21" t="n"/>
      <c r="V566" s="22">
        <f>IF(U566="A",K566,IF(U566="B",L566,IF(U566="C",M566,IF(N566="A",K566,IF(N566="B",L566,M566)))))</f>
        <v/>
      </c>
      <c r="W566" s="22">
        <f>IF(R566="",O566,MAX(V566-R566-N(S566),0))</f>
        <v/>
      </c>
      <c r="X566" s="20" t="n"/>
      <c r="Y566" s="23">
        <f>IF(OR(X566="",W566=0),"",X566/W566-1)</f>
        <v/>
      </c>
      <c r="Z566" s="24" t="n"/>
      <c r="AA566" s="21" t="n"/>
      <c r="AB566" s="25" t="n"/>
      <c r="AC566" s="26">
        <f>IF(T566="","Chưa quyết định",IF(OR(Z566="",AA566=""),"⚠ Thiếu lý do/người duyệt",IF(AND(X566&lt;&gt;"",N(X566)+N(R566)+N(S566)&gt;M566*1.001,R566&lt;&gt;""),"⚠ Vượt mục tiêu P90",IF(AND(Y566&lt;&gt;"",ABS(N(Y566))&gt;0.3),"⚠ Lệch &gt; 30% so với nhu cầu",IF(Q566="Có","ℹ Kiểm tra ngoại suy KM","✓ Hợp lệ")))))</f>
        <v/>
      </c>
    </row>
    <row r="567">
      <c r="A567" s="16" t="n">
        <v>563</v>
      </c>
      <c r="B567" s="17" t="inlineStr">
        <is>
          <t>DEC-S04-HOME_AND_KITCHEN_II</t>
        </is>
      </c>
      <c r="C567" s="16" t="n">
        <v>4</v>
      </c>
      <c r="D567" s="17" t="inlineStr">
        <is>
          <t>HOME AND KITCHEN II</t>
        </is>
      </c>
      <c r="E567" s="17" t="inlineStr">
        <is>
          <t>HIGH</t>
        </is>
      </c>
      <c r="F567" s="17" t="inlineStr">
        <is>
          <t>TRUNG BÌNH</t>
        </is>
      </c>
      <c r="G567" s="18" t="inlineStr">
        <is>
          <t>RISK_HIGH · PROMO_EXTRAPOLATION</t>
        </is>
      </c>
      <c r="H567" s="19" t="n">
        <v>78.29243850708008</v>
      </c>
      <c r="I567" s="19" t="n">
        <v>213.0470094680786</v>
      </c>
      <c r="J567" s="19" t="n">
        <v>398.3762941360474</v>
      </c>
      <c r="K567" s="19" t="n">
        <v>213.0470094680786</v>
      </c>
      <c r="L567" s="19" t="n">
        <v>328.8778123855591</v>
      </c>
      <c r="M567" s="19" t="n">
        <v>398.3762941360474</v>
      </c>
      <c r="N567" s="17" t="inlineStr">
        <is>
          <t>B</t>
        </is>
      </c>
      <c r="O567" s="19" t="n">
        <v>158.4402048110962</v>
      </c>
      <c r="P567" s="18" t="inlineStr">
        <is>
          <t>CÂN NHẮC THỬ NGHIỆM</t>
        </is>
      </c>
      <c r="Q567" s="17" t="inlineStr">
        <is>
          <t>Có</t>
        </is>
      </c>
      <c r="R567" s="20" t="n"/>
      <c r="S567" s="20" t="n"/>
      <c r="T567" s="21" t="n"/>
      <c r="U567" s="21" t="n"/>
      <c r="V567" s="22">
        <f>IF(U567="A",K567,IF(U567="B",L567,IF(U567="C",M567,IF(N567="A",K567,IF(N567="B",L567,M567)))))</f>
        <v/>
      </c>
      <c r="W567" s="22">
        <f>IF(R567="",O567,MAX(V567-R567-N(S567),0))</f>
        <v/>
      </c>
      <c r="X567" s="20" t="n"/>
      <c r="Y567" s="23">
        <f>IF(OR(X567="",W567=0),"",X567/W567-1)</f>
        <v/>
      </c>
      <c r="Z567" s="24" t="n"/>
      <c r="AA567" s="21" t="n"/>
      <c r="AB567" s="25" t="n"/>
      <c r="AC567" s="26">
        <f>IF(T567="","Chưa quyết định",IF(OR(Z567="",AA567=""),"⚠ Thiếu lý do/người duyệt",IF(AND(X567&lt;&gt;"",N(X567)+N(R567)+N(S567)&gt;M567*1.001,R567&lt;&gt;""),"⚠ Vượt mục tiêu P90",IF(AND(Y567&lt;&gt;"",ABS(N(Y567))&gt;0.3),"⚠ Lệch &gt; 30% so với nhu cầu",IF(Q567="Có","ℹ Kiểm tra ngoại suy KM","✓ Hợp lệ")))))</f>
        <v/>
      </c>
    </row>
    <row r="568">
      <c r="A568" s="16" t="n">
        <v>564</v>
      </c>
      <c r="B568" s="17" t="inlineStr">
        <is>
          <t>DEC-S12-HOME_AND_KITCHEN_II</t>
        </is>
      </c>
      <c r="C568" s="16" t="n">
        <v>12</v>
      </c>
      <c r="D568" s="17" t="inlineStr">
        <is>
          <t>HOME AND KITCHEN II</t>
        </is>
      </c>
      <c r="E568" s="17" t="inlineStr">
        <is>
          <t>HIGH</t>
        </is>
      </c>
      <c r="F568" s="17" t="inlineStr">
        <is>
          <t>TRUNG BÌNH</t>
        </is>
      </c>
      <c r="G568" s="18" t="inlineStr">
        <is>
          <t>RISK_HIGH · PROMO_EXTRAPOLATION</t>
        </is>
      </c>
      <c r="H568" s="19" t="n">
        <v>77.12080669403076</v>
      </c>
      <c r="I568" s="19" t="n">
        <v>211.214186668396</v>
      </c>
      <c r="J568" s="19" t="n">
        <v>396.5434713363648</v>
      </c>
      <c r="K568" s="19" t="n">
        <v>211.214186668396</v>
      </c>
      <c r="L568" s="19" t="n">
        <v>327.0449895858765</v>
      </c>
      <c r="M568" s="19" t="n">
        <v>396.5434713363648</v>
      </c>
      <c r="N568" s="17" t="inlineStr">
        <is>
          <t>B</t>
        </is>
      </c>
      <c r="O568" s="19" t="n">
        <v>158.0736402511596</v>
      </c>
      <c r="P568" s="18" t="inlineStr">
        <is>
          <t>CÂN NHẮC THỬ NGHIỆM</t>
        </is>
      </c>
      <c r="Q568" s="17" t="inlineStr">
        <is>
          <t>Có</t>
        </is>
      </c>
      <c r="R568" s="20" t="n"/>
      <c r="S568" s="20" t="n"/>
      <c r="T568" s="21" t="n"/>
      <c r="U568" s="21" t="n"/>
      <c r="V568" s="22">
        <f>IF(U568="A",K568,IF(U568="B",L568,IF(U568="C",M568,IF(N568="A",K568,IF(N568="B",L568,M568)))))</f>
        <v/>
      </c>
      <c r="W568" s="22">
        <f>IF(R568="",O568,MAX(V568-R568-N(S568),0))</f>
        <v/>
      </c>
      <c r="X568" s="20" t="n"/>
      <c r="Y568" s="23">
        <f>IF(OR(X568="",W568=0),"",X568/W568-1)</f>
        <v/>
      </c>
      <c r="Z568" s="24" t="n"/>
      <c r="AA568" s="21" t="n"/>
      <c r="AB568" s="25" t="n"/>
      <c r="AC568" s="26">
        <f>IF(T568="","Chưa quyết định",IF(OR(Z568="",AA568=""),"⚠ Thiếu lý do/người duyệt",IF(AND(X568&lt;&gt;"",N(X568)+N(R568)+N(S568)&gt;M568*1.001,R568&lt;&gt;""),"⚠ Vượt mục tiêu P90",IF(AND(Y568&lt;&gt;"",ABS(N(Y568))&gt;0.3),"⚠ Lệch &gt; 30% so với nhu cầu",IF(Q568="Có","ℹ Kiểm tra ngoại suy KM","✓ Hợp lệ")))))</f>
        <v/>
      </c>
    </row>
    <row r="569">
      <c r="A569" s="16" t="n">
        <v>565</v>
      </c>
      <c r="B569" s="17" t="inlineStr">
        <is>
          <t>DEC-S43-GROCERY_II</t>
        </is>
      </c>
      <c r="C569" s="16" t="n">
        <v>43</v>
      </c>
      <c r="D569" s="17" t="inlineStr">
        <is>
          <t>GROCERY II</t>
        </is>
      </c>
      <c r="E569" s="17" t="inlineStr">
        <is>
          <t>HIGH</t>
        </is>
      </c>
      <c r="F569" s="17" t="inlineStr">
        <is>
          <t>TRUNG BÌNH</t>
        </is>
      </c>
      <c r="G569" s="18" t="inlineStr">
        <is>
          <t>RISK_HIGH · PROMO_EXTRAPOLATION</t>
        </is>
      </c>
      <c r="H569" s="19" t="n">
        <v>97.31942987442017</v>
      </c>
      <c r="I569" s="19" t="n">
        <v>210.1247239112854</v>
      </c>
      <c r="J569" s="19" t="n">
        <v>362.758665561676</v>
      </c>
      <c r="K569" s="19" t="n">
        <v>210.1247239112854</v>
      </c>
      <c r="L569" s="19" t="n">
        <v>305.5209374427795</v>
      </c>
      <c r="M569" s="19" t="n">
        <v>362.758665561676</v>
      </c>
      <c r="N569" s="17" t="inlineStr">
        <is>
          <t>B</t>
        </is>
      </c>
      <c r="O569" s="19" t="n">
        <v>137.4211583137512</v>
      </c>
      <c r="P569" s="18" t="inlineStr">
        <is>
          <t>CÂN NHẮC THỬ NGHIỆM</t>
        </is>
      </c>
      <c r="Q569" s="17" t="inlineStr">
        <is>
          <t>Có</t>
        </is>
      </c>
      <c r="R569" s="20" t="n"/>
      <c r="S569" s="20" t="n"/>
      <c r="T569" s="21" t="n"/>
      <c r="U569" s="21" t="n"/>
      <c r="V569" s="22">
        <f>IF(U569="A",K569,IF(U569="B",L569,IF(U569="C",M569,IF(N569="A",K569,IF(N569="B",L569,M569)))))</f>
        <v/>
      </c>
      <c r="W569" s="22">
        <f>IF(R569="",O569,MAX(V569-R569-N(S569),0))</f>
        <v/>
      </c>
      <c r="X569" s="20" t="n"/>
      <c r="Y569" s="23">
        <f>IF(OR(X569="",W569=0),"",X569/W569-1)</f>
        <v/>
      </c>
      <c r="Z569" s="24" t="n"/>
      <c r="AA569" s="21" t="n"/>
      <c r="AB569" s="25" t="n"/>
      <c r="AC569" s="26">
        <f>IF(T569="","Chưa quyết định",IF(OR(Z569="",AA569=""),"⚠ Thiếu lý do/người duyệt",IF(AND(X569&lt;&gt;"",N(X569)+N(R569)+N(S569)&gt;M569*1.001,R569&lt;&gt;""),"⚠ Vượt mục tiêu P90",IF(AND(Y569&lt;&gt;"",ABS(N(Y569))&gt;0.3),"⚠ Lệch &gt; 30% so với nhu cầu",IF(Q569="Có","ℹ Kiểm tra ngoại suy KM","✓ Hợp lệ")))))</f>
        <v/>
      </c>
    </row>
    <row r="570">
      <c r="A570" s="16" t="n">
        <v>566</v>
      </c>
      <c r="B570" s="17" t="inlineStr">
        <is>
          <t>DEC-S17-LINGERIE</t>
        </is>
      </c>
      <c r="C570" s="16" t="n">
        <v>17</v>
      </c>
      <c r="D570" s="17" t="inlineStr">
        <is>
          <t>LINGERIE</t>
        </is>
      </c>
      <c r="E570" s="17" t="inlineStr">
        <is>
          <t>HIGH</t>
        </is>
      </c>
      <c r="F570" s="17" t="inlineStr">
        <is>
          <t>TRUNG BÌNH</t>
        </is>
      </c>
      <c r="G570" s="18" t="inlineStr">
        <is>
          <t>RISK_HIGH · PROMO_EXTRAPOLATION</t>
        </is>
      </c>
      <c r="H570" s="19" t="n">
        <v>69.39730072021484</v>
      </c>
      <c r="I570" s="19" t="n">
        <v>207.1589169502258</v>
      </c>
      <c r="J570" s="19" t="n">
        <v>408.715635061264</v>
      </c>
      <c r="K570" s="19" t="n">
        <v>207.1589169502258</v>
      </c>
      <c r="L570" s="19" t="n">
        <v>333.1318657696247</v>
      </c>
      <c r="M570" s="19" t="n">
        <v>408.715635061264</v>
      </c>
      <c r="N570" s="17" t="inlineStr">
        <is>
          <t>B</t>
        </is>
      </c>
      <c r="O570" s="19" t="n">
        <v>167.404732209444</v>
      </c>
      <c r="P570" s="18" t="inlineStr">
        <is>
          <t>CÂN NHẮC THỬ NGHIỆM</t>
        </is>
      </c>
      <c r="Q570" s="17" t="inlineStr">
        <is>
          <t>Có</t>
        </is>
      </c>
      <c r="R570" s="20" t="n"/>
      <c r="S570" s="20" t="n"/>
      <c r="T570" s="21" t="n"/>
      <c r="U570" s="21" t="n"/>
      <c r="V570" s="22">
        <f>IF(U570="A",K570,IF(U570="B",L570,IF(U570="C",M570,IF(N570="A",K570,IF(N570="B",L570,M570)))))</f>
        <v/>
      </c>
      <c r="W570" s="22">
        <f>IF(R570="",O570,MAX(V570-R570-N(S570),0))</f>
        <v/>
      </c>
      <c r="X570" s="20" t="n"/>
      <c r="Y570" s="23">
        <f>IF(OR(X570="",W570=0),"",X570/W570-1)</f>
        <v/>
      </c>
      <c r="Z570" s="24" t="n"/>
      <c r="AA570" s="21" t="n"/>
      <c r="AB570" s="25" t="n"/>
      <c r="AC570" s="26">
        <f>IF(T570="","Chưa quyết định",IF(OR(Z570="",AA570=""),"⚠ Thiếu lý do/người duyệt",IF(AND(X570&lt;&gt;"",N(X570)+N(R570)+N(S570)&gt;M570*1.001,R570&lt;&gt;""),"⚠ Vượt mục tiêu P90",IF(AND(Y570&lt;&gt;"",ABS(N(Y570))&gt;0.3),"⚠ Lệch &gt; 30% so với nhu cầu",IF(Q570="Có","ℹ Kiểm tra ngoại suy KM","✓ Hợp lệ")))))</f>
        <v/>
      </c>
    </row>
    <row r="571">
      <c r="A571" s="16" t="n">
        <v>567</v>
      </c>
      <c r="B571" s="17" t="inlineStr">
        <is>
          <t>DEC-S47-AUTOMOTIVE</t>
        </is>
      </c>
      <c r="C571" s="16" t="n">
        <v>47</v>
      </c>
      <c r="D571" s="17" t="inlineStr">
        <is>
          <t>AUTOMOTIVE</t>
        </is>
      </c>
      <c r="E571" s="17" t="inlineStr">
        <is>
          <t>HIGH</t>
        </is>
      </c>
      <c r="F571" s="17" t="inlineStr">
        <is>
          <t>TRUNG BÌNH</t>
        </is>
      </c>
      <c r="G571" s="18" t="inlineStr">
        <is>
          <t>RISK_HIGH · PROMO_EXTRAPOLATION</t>
        </is>
      </c>
      <c r="H571" s="19" t="n">
        <v>72.82221221923828</v>
      </c>
      <c r="I571" s="19" t="n">
        <v>206.6345825195312</v>
      </c>
      <c r="J571" s="19" t="n">
        <v>391.9638671875</v>
      </c>
      <c r="K571" s="19" t="n">
        <v>206.6345825195312</v>
      </c>
      <c r="L571" s="19" t="n">
        <v>322.4653854370117</v>
      </c>
      <c r="M571" s="19" t="n">
        <v>391.9638671875</v>
      </c>
      <c r="N571" s="17" t="inlineStr">
        <is>
          <t>B</t>
        </is>
      </c>
      <c r="O571" s="19" t="n">
        <v>157.1577194213867</v>
      </c>
      <c r="P571" s="18" t="inlineStr">
        <is>
          <t>CÂN NHẮC THỬ NGHIỆM</t>
        </is>
      </c>
      <c r="Q571" s="17" t="inlineStr">
        <is>
          <t>Có</t>
        </is>
      </c>
      <c r="R571" s="20" t="n"/>
      <c r="S571" s="20" t="n"/>
      <c r="T571" s="21" t="n"/>
      <c r="U571" s="21" t="n"/>
      <c r="V571" s="22">
        <f>IF(U571="A",K571,IF(U571="B",L571,IF(U571="C",M571,IF(N571="A",K571,IF(N571="B",L571,M571)))))</f>
        <v/>
      </c>
      <c r="W571" s="22">
        <f>IF(R571="",O571,MAX(V571-R571-N(S571),0))</f>
        <v/>
      </c>
      <c r="X571" s="20" t="n"/>
      <c r="Y571" s="23">
        <f>IF(OR(X571="",W571=0),"",X571/W571-1)</f>
        <v/>
      </c>
      <c r="Z571" s="24" t="n"/>
      <c r="AA571" s="21" t="n"/>
      <c r="AB571" s="25" t="n"/>
      <c r="AC571" s="26">
        <f>IF(T571="","Chưa quyết định",IF(OR(Z571="",AA571=""),"⚠ Thiếu lý do/người duyệt",IF(AND(X571&lt;&gt;"",N(X571)+N(R571)+N(S571)&gt;M571*1.001,R571&lt;&gt;""),"⚠ Vượt mục tiêu P90",IF(AND(Y571&lt;&gt;"",ABS(N(Y571))&gt;0.3),"⚠ Lệch &gt; 30% so với nhu cầu",IF(Q571="Có","ℹ Kiểm tra ngoại suy KM","✓ Hợp lệ")))))</f>
        <v/>
      </c>
    </row>
    <row r="572">
      <c r="A572" s="16" t="n">
        <v>568</v>
      </c>
      <c r="B572" s="17" t="inlineStr">
        <is>
          <t>DEC-S05-BEAUTY</t>
        </is>
      </c>
      <c r="C572" s="16" t="n">
        <v>5</v>
      </c>
      <c r="D572" s="17" t="inlineStr">
        <is>
          <t>BEAUTY</t>
        </is>
      </c>
      <c r="E572" s="17" t="inlineStr">
        <is>
          <t>HIGH</t>
        </is>
      </c>
      <c r="F572" s="17" t="inlineStr">
        <is>
          <t>TRUNG BÌNH</t>
        </is>
      </c>
      <c r="G572" s="18" t="inlineStr">
        <is>
          <t>RISK_HIGH · PROMO_EXTRAPOLATION</t>
        </is>
      </c>
      <c r="H572" s="19" t="n">
        <v>43.61388850212097</v>
      </c>
      <c r="I572" s="19" t="n">
        <v>206.4155728816986</v>
      </c>
      <c r="J572" s="19" t="n">
        <v>432.61403632164</v>
      </c>
      <c r="K572" s="19" t="n">
        <v>206.4155728816986</v>
      </c>
      <c r="L572" s="19" t="n">
        <v>347.789612531662</v>
      </c>
      <c r="M572" s="19" t="n">
        <v>432.61403632164</v>
      </c>
      <c r="N572" s="17" t="inlineStr">
        <is>
          <t>B</t>
        </is>
      </c>
      <c r="O572" s="19" t="n">
        <v>182.6571542263031</v>
      </c>
      <c r="P572" s="18" t="inlineStr">
        <is>
          <t>CÂN NHẮC THỬ NGHIỆM</t>
        </is>
      </c>
      <c r="Q572" s="17" t="inlineStr">
        <is>
          <t>Có</t>
        </is>
      </c>
      <c r="R572" s="20" t="n"/>
      <c r="S572" s="20" t="n"/>
      <c r="T572" s="21" t="n"/>
      <c r="U572" s="21" t="n"/>
      <c r="V572" s="22">
        <f>IF(U572="A",K572,IF(U572="B",L572,IF(U572="C",M572,IF(N572="A",K572,IF(N572="B",L572,M572)))))</f>
        <v/>
      </c>
      <c r="W572" s="22">
        <f>IF(R572="",O572,MAX(V572-R572-N(S572),0))</f>
        <v/>
      </c>
      <c r="X572" s="20" t="n"/>
      <c r="Y572" s="23">
        <f>IF(OR(X572="",W572=0),"",X572/W572-1)</f>
        <v/>
      </c>
      <c r="Z572" s="24" t="n"/>
      <c r="AA572" s="21" t="n"/>
      <c r="AB572" s="25" t="n"/>
      <c r="AC572" s="26">
        <f>IF(T572="","Chưa quyết định",IF(OR(Z572="",AA572=""),"⚠ Thiếu lý do/người duyệt",IF(AND(X572&lt;&gt;"",N(X572)+N(R572)+N(S572)&gt;M572*1.001,R572&lt;&gt;""),"⚠ Vượt mục tiêu P90",IF(AND(Y572&lt;&gt;"",ABS(N(Y572))&gt;0.3),"⚠ Lệch &gt; 30% so với nhu cầu",IF(Q572="Có","ℹ Kiểm tra ngoại suy KM","✓ Hợp lệ")))))</f>
        <v/>
      </c>
    </row>
    <row r="573">
      <c r="A573" s="16" t="n">
        <v>569</v>
      </c>
      <c r="B573" s="17" t="inlineStr">
        <is>
          <t>DEC-S38-CELEBRATION</t>
        </is>
      </c>
      <c r="C573" s="16" t="n">
        <v>38</v>
      </c>
      <c r="D573" s="17" t="inlineStr">
        <is>
          <t>CELEBRATION</t>
        </is>
      </c>
      <c r="E573" s="17" t="inlineStr">
        <is>
          <t>HIGH</t>
        </is>
      </c>
      <c r="F573" s="17" t="inlineStr">
        <is>
          <t>TRUNG BÌNH</t>
        </is>
      </c>
      <c r="G573" s="18" t="inlineStr">
        <is>
          <t>RISK_HIGH · PROMO_EXTRAPOLATION</t>
        </is>
      </c>
      <c r="H573" s="19" t="n">
        <v>57.32647705078125</v>
      </c>
      <c r="I573" s="19" t="n">
        <v>206.3219518661499</v>
      </c>
      <c r="J573" s="19" t="n">
        <v>416.1727437973023</v>
      </c>
      <c r="K573" s="19" t="n">
        <v>206.3219518661499</v>
      </c>
      <c r="L573" s="19" t="n">
        <v>337.4786968231201</v>
      </c>
      <c r="M573" s="19" t="n">
        <v>416.1727437973023</v>
      </c>
      <c r="N573" s="17" t="inlineStr">
        <is>
          <t>B</t>
        </is>
      </c>
      <c r="O573" s="19" t="n">
        <v>172.4211353302002</v>
      </c>
      <c r="P573" s="18" t="inlineStr">
        <is>
          <t>CÂN NHẮC THỬ NGHIỆM</t>
        </is>
      </c>
      <c r="Q573" s="17" t="inlineStr">
        <is>
          <t>Có</t>
        </is>
      </c>
      <c r="R573" s="20" t="n"/>
      <c r="S573" s="20" t="n"/>
      <c r="T573" s="21" t="n"/>
      <c r="U573" s="21" t="n"/>
      <c r="V573" s="22">
        <f>IF(U573="A",K573,IF(U573="B",L573,IF(U573="C",M573,IF(N573="A",K573,IF(N573="B",L573,M573)))))</f>
        <v/>
      </c>
      <c r="W573" s="22">
        <f>IF(R573="",O573,MAX(V573-R573-N(S573),0))</f>
        <v/>
      </c>
      <c r="X573" s="20" t="n"/>
      <c r="Y573" s="23">
        <f>IF(OR(X573="",W573=0),"",X573/W573-1)</f>
        <v/>
      </c>
      <c r="Z573" s="24" t="n"/>
      <c r="AA573" s="21" t="n"/>
      <c r="AB573" s="25" t="n"/>
      <c r="AC573" s="26">
        <f>IF(T573="","Chưa quyết định",IF(OR(Z573="",AA573=""),"⚠ Thiếu lý do/người duyệt",IF(AND(X573&lt;&gt;"",N(X573)+N(R573)+N(S573)&gt;M573*1.001,R573&lt;&gt;""),"⚠ Vượt mục tiêu P90",IF(AND(Y573&lt;&gt;"",ABS(N(Y573))&gt;0.3),"⚠ Lệch &gt; 30% so với nhu cầu",IF(Q573="Có","ℹ Kiểm tra ngoại suy KM","✓ Hợp lệ")))))</f>
        <v/>
      </c>
    </row>
    <row r="574">
      <c r="A574" s="16" t="n">
        <v>570</v>
      </c>
      <c r="B574" s="17" t="inlineStr">
        <is>
          <t>DEC-S50-PET_SUPPLIES</t>
        </is>
      </c>
      <c r="C574" s="16" t="n">
        <v>50</v>
      </c>
      <c r="D574" s="17" t="inlineStr">
        <is>
          <t>PET SUPPLIES</t>
        </is>
      </c>
      <c r="E574" s="17" t="inlineStr">
        <is>
          <t>HIGH</t>
        </is>
      </c>
      <c r="F574" s="17" t="inlineStr">
        <is>
          <t>TRUNG BÌNH</t>
        </is>
      </c>
      <c r="G574" s="18" t="inlineStr">
        <is>
          <t>RISK_HIGH · PROMO_EXTRAPOLATION</t>
        </is>
      </c>
      <c r="H574" s="19" t="n">
        <v>77.61191177368164</v>
      </c>
      <c r="I574" s="19" t="n">
        <v>206.1740446090699</v>
      </c>
      <c r="J574" s="19" t="n">
        <v>383.329493522644</v>
      </c>
      <c r="K574" s="19" t="n">
        <v>206.1740446090699</v>
      </c>
      <c r="L574" s="19" t="n">
        <v>316.8962001800537</v>
      </c>
      <c r="M574" s="19" t="n">
        <v>383.329493522644</v>
      </c>
      <c r="N574" s="17" t="inlineStr">
        <is>
          <t>B</t>
        </is>
      </c>
      <c r="O574" s="19" t="n">
        <v>151.9569644927979</v>
      </c>
      <c r="P574" s="18" t="inlineStr">
        <is>
          <t>CÂN NHẮC THỬ NGHIỆM</t>
        </is>
      </c>
      <c r="Q574" s="17" t="inlineStr">
        <is>
          <t>Có</t>
        </is>
      </c>
      <c r="R574" s="20" t="n"/>
      <c r="S574" s="20" t="n"/>
      <c r="T574" s="21" t="n"/>
      <c r="U574" s="21" t="n"/>
      <c r="V574" s="22">
        <f>IF(U574="A",K574,IF(U574="B",L574,IF(U574="C",M574,IF(N574="A",K574,IF(N574="B",L574,M574)))))</f>
        <v/>
      </c>
      <c r="W574" s="22">
        <f>IF(R574="",O574,MAX(V574-R574-N(S574),0))</f>
        <v/>
      </c>
      <c r="X574" s="20" t="n"/>
      <c r="Y574" s="23">
        <f>IF(OR(X574="",W574=0),"",X574/W574-1)</f>
        <v/>
      </c>
      <c r="Z574" s="24" t="n"/>
      <c r="AA574" s="21" t="n"/>
      <c r="AB574" s="25" t="n"/>
      <c r="AC574" s="26">
        <f>IF(T574="","Chưa quyết định",IF(OR(Z574="",AA574=""),"⚠ Thiếu lý do/người duyệt",IF(AND(X574&lt;&gt;"",N(X574)+N(R574)+N(S574)&gt;M574*1.001,R574&lt;&gt;""),"⚠ Vượt mục tiêu P90",IF(AND(Y574&lt;&gt;"",ABS(N(Y574))&gt;0.3),"⚠ Lệch &gt; 30% so với nhu cầu",IF(Q574="Có","ℹ Kiểm tra ngoại suy KM","✓ Hợp lệ")))))</f>
        <v/>
      </c>
    </row>
    <row r="575">
      <c r="A575" s="16" t="n">
        <v>571</v>
      </c>
      <c r="B575" s="17" t="inlineStr">
        <is>
          <t>DEC-S51-BEAUTY</t>
        </is>
      </c>
      <c r="C575" s="16" t="n">
        <v>51</v>
      </c>
      <c r="D575" s="17" t="inlineStr">
        <is>
          <t>BEAUTY</t>
        </is>
      </c>
      <c r="E575" s="17" t="inlineStr">
        <is>
          <t>HIGH</t>
        </is>
      </c>
      <c r="F575" s="17" t="inlineStr">
        <is>
          <t>TRUNG BÌNH</t>
        </is>
      </c>
      <c r="G575" s="18" t="inlineStr">
        <is>
          <t>RISK_HIGH · PROMO_EXTRAPOLATION</t>
        </is>
      </c>
      <c r="H575" s="19" t="n">
        <v>53.21401596069336</v>
      </c>
      <c r="I575" s="19" t="n">
        <v>205.5243225097656</v>
      </c>
      <c r="J575" s="19" t="n">
        <v>418.7710461616516</v>
      </c>
      <c r="K575" s="19" t="n">
        <v>205.5243225097656</v>
      </c>
      <c r="L575" s="19" t="n">
        <v>338.8035247921944</v>
      </c>
      <c r="M575" s="19" t="n">
        <v>418.7710461616516</v>
      </c>
      <c r="N575" s="17" t="inlineStr">
        <is>
          <t>B</t>
        </is>
      </c>
      <c r="O575" s="19" t="n">
        <v>174.3840667843818</v>
      </c>
      <c r="P575" s="18" t="inlineStr">
        <is>
          <t>CÂN NHẮC THỬ NGHIỆM</t>
        </is>
      </c>
      <c r="Q575" s="17" t="inlineStr">
        <is>
          <t>Có</t>
        </is>
      </c>
      <c r="R575" s="20" t="n"/>
      <c r="S575" s="20" t="n"/>
      <c r="T575" s="21" t="n"/>
      <c r="U575" s="21" t="n"/>
      <c r="V575" s="22">
        <f>IF(U575="A",K575,IF(U575="B",L575,IF(U575="C",M575,IF(N575="A",K575,IF(N575="B",L575,M575)))))</f>
        <v/>
      </c>
      <c r="W575" s="22">
        <f>IF(R575="",O575,MAX(V575-R575-N(S575),0))</f>
        <v/>
      </c>
      <c r="X575" s="20" t="n"/>
      <c r="Y575" s="23">
        <f>IF(OR(X575="",W575=0),"",X575/W575-1)</f>
        <v/>
      </c>
      <c r="Z575" s="24" t="n"/>
      <c r="AA575" s="21" t="n"/>
      <c r="AB575" s="25" t="n"/>
      <c r="AC575" s="26">
        <f>IF(T575="","Chưa quyết định",IF(OR(Z575="",AA575=""),"⚠ Thiếu lý do/người duyệt",IF(AND(X575&lt;&gt;"",N(X575)+N(R575)+N(S575)&gt;M575*1.001,R575&lt;&gt;""),"⚠ Vượt mục tiêu P90",IF(AND(Y575&lt;&gt;"",ABS(N(Y575))&gt;0.3),"⚠ Lệch &gt; 30% so với nhu cầu",IF(Q575="Có","ℹ Kiểm tra ngoại suy KM","✓ Hợp lệ")))))</f>
        <v/>
      </c>
    </row>
    <row r="576">
      <c r="A576" s="16" t="n">
        <v>572</v>
      </c>
      <c r="B576" s="17" t="inlineStr">
        <is>
          <t>DEC-S30-HOME_AND_KITCHEN_I</t>
        </is>
      </c>
      <c r="C576" s="16" t="n">
        <v>30</v>
      </c>
      <c r="D576" s="17" t="inlineStr">
        <is>
          <t>HOME AND KITCHEN I</t>
        </is>
      </c>
      <c r="E576" s="17" t="inlineStr">
        <is>
          <t>HIGH</t>
        </is>
      </c>
      <c r="F576" s="17" t="inlineStr">
        <is>
          <t>TRUNG BÌNH</t>
        </is>
      </c>
      <c r="G576" s="18" t="inlineStr">
        <is>
          <t>RISK_HIGH · PROMO_EXTRAPOLATION</t>
        </is>
      </c>
      <c r="H576" s="19" t="n">
        <v>52.03699398040772</v>
      </c>
      <c r="I576" s="19" t="n">
        <v>205.3237581253052</v>
      </c>
      <c r="J576" s="19" t="n">
        <v>415.1745500564575</v>
      </c>
      <c r="K576" s="19" t="n">
        <v>205.3237581253052</v>
      </c>
      <c r="L576" s="19" t="n">
        <v>336.4805030822754</v>
      </c>
      <c r="M576" s="19" t="n">
        <v>415.1745500564575</v>
      </c>
      <c r="N576" s="17" t="inlineStr">
        <is>
          <t>B</t>
        </is>
      </c>
      <c r="O576" s="19" t="n">
        <v>172.2214965820312</v>
      </c>
      <c r="P576" s="18" t="inlineStr">
        <is>
          <t>CÂN NHẮC THỬ NGHIỆM</t>
        </is>
      </c>
      <c r="Q576" s="17" t="inlineStr">
        <is>
          <t>Có</t>
        </is>
      </c>
      <c r="R576" s="20" t="n"/>
      <c r="S576" s="20" t="n"/>
      <c r="T576" s="21" t="n"/>
      <c r="U576" s="21" t="n"/>
      <c r="V576" s="22">
        <f>IF(U576="A",K576,IF(U576="B",L576,IF(U576="C",M576,IF(N576="A",K576,IF(N576="B",L576,M576)))))</f>
        <v/>
      </c>
      <c r="W576" s="22">
        <f>IF(R576="",O576,MAX(V576-R576-N(S576),0))</f>
        <v/>
      </c>
      <c r="X576" s="20" t="n"/>
      <c r="Y576" s="23">
        <f>IF(OR(X576="",W576=0),"",X576/W576-1)</f>
        <v/>
      </c>
      <c r="Z576" s="24" t="n"/>
      <c r="AA576" s="21" t="n"/>
      <c r="AB576" s="25" t="n"/>
      <c r="AC576" s="26">
        <f>IF(T576="","Chưa quyết định",IF(OR(Z576="",AA576=""),"⚠ Thiếu lý do/người duyệt",IF(AND(X576&lt;&gt;"",N(X576)+N(R576)+N(S576)&gt;M576*1.001,R576&lt;&gt;""),"⚠ Vượt mục tiêu P90",IF(AND(Y576&lt;&gt;"",ABS(N(Y576))&gt;0.3),"⚠ Lệch &gt; 30% so với nhu cầu",IF(Q576="Có","ℹ Kiểm tra ngoại suy KM","✓ Hợp lệ")))))</f>
        <v/>
      </c>
    </row>
    <row r="577">
      <c r="A577" s="16" t="n">
        <v>573</v>
      </c>
      <c r="B577" s="17" t="inlineStr">
        <is>
          <t>DEC-S08-MAGAZINES</t>
        </is>
      </c>
      <c r="C577" s="16" t="n">
        <v>8</v>
      </c>
      <c r="D577" s="17" t="inlineStr">
        <is>
          <t>MAGAZINES</t>
        </is>
      </c>
      <c r="E577" s="17" t="inlineStr">
        <is>
          <t>HIGH</t>
        </is>
      </c>
      <c r="F577" s="17" t="inlineStr">
        <is>
          <t>TRUNG BÌNH</t>
        </is>
      </c>
      <c r="G577" s="18" t="inlineStr">
        <is>
          <t>RISK_HIGH · PROMO_EXTRAPOLATION</t>
        </is>
      </c>
      <c r="H577" s="19" t="n">
        <v>27.93975353240967</v>
      </c>
      <c r="I577" s="19" t="n">
        <v>205.0411520004272</v>
      </c>
      <c r="J577" s="19" t="n">
        <v>463.9349584579468</v>
      </c>
      <c r="K577" s="19" t="n">
        <v>205.0411520004272</v>
      </c>
      <c r="L577" s="19" t="n">
        <v>366.849781036377</v>
      </c>
      <c r="M577" s="19" t="n">
        <v>463.9349584579468</v>
      </c>
      <c r="N577" s="17" t="inlineStr">
        <is>
          <t>B</t>
        </is>
      </c>
      <c r="O577" s="19" t="n">
        <v>202.8168594360352</v>
      </c>
      <c r="P577" s="18" t="inlineStr">
        <is>
          <t>CÂN NHẮC THỬ NGHIỆM</t>
        </is>
      </c>
      <c r="Q577" s="17" t="inlineStr">
        <is>
          <t>Có</t>
        </is>
      </c>
      <c r="R577" s="20" t="n"/>
      <c r="S577" s="20" t="n"/>
      <c r="T577" s="21" t="n"/>
      <c r="U577" s="21" t="n"/>
      <c r="V577" s="22">
        <f>IF(U577="A",K577,IF(U577="B",L577,IF(U577="C",M577,IF(N577="A",K577,IF(N577="B",L577,M577)))))</f>
        <v/>
      </c>
      <c r="W577" s="22">
        <f>IF(R577="",O577,MAX(V577-R577-N(S577),0))</f>
        <v/>
      </c>
      <c r="X577" s="20" t="n"/>
      <c r="Y577" s="23">
        <f>IF(OR(X577="",W577=0),"",X577/W577-1)</f>
        <v/>
      </c>
      <c r="Z577" s="24" t="n"/>
      <c r="AA577" s="21" t="n"/>
      <c r="AB577" s="25" t="n"/>
      <c r="AC577" s="26">
        <f>IF(T577="","Chưa quyết định",IF(OR(Z577="",AA577=""),"⚠ Thiếu lý do/người duyệt",IF(AND(X577&lt;&gt;"",N(X577)+N(R577)+N(S577)&gt;M577*1.001,R577&lt;&gt;""),"⚠ Vượt mục tiêu P90",IF(AND(Y577&lt;&gt;"",ABS(N(Y577))&gt;0.3),"⚠ Lệch &gt; 30% so với nhu cầu",IF(Q577="Có","ℹ Kiểm tra ngoại suy KM","✓ Hợp lệ")))))</f>
        <v/>
      </c>
    </row>
    <row r="578">
      <c r="A578" s="16" t="n">
        <v>574</v>
      </c>
      <c r="B578" s="17" t="inlineStr">
        <is>
          <t>DEC-S04-BEAUTY</t>
        </is>
      </c>
      <c r="C578" s="16" t="n">
        <v>4</v>
      </c>
      <c r="D578" s="17" t="inlineStr">
        <is>
          <t>BEAUTY</t>
        </is>
      </c>
      <c r="E578" s="17" t="inlineStr">
        <is>
          <t>HIGH</t>
        </is>
      </c>
      <c r="F578" s="17" t="inlineStr">
        <is>
          <t>TRUNG BÌNH</t>
        </is>
      </c>
      <c r="G578" s="18" t="inlineStr">
        <is>
          <t>RISK_HIGH · PROMO_EXTRAPOLATION</t>
        </is>
      </c>
      <c r="H578" s="19" t="n">
        <v>55.95326137542725</v>
      </c>
      <c r="I578" s="19" t="n">
        <v>204.5184230804444</v>
      </c>
      <c r="J578" s="19" t="n">
        <v>417.7651467323303</v>
      </c>
      <c r="K578" s="19" t="n">
        <v>204.5184230804444</v>
      </c>
      <c r="L578" s="19" t="n">
        <v>337.7976253628731</v>
      </c>
      <c r="M578" s="19" t="n">
        <v>417.7651467323303</v>
      </c>
      <c r="N578" s="17" t="inlineStr">
        <is>
          <t>B</t>
        </is>
      </c>
      <c r="O578" s="19" t="n">
        <v>174.1828868985176</v>
      </c>
      <c r="P578" s="18" t="inlineStr">
        <is>
          <t>CÂN NHẮC THỬ NGHIỆM</t>
        </is>
      </c>
      <c r="Q578" s="17" t="inlineStr">
        <is>
          <t>Có</t>
        </is>
      </c>
      <c r="R578" s="20" t="n"/>
      <c r="S578" s="20" t="n"/>
      <c r="T578" s="21" t="n"/>
      <c r="U578" s="21" t="n"/>
      <c r="V578" s="22">
        <f>IF(U578="A",K578,IF(U578="B",L578,IF(U578="C",M578,IF(N578="A",K578,IF(N578="B",L578,M578)))))</f>
        <v/>
      </c>
      <c r="W578" s="22">
        <f>IF(R578="",O578,MAX(V578-R578-N(S578),0))</f>
        <v/>
      </c>
      <c r="X578" s="20" t="n"/>
      <c r="Y578" s="23">
        <f>IF(OR(X578="",W578=0),"",X578/W578-1)</f>
        <v/>
      </c>
      <c r="Z578" s="24" t="n"/>
      <c r="AA578" s="21" t="n"/>
      <c r="AB578" s="25" t="n"/>
      <c r="AC578" s="26">
        <f>IF(T578="","Chưa quyết định",IF(OR(Z578="",AA578=""),"⚠ Thiếu lý do/người duyệt",IF(AND(X578&lt;&gt;"",N(X578)+N(R578)+N(S578)&gt;M578*1.001,R578&lt;&gt;""),"⚠ Vượt mục tiêu P90",IF(AND(Y578&lt;&gt;"",ABS(N(Y578))&gt;0.3),"⚠ Lệch &gt; 30% so với nhu cầu",IF(Q578="Có","ℹ Kiểm tra ngoại suy KM","✓ Hợp lệ")))))</f>
        <v/>
      </c>
    </row>
    <row r="579">
      <c r="A579" s="16" t="n">
        <v>575</v>
      </c>
      <c r="B579" s="17" t="inlineStr">
        <is>
          <t>DEC-S05-CELEBRATION</t>
        </is>
      </c>
      <c r="C579" s="16" t="n">
        <v>5</v>
      </c>
      <c r="D579" s="17" t="inlineStr">
        <is>
          <t>CELEBRATION</t>
        </is>
      </c>
      <c r="E579" s="17" t="inlineStr">
        <is>
          <t>HIGH</t>
        </is>
      </c>
      <c r="F579" s="17" t="inlineStr">
        <is>
          <t>TRUNG BÌNH</t>
        </is>
      </c>
      <c r="G579" s="18" t="inlineStr">
        <is>
          <t>RISK_HIGH · PROMO_EXTRAPOLATION</t>
        </is>
      </c>
      <c r="H579" s="19" t="n">
        <v>38.47194385528564</v>
      </c>
      <c r="I579" s="19" t="n">
        <v>203.961332321167</v>
      </c>
      <c r="J579" s="19" t="n">
        <v>446.5074672698975</v>
      </c>
      <c r="K579" s="19" t="n">
        <v>203.961332321167</v>
      </c>
      <c r="L579" s="19" t="n">
        <v>355.5526666641235</v>
      </c>
      <c r="M579" s="19" t="n">
        <v>446.5074672698975</v>
      </c>
      <c r="N579" s="17" t="inlineStr">
        <is>
          <t>B</t>
        </is>
      </c>
      <c r="O579" s="19" t="n">
        <v>192.38360080719</v>
      </c>
      <c r="P579" s="18" t="inlineStr">
        <is>
          <t>CÂN NHẮC THỬ NGHIỆM</t>
        </is>
      </c>
      <c r="Q579" s="17" t="inlineStr">
        <is>
          <t>Có</t>
        </is>
      </c>
      <c r="R579" s="20" t="n"/>
      <c r="S579" s="20" t="n"/>
      <c r="T579" s="21" t="n"/>
      <c r="U579" s="21" t="n"/>
      <c r="V579" s="22">
        <f>IF(U579="A",K579,IF(U579="B",L579,IF(U579="C",M579,IF(N579="A",K579,IF(N579="B",L579,M579)))))</f>
        <v/>
      </c>
      <c r="W579" s="22">
        <f>IF(R579="",O579,MAX(V579-R579-N(S579),0))</f>
        <v/>
      </c>
      <c r="X579" s="20" t="n"/>
      <c r="Y579" s="23">
        <f>IF(OR(X579="",W579=0),"",X579/W579-1)</f>
        <v/>
      </c>
      <c r="Z579" s="24" t="n"/>
      <c r="AA579" s="21" t="n"/>
      <c r="AB579" s="25" t="n"/>
      <c r="AC579" s="26">
        <f>IF(T579="","Chưa quyết định",IF(OR(Z579="",AA579=""),"⚠ Thiếu lý do/người duyệt",IF(AND(X579&lt;&gt;"",N(X579)+N(R579)+N(S579)&gt;M579*1.001,R579&lt;&gt;""),"⚠ Vượt mục tiêu P90",IF(AND(Y579&lt;&gt;"",ABS(N(Y579))&gt;0.3),"⚠ Lệch &gt; 30% so với nhu cầu",IF(Q579="Có","ℹ Kiểm tra ngoại suy KM","✓ Hợp lệ")))))</f>
        <v/>
      </c>
    </row>
    <row r="580">
      <c r="A580" s="16" t="n">
        <v>576</v>
      </c>
      <c r="B580" s="17" t="inlineStr">
        <is>
          <t>DEC-S43-LAWN_AND_GARDEN</t>
        </is>
      </c>
      <c r="C580" s="16" t="n">
        <v>43</v>
      </c>
      <c r="D580" s="17" t="inlineStr">
        <is>
          <t>LAWN AND GARDEN</t>
        </is>
      </c>
      <c r="E580" s="17" t="inlineStr">
        <is>
          <t>HIGH</t>
        </is>
      </c>
      <c r="F580" s="17" t="inlineStr">
        <is>
          <t>TRUNG BÌNH</t>
        </is>
      </c>
      <c r="G580" s="18" t="inlineStr">
        <is>
          <t>RISK_HIGH · PROMO_EXTRAPOLATION</t>
        </is>
      </c>
      <c r="H580" s="19" t="n">
        <v>76.4189076423645</v>
      </c>
      <c r="I580" s="19" t="n">
        <v>201.9504218101501</v>
      </c>
      <c r="J580" s="19" t="n">
        <v>372.7573781013489</v>
      </c>
      <c r="K580" s="19" t="n">
        <v>201.9504218101501</v>
      </c>
      <c r="L580" s="19" t="n">
        <v>308.7047694921494</v>
      </c>
      <c r="M580" s="19" t="n">
        <v>372.7573781013489</v>
      </c>
      <c r="N580" s="17" t="inlineStr">
        <is>
          <t>B</t>
        </is>
      </c>
      <c r="O580" s="19" t="n">
        <v>147.1444320440292</v>
      </c>
      <c r="P580" s="18" t="inlineStr">
        <is>
          <t>CÂN NHẮC THỬ NGHIỆM</t>
        </is>
      </c>
      <c r="Q580" s="17" t="inlineStr">
        <is>
          <t>Có</t>
        </is>
      </c>
      <c r="R580" s="20" t="n"/>
      <c r="S580" s="20" t="n"/>
      <c r="T580" s="21" t="n"/>
      <c r="U580" s="21" t="n"/>
      <c r="V580" s="22">
        <f>IF(U580="A",K580,IF(U580="B",L580,IF(U580="C",M580,IF(N580="A",K580,IF(N580="B",L580,M580)))))</f>
        <v/>
      </c>
      <c r="W580" s="22">
        <f>IF(R580="",O580,MAX(V580-R580-N(S580),0))</f>
        <v/>
      </c>
      <c r="X580" s="20" t="n"/>
      <c r="Y580" s="23">
        <f>IF(OR(X580="",W580=0),"",X580/W580-1)</f>
        <v/>
      </c>
      <c r="Z580" s="24" t="n"/>
      <c r="AA580" s="21" t="n"/>
      <c r="AB580" s="25" t="n"/>
      <c r="AC580" s="26">
        <f>IF(T580="","Chưa quyết định",IF(OR(Z580="",AA580=""),"⚠ Thiếu lý do/người duyệt",IF(AND(X580&lt;&gt;"",N(X580)+N(R580)+N(S580)&gt;M580*1.001,R580&lt;&gt;""),"⚠ Vượt mục tiêu P90",IF(AND(Y580&lt;&gt;"",ABS(N(Y580))&gt;0.3),"⚠ Lệch &gt; 30% so với nhu cầu",IF(Q580="Có","ℹ Kiểm tra ngoại suy KM","✓ Hợp lệ")))))</f>
        <v/>
      </c>
    </row>
    <row r="581">
      <c r="A581" s="16" t="n">
        <v>577</v>
      </c>
      <c r="B581" s="17" t="inlineStr">
        <is>
          <t>DEC-S48-AUTOMOTIVE</t>
        </is>
      </c>
      <c r="C581" s="16" t="n">
        <v>48</v>
      </c>
      <c r="D581" s="17" t="inlineStr">
        <is>
          <t>AUTOMOTIVE</t>
        </is>
      </c>
      <c r="E581" s="17" t="inlineStr">
        <is>
          <t>HIGH</t>
        </is>
      </c>
      <c r="F581" s="17" t="inlineStr">
        <is>
          <t>TRUNG BÌNH</t>
        </is>
      </c>
      <c r="G581" s="18" t="inlineStr">
        <is>
          <t>RISK_HIGH · PROMO_EXTRAPOLATION</t>
        </is>
      </c>
      <c r="H581" s="19" t="n">
        <v>78.00985717773438</v>
      </c>
      <c r="I581" s="19" t="n">
        <v>201.6990604400635</v>
      </c>
      <c r="J581" s="19" t="n">
        <v>370.6806735992432</v>
      </c>
      <c r="K581" s="19" t="n">
        <v>201.6990604400635</v>
      </c>
      <c r="L581" s="19" t="n">
        <v>307.3125686645508</v>
      </c>
      <c r="M581" s="19" t="n">
        <v>370.6806735992432</v>
      </c>
      <c r="N581" s="17" t="inlineStr">
        <is>
          <t>B</t>
        </is>
      </c>
      <c r="O581" s="19" t="n">
        <v>145.9533203125</v>
      </c>
      <c r="P581" s="18" t="inlineStr">
        <is>
          <t>CÂN NHẮC THỬ NGHIỆM</t>
        </is>
      </c>
      <c r="Q581" s="17" t="inlineStr">
        <is>
          <t>Có</t>
        </is>
      </c>
      <c r="R581" s="20" t="n"/>
      <c r="S581" s="20" t="n"/>
      <c r="T581" s="21" t="n"/>
      <c r="U581" s="21" t="n"/>
      <c r="V581" s="22">
        <f>IF(U581="A",K581,IF(U581="B",L581,IF(U581="C",M581,IF(N581="A",K581,IF(N581="B",L581,M581)))))</f>
        <v/>
      </c>
      <c r="W581" s="22">
        <f>IF(R581="",O581,MAX(V581-R581-N(S581),0))</f>
        <v/>
      </c>
      <c r="X581" s="20" t="n"/>
      <c r="Y581" s="23">
        <f>IF(OR(X581="",W581=0),"",X581/W581-1)</f>
        <v/>
      </c>
      <c r="Z581" s="24" t="n"/>
      <c r="AA581" s="21" t="n"/>
      <c r="AB581" s="25" t="n"/>
      <c r="AC581" s="26">
        <f>IF(T581="","Chưa quyết định",IF(OR(Z581="",AA581=""),"⚠ Thiếu lý do/người duyệt",IF(AND(X581&lt;&gt;"",N(X581)+N(R581)+N(S581)&gt;M581*1.001,R581&lt;&gt;""),"⚠ Vượt mục tiêu P90",IF(AND(Y581&lt;&gt;"",ABS(N(Y581))&gt;0.3),"⚠ Lệch &gt; 30% so với nhu cầu",IF(Q581="Có","ℹ Kiểm tra ngoại suy KM","✓ Hợp lệ")))))</f>
        <v/>
      </c>
    </row>
    <row r="582">
      <c r="A582" s="16" t="n">
        <v>578</v>
      </c>
      <c r="B582" s="17" t="inlineStr">
        <is>
          <t>DEC-S25-GROCERY_II</t>
        </is>
      </c>
      <c r="C582" s="16" t="n">
        <v>25</v>
      </c>
      <c r="D582" s="17" t="inlineStr">
        <is>
          <t>GROCERY II</t>
        </is>
      </c>
      <c r="E582" s="17" t="inlineStr">
        <is>
          <t>HIGH</t>
        </is>
      </c>
      <c r="F582" s="17" t="inlineStr">
        <is>
          <t>TRUNG BÌNH</t>
        </is>
      </c>
      <c r="G582" s="18" t="inlineStr">
        <is>
          <t>RISK_HIGH · PROMO_EXTRAPOLATION</t>
        </is>
      </c>
      <c r="H582" s="19" t="n">
        <v>33.9035062789917</v>
      </c>
      <c r="I582" s="19" t="n">
        <v>201.3737268447876</v>
      </c>
      <c r="J582" s="19" t="n">
        <v>443.9198617935181</v>
      </c>
      <c r="K582" s="19" t="n">
        <v>201.3737268447876</v>
      </c>
      <c r="L582" s="19" t="n">
        <v>352.9650611877441</v>
      </c>
      <c r="M582" s="19" t="n">
        <v>443.9198617935181</v>
      </c>
      <c r="N582" s="17" t="inlineStr">
        <is>
          <t>B</t>
        </is>
      </c>
      <c r="O582" s="19" t="n">
        <v>191.866079711914</v>
      </c>
      <c r="P582" s="18" t="inlineStr">
        <is>
          <t>CÂN NHẮC THỬ NGHIỆM</t>
        </is>
      </c>
      <c r="Q582" s="17" t="inlineStr">
        <is>
          <t>Có</t>
        </is>
      </c>
      <c r="R582" s="20" t="n"/>
      <c r="S582" s="20" t="n"/>
      <c r="T582" s="21" t="n"/>
      <c r="U582" s="21" t="n"/>
      <c r="V582" s="22">
        <f>IF(U582="A",K582,IF(U582="B",L582,IF(U582="C",M582,IF(N582="A",K582,IF(N582="B",L582,M582)))))</f>
        <v/>
      </c>
      <c r="W582" s="22">
        <f>IF(R582="",O582,MAX(V582-R582-N(S582),0))</f>
        <v/>
      </c>
      <c r="X582" s="20" t="n"/>
      <c r="Y582" s="23">
        <f>IF(OR(X582="",W582=0),"",X582/W582-1)</f>
        <v/>
      </c>
      <c r="Z582" s="24" t="n"/>
      <c r="AA582" s="21" t="n"/>
      <c r="AB582" s="25" t="n"/>
      <c r="AC582" s="26">
        <f>IF(T582="","Chưa quyết định",IF(OR(Z582="",AA582=""),"⚠ Thiếu lý do/người duyệt",IF(AND(X582&lt;&gt;"",N(X582)+N(R582)+N(S582)&gt;M582*1.001,R582&lt;&gt;""),"⚠ Vượt mục tiêu P90",IF(AND(Y582&lt;&gt;"",ABS(N(Y582))&gt;0.3),"⚠ Lệch &gt; 30% so với nhu cầu",IF(Q582="Có","ℹ Kiểm tra ngoại suy KM","✓ Hợp lệ")))))</f>
        <v/>
      </c>
    </row>
    <row r="583">
      <c r="A583" s="16" t="n">
        <v>579</v>
      </c>
      <c r="B583" s="17" t="inlineStr">
        <is>
          <t>DEC-S28-CELEBRATION</t>
        </is>
      </c>
      <c r="C583" s="16" t="n">
        <v>28</v>
      </c>
      <c r="D583" s="17" t="inlineStr">
        <is>
          <t>CELEBRATION</t>
        </is>
      </c>
      <c r="E583" s="17" t="inlineStr">
        <is>
          <t>HIGH</t>
        </is>
      </c>
      <c r="F583" s="17" t="inlineStr">
        <is>
          <t>TRUNG BÌNH</t>
        </is>
      </c>
      <c r="G583" s="18" t="inlineStr">
        <is>
          <t>RISK_HIGH · PROMO_EXTRAPOLATION</t>
        </is>
      </c>
      <c r="H583" s="19" t="n">
        <v>29.1845531463623</v>
      </c>
      <c r="I583" s="19" t="n">
        <v>200.8765668869018</v>
      </c>
      <c r="J583" s="19" t="n">
        <v>443.4227018356323</v>
      </c>
      <c r="K583" s="19" t="n">
        <v>200.8765668869018</v>
      </c>
      <c r="L583" s="19" t="n">
        <v>352.4679012298584</v>
      </c>
      <c r="M583" s="19" t="n">
        <v>443.4227018356323</v>
      </c>
      <c r="N583" s="17" t="inlineStr">
        <is>
          <t>B</t>
        </is>
      </c>
      <c r="O583" s="19" t="n">
        <v>191.7666477203369</v>
      </c>
      <c r="P583" s="18" t="inlineStr">
        <is>
          <t>CÂN NHẮC THỬ NGHIỆM</t>
        </is>
      </c>
      <c r="Q583" s="17" t="inlineStr">
        <is>
          <t>Có</t>
        </is>
      </c>
      <c r="R583" s="20" t="n"/>
      <c r="S583" s="20" t="n"/>
      <c r="T583" s="21" t="n"/>
      <c r="U583" s="21" t="n"/>
      <c r="V583" s="22">
        <f>IF(U583="A",K583,IF(U583="B",L583,IF(U583="C",M583,IF(N583="A",K583,IF(N583="B",L583,M583)))))</f>
        <v/>
      </c>
      <c r="W583" s="22">
        <f>IF(R583="",O583,MAX(V583-R583-N(S583),0))</f>
        <v/>
      </c>
      <c r="X583" s="20" t="n"/>
      <c r="Y583" s="23">
        <f>IF(OR(X583="",W583=0),"",X583/W583-1)</f>
        <v/>
      </c>
      <c r="Z583" s="24" t="n"/>
      <c r="AA583" s="21" t="n"/>
      <c r="AB583" s="25" t="n"/>
      <c r="AC583" s="26">
        <f>IF(T583="","Chưa quyết định",IF(OR(Z583="",AA583=""),"⚠ Thiếu lý do/người duyệt",IF(AND(X583&lt;&gt;"",N(X583)+N(R583)+N(S583)&gt;M583*1.001,R583&lt;&gt;""),"⚠ Vượt mục tiêu P90",IF(AND(Y583&lt;&gt;"",ABS(N(Y583))&gt;0.3),"⚠ Lệch &gt; 30% so với nhu cầu",IF(Q583="Có","ℹ Kiểm tra ngoại suy KM","✓ Hợp lệ")))))</f>
        <v/>
      </c>
    </row>
    <row r="584">
      <c r="A584" s="16" t="n">
        <v>580</v>
      </c>
      <c r="B584" s="17" t="inlineStr">
        <is>
          <t>DEC-S24-CELEBRATION</t>
        </is>
      </c>
      <c r="C584" s="16" t="n">
        <v>24</v>
      </c>
      <c r="D584" s="17" t="inlineStr">
        <is>
          <t>CELEBRATION</t>
        </is>
      </c>
      <c r="E584" s="17" t="inlineStr">
        <is>
          <t>HIGH</t>
        </is>
      </c>
      <c r="F584" s="17" t="inlineStr">
        <is>
          <t>TRUNG BÌNH</t>
        </is>
      </c>
      <c r="G584" s="18" t="inlineStr">
        <is>
          <t>RISK_HIGH · PROMO_EXTRAPOLATION</t>
        </is>
      </c>
      <c r="H584" s="19" t="n">
        <v>45.41590404510498</v>
      </c>
      <c r="I584" s="19" t="n">
        <v>200.5718050003052</v>
      </c>
      <c r="J584" s="19" t="n">
        <v>426.7702684402466</v>
      </c>
      <c r="K584" s="19" t="n">
        <v>200.5718050003052</v>
      </c>
      <c r="L584" s="19" t="n">
        <v>341.9458446502686</v>
      </c>
      <c r="M584" s="19" t="n">
        <v>426.7702684402466</v>
      </c>
      <c r="N584" s="17" t="inlineStr">
        <is>
          <t>B</t>
        </is>
      </c>
      <c r="O584" s="19" t="n">
        <v>181.4884006500244</v>
      </c>
      <c r="P584" s="18" t="inlineStr">
        <is>
          <t>CÂN NHẮC THỬ NGHIỆM</t>
        </is>
      </c>
      <c r="Q584" s="17" t="inlineStr">
        <is>
          <t>Có</t>
        </is>
      </c>
      <c r="R584" s="20" t="n"/>
      <c r="S584" s="20" t="n"/>
      <c r="T584" s="21" t="n"/>
      <c r="U584" s="21" t="n"/>
      <c r="V584" s="22">
        <f>IF(U584="A",K584,IF(U584="B",L584,IF(U584="C",M584,IF(N584="A",K584,IF(N584="B",L584,M584)))))</f>
        <v/>
      </c>
      <c r="W584" s="22">
        <f>IF(R584="",O584,MAX(V584-R584-N(S584),0))</f>
        <v/>
      </c>
      <c r="X584" s="20" t="n"/>
      <c r="Y584" s="23">
        <f>IF(OR(X584="",W584=0),"",X584/W584-1)</f>
        <v/>
      </c>
      <c r="Z584" s="24" t="n"/>
      <c r="AA584" s="21" t="n"/>
      <c r="AB584" s="25" t="n"/>
      <c r="AC584" s="26">
        <f>IF(T584="","Chưa quyết định",IF(OR(Z584="",AA584=""),"⚠ Thiếu lý do/người duyệt",IF(AND(X584&lt;&gt;"",N(X584)+N(R584)+N(S584)&gt;M584*1.001,R584&lt;&gt;""),"⚠ Vượt mục tiêu P90",IF(AND(Y584&lt;&gt;"",ABS(N(Y584))&gt;0.3),"⚠ Lệch &gt; 30% so với nhu cầu",IF(Q584="Có","ℹ Kiểm tra ngoại suy KM","✓ Hợp lệ")))))</f>
        <v/>
      </c>
    </row>
    <row r="585">
      <c r="A585" s="16" t="n">
        <v>581</v>
      </c>
      <c r="B585" s="17" t="inlineStr">
        <is>
          <t>DEC-S42-BEAUTY</t>
        </is>
      </c>
      <c r="C585" s="16" t="n">
        <v>42</v>
      </c>
      <c r="D585" s="17" t="inlineStr">
        <is>
          <t>BEAUTY</t>
        </is>
      </c>
      <c r="E585" s="17" t="inlineStr">
        <is>
          <t>HIGH</t>
        </is>
      </c>
      <c r="F585" s="17" t="inlineStr">
        <is>
          <t>TRUNG BÌNH</t>
        </is>
      </c>
      <c r="G585" s="18" t="inlineStr">
        <is>
          <t>RISK_HIGH · PROMO_EXTRAPOLATION</t>
        </is>
      </c>
      <c r="H585" s="19" t="n">
        <v>46.47982287406921</v>
      </c>
      <c r="I585" s="19" t="n">
        <v>200.3673083782196</v>
      </c>
      <c r="J585" s="19" t="n">
        <v>418.3919360637665</v>
      </c>
      <c r="K585" s="19" t="n">
        <v>200.3673083782196</v>
      </c>
      <c r="L585" s="19" t="n">
        <v>336.6327006816864</v>
      </c>
      <c r="M585" s="19" t="n">
        <v>418.3919360637665</v>
      </c>
      <c r="N585" s="17" t="inlineStr">
        <is>
          <t>B</t>
        </is>
      </c>
      <c r="O585" s="19" t="n">
        <v>176.3388539791107</v>
      </c>
      <c r="P585" s="18" t="inlineStr">
        <is>
          <t>CÂN NHẮC THỬ NGHIỆM</t>
        </is>
      </c>
      <c r="Q585" s="17" t="inlineStr">
        <is>
          <t>Có</t>
        </is>
      </c>
      <c r="R585" s="20" t="n"/>
      <c r="S585" s="20" t="n"/>
      <c r="T585" s="21" t="n"/>
      <c r="U585" s="21" t="n"/>
      <c r="V585" s="22">
        <f>IF(U585="A",K585,IF(U585="B",L585,IF(U585="C",M585,IF(N585="A",K585,IF(N585="B",L585,M585)))))</f>
        <v/>
      </c>
      <c r="W585" s="22">
        <f>IF(R585="",O585,MAX(V585-R585-N(S585),0))</f>
        <v/>
      </c>
      <c r="X585" s="20" t="n"/>
      <c r="Y585" s="23">
        <f>IF(OR(X585="",W585=0),"",X585/W585-1)</f>
        <v/>
      </c>
      <c r="Z585" s="24" t="n"/>
      <c r="AA585" s="21" t="n"/>
      <c r="AB585" s="25" t="n"/>
      <c r="AC585" s="26">
        <f>IF(T585="","Chưa quyết định",IF(OR(Z585="",AA585=""),"⚠ Thiếu lý do/người duyệt",IF(AND(X585&lt;&gt;"",N(X585)+N(R585)+N(S585)&gt;M585*1.001,R585&lt;&gt;""),"⚠ Vượt mục tiêu P90",IF(AND(Y585&lt;&gt;"",ABS(N(Y585))&gt;0.3),"⚠ Lệch &gt; 30% so với nhu cầu",IF(Q585="Có","ℹ Kiểm tra ngoại suy KM","✓ Hợp lệ")))))</f>
        <v/>
      </c>
    </row>
    <row r="586">
      <c r="A586" s="16" t="n">
        <v>582</v>
      </c>
      <c r="B586" s="17" t="inlineStr">
        <is>
          <t>DEC-S13-HOME_AND_KITCHEN_II</t>
        </is>
      </c>
      <c r="C586" s="16" t="n">
        <v>13</v>
      </c>
      <c r="D586" s="17" t="inlineStr">
        <is>
          <t>HOME AND KITCHEN II</t>
        </is>
      </c>
      <c r="E586" s="17" t="inlineStr">
        <is>
          <t>HIGH</t>
        </is>
      </c>
      <c r="F586" s="17" t="inlineStr">
        <is>
          <t>TRUNG BÌNH</t>
        </is>
      </c>
      <c r="G586" s="18" t="inlineStr">
        <is>
          <t>RISK_HIGH · PROMO_EXTRAPOLATION</t>
        </is>
      </c>
      <c r="H586" s="19" t="n">
        <v>29.88959789276123</v>
      </c>
      <c r="I586" s="19" t="n">
        <v>199.2975616455078</v>
      </c>
      <c r="J586" s="19" t="n">
        <v>433.6698608398438</v>
      </c>
      <c r="K586" s="19" t="n">
        <v>199.2975616455078</v>
      </c>
      <c r="L586" s="19" t="n">
        <v>345.7802486419678</v>
      </c>
      <c r="M586" s="19" t="n">
        <v>433.6698608398438</v>
      </c>
      <c r="N586" s="17" t="inlineStr">
        <is>
          <t>B</t>
        </is>
      </c>
      <c r="O586" s="19" t="n">
        <v>186.3421993255615</v>
      </c>
      <c r="P586" s="18" t="inlineStr">
        <is>
          <t>CÂN NHẮC THỬ NGHIỆM</t>
        </is>
      </c>
      <c r="Q586" s="17" t="inlineStr">
        <is>
          <t>Có</t>
        </is>
      </c>
      <c r="R586" s="20" t="n"/>
      <c r="S586" s="20" t="n"/>
      <c r="T586" s="21" t="n"/>
      <c r="U586" s="21" t="n"/>
      <c r="V586" s="22">
        <f>IF(U586="A",K586,IF(U586="B",L586,IF(U586="C",M586,IF(N586="A",K586,IF(N586="B",L586,M586)))))</f>
        <v/>
      </c>
      <c r="W586" s="22">
        <f>IF(R586="",O586,MAX(V586-R586-N(S586),0))</f>
        <v/>
      </c>
      <c r="X586" s="20" t="n"/>
      <c r="Y586" s="23">
        <f>IF(OR(X586="",W586=0),"",X586/W586-1)</f>
        <v/>
      </c>
      <c r="Z586" s="24" t="n"/>
      <c r="AA586" s="21" t="n"/>
      <c r="AB586" s="25" t="n"/>
      <c r="AC586" s="26">
        <f>IF(T586="","Chưa quyết định",IF(OR(Z586="",AA586=""),"⚠ Thiếu lý do/người duyệt",IF(AND(X586&lt;&gt;"",N(X586)+N(R586)+N(S586)&gt;M586*1.001,R586&lt;&gt;""),"⚠ Vượt mục tiêu P90",IF(AND(Y586&lt;&gt;"",ABS(N(Y586))&gt;0.3),"⚠ Lệch &gt; 30% so với nhu cầu",IF(Q586="Có","ℹ Kiểm tra ngoại suy KM","✓ Hợp lệ")))))</f>
        <v/>
      </c>
    </row>
    <row r="587">
      <c r="A587" s="16" t="n">
        <v>583</v>
      </c>
      <c r="B587" s="17" t="inlineStr">
        <is>
          <t>DEC-S11-PLAYERS_AND_ELECTRONICS</t>
        </is>
      </c>
      <c r="C587" s="16" t="n">
        <v>11</v>
      </c>
      <c r="D587" s="17" t="inlineStr">
        <is>
          <t>PLAYERS AND ELECTRONICS</t>
        </is>
      </c>
      <c r="E587" s="17" t="inlineStr">
        <is>
          <t>HIGH</t>
        </is>
      </c>
      <c r="F587" s="17" t="inlineStr">
        <is>
          <t>TRUNG BÌNH</t>
        </is>
      </c>
      <c r="G587" s="18" t="inlineStr">
        <is>
          <t>RISK_HIGH · PROMO_EXTRAPOLATION</t>
        </is>
      </c>
      <c r="H587" s="19" t="n">
        <v>62.21144008636475</v>
      </c>
      <c r="I587" s="19" t="n">
        <v>199.1516895294189</v>
      </c>
      <c r="J587" s="19" t="n">
        <v>392.6548099517822</v>
      </c>
      <c r="K587" s="19" t="n">
        <v>199.1516895294189</v>
      </c>
      <c r="L587" s="19" t="n">
        <v>320.091139793396</v>
      </c>
      <c r="M587" s="19" t="n">
        <v>392.6548099517822</v>
      </c>
      <c r="N587" s="17" t="inlineStr">
        <is>
          <t>B</t>
        </is>
      </c>
      <c r="O587" s="19" t="n">
        <v>160.7697881698608</v>
      </c>
      <c r="P587" s="18" t="inlineStr">
        <is>
          <t>CÂN NHẮC THỬ NGHIỆM</t>
        </is>
      </c>
      <c r="Q587" s="17" t="inlineStr">
        <is>
          <t>Có</t>
        </is>
      </c>
      <c r="R587" s="20" t="n"/>
      <c r="S587" s="20" t="n"/>
      <c r="T587" s="21" t="n"/>
      <c r="U587" s="21" t="n"/>
      <c r="V587" s="22">
        <f>IF(U587="A",K587,IF(U587="B",L587,IF(U587="C",M587,IF(N587="A",K587,IF(N587="B",L587,M587)))))</f>
        <v/>
      </c>
      <c r="W587" s="22">
        <f>IF(R587="",O587,MAX(V587-R587-N(S587),0))</f>
        <v/>
      </c>
      <c r="X587" s="20" t="n"/>
      <c r="Y587" s="23">
        <f>IF(OR(X587="",W587=0),"",X587/W587-1)</f>
        <v/>
      </c>
      <c r="Z587" s="24" t="n"/>
      <c r="AA587" s="21" t="n"/>
      <c r="AB587" s="25" t="n"/>
      <c r="AC587" s="26">
        <f>IF(T587="","Chưa quyết định",IF(OR(Z587="",AA587=""),"⚠ Thiếu lý do/người duyệt",IF(AND(X587&lt;&gt;"",N(X587)+N(R587)+N(S587)&gt;M587*1.001,R587&lt;&gt;""),"⚠ Vượt mục tiêu P90",IF(AND(Y587&lt;&gt;"",ABS(N(Y587))&gt;0.3),"⚠ Lệch &gt; 30% so với nhu cầu",IF(Q587="Có","ℹ Kiểm tra ngoại suy KM","✓ Hợp lệ")))))</f>
        <v/>
      </c>
    </row>
    <row r="588">
      <c r="A588" s="16" t="n">
        <v>584</v>
      </c>
      <c r="B588" s="17" t="inlineStr">
        <is>
          <t>DEC-S02-BEAUTY</t>
        </is>
      </c>
      <c r="C588" s="16" t="n">
        <v>2</v>
      </c>
      <c r="D588" s="17" t="inlineStr">
        <is>
          <t>BEAUTY</t>
        </is>
      </c>
      <c r="E588" s="17" t="inlineStr">
        <is>
          <t>HIGH</t>
        </is>
      </c>
      <c r="F588" s="17" t="inlineStr">
        <is>
          <t>TRUNG BÌNH</t>
        </is>
      </c>
      <c r="G588" s="18" t="inlineStr">
        <is>
          <t>RISK_HIGH · PROMO_EXTRAPOLATION</t>
        </is>
      </c>
      <c r="H588" s="19" t="n">
        <v>49.72549772262573</v>
      </c>
      <c r="I588" s="19" t="n">
        <v>199.0468993186951</v>
      </c>
      <c r="J588" s="19" t="n">
        <v>408.8976912498474</v>
      </c>
      <c r="K588" s="19" t="n">
        <v>199.0468993186951</v>
      </c>
      <c r="L588" s="19" t="n">
        <v>330.2036442756653</v>
      </c>
      <c r="M588" s="19" t="n">
        <v>408.8976912498474</v>
      </c>
      <c r="N588" s="17" t="inlineStr">
        <is>
          <t>B</t>
        </is>
      </c>
      <c r="O588" s="19" t="n">
        <v>170.9661248207092</v>
      </c>
      <c r="P588" s="18" t="inlineStr">
        <is>
          <t>CÂN NHẮC THỬ NGHIỆM</t>
        </is>
      </c>
      <c r="Q588" s="17" t="inlineStr">
        <is>
          <t>Có</t>
        </is>
      </c>
      <c r="R588" s="20" t="n"/>
      <c r="S588" s="20" t="n"/>
      <c r="T588" s="21" t="n"/>
      <c r="U588" s="21" t="n"/>
      <c r="V588" s="22">
        <f>IF(U588="A",K588,IF(U588="B",L588,IF(U588="C",M588,IF(N588="A",K588,IF(N588="B",L588,M588)))))</f>
        <v/>
      </c>
      <c r="W588" s="22">
        <f>IF(R588="",O588,MAX(V588-R588-N(S588),0))</f>
        <v/>
      </c>
      <c r="X588" s="20" t="n"/>
      <c r="Y588" s="23">
        <f>IF(OR(X588="",W588=0),"",X588/W588-1)</f>
        <v/>
      </c>
      <c r="Z588" s="24" t="n"/>
      <c r="AA588" s="21" t="n"/>
      <c r="AB588" s="25" t="n"/>
      <c r="AC588" s="26">
        <f>IF(T588="","Chưa quyết định",IF(OR(Z588="",AA588=""),"⚠ Thiếu lý do/người duyệt",IF(AND(X588&lt;&gt;"",N(X588)+N(R588)+N(S588)&gt;M588*1.001,R588&lt;&gt;""),"⚠ Vượt mục tiêu P90",IF(AND(Y588&lt;&gt;"",ABS(N(Y588))&gt;0.3),"⚠ Lệch &gt; 30% so với nhu cầu",IF(Q588="Có","ℹ Kiểm tra ngoại suy KM","✓ Hợp lệ")))))</f>
        <v/>
      </c>
    </row>
    <row r="589">
      <c r="A589" s="16" t="n">
        <v>585</v>
      </c>
      <c r="B589" s="17" t="inlineStr">
        <is>
          <t>DEC-S24-LADIESWEAR</t>
        </is>
      </c>
      <c r="C589" s="16" t="n">
        <v>24</v>
      </c>
      <c r="D589" s="17" t="inlineStr">
        <is>
          <t>LADIESWEAR</t>
        </is>
      </c>
      <c r="E589" s="17" t="inlineStr">
        <is>
          <t>HIGH</t>
        </is>
      </c>
      <c r="F589" s="17" t="inlineStr">
        <is>
          <t>TRUNG BÌNH</t>
        </is>
      </c>
      <c r="G589" s="18" t="inlineStr">
        <is>
          <t>RISK_HIGH · PROMO_EXTRAPOLATION</t>
        </is>
      </c>
      <c r="H589" s="19" t="n">
        <v>97.75879240036012</v>
      </c>
      <c r="I589" s="19" t="n">
        <v>198.5785403251648</v>
      </c>
      <c r="J589" s="19" t="n">
        <v>334.8648104667664</v>
      </c>
      <c r="K589" s="19" t="n">
        <v>198.5785403251648</v>
      </c>
      <c r="L589" s="19" t="n">
        <v>283.7574591636658</v>
      </c>
      <c r="M589" s="19" t="n">
        <v>334.8648104667664</v>
      </c>
      <c r="N589" s="17" t="inlineStr">
        <is>
          <t>B</t>
        </is>
      </c>
      <c r="O589" s="19" t="n">
        <v>124.8946269035339</v>
      </c>
      <c r="P589" s="18" t="inlineStr">
        <is>
          <t>CÂN NHẮC THỬ NGHIỆM</t>
        </is>
      </c>
      <c r="Q589" s="17" t="inlineStr">
        <is>
          <t>Có</t>
        </is>
      </c>
      <c r="R589" s="20" t="n"/>
      <c r="S589" s="20" t="n"/>
      <c r="T589" s="21" t="n"/>
      <c r="U589" s="21" t="n"/>
      <c r="V589" s="22">
        <f>IF(U589="A",K589,IF(U589="B",L589,IF(U589="C",M589,IF(N589="A",K589,IF(N589="B",L589,M589)))))</f>
        <v/>
      </c>
      <c r="W589" s="22">
        <f>IF(R589="",O589,MAX(V589-R589-N(S589),0))</f>
        <v/>
      </c>
      <c r="X589" s="20" t="n"/>
      <c r="Y589" s="23">
        <f>IF(OR(X589="",W589=0),"",X589/W589-1)</f>
        <v/>
      </c>
      <c r="Z589" s="24" t="n"/>
      <c r="AA589" s="21" t="n"/>
      <c r="AB589" s="25" t="n"/>
      <c r="AC589" s="26">
        <f>IF(T589="","Chưa quyết định",IF(OR(Z589="",AA589=""),"⚠ Thiếu lý do/người duyệt",IF(AND(X589&lt;&gt;"",N(X589)+N(R589)+N(S589)&gt;M589*1.001,R589&lt;&gt;""),"⚠ Vượt mục tiêu P90",IF(AND(Y589&lt;&gt;"",ABS(N(Y589))&gt;0.3),"⚠ Lệch &gt; 30% so với nhu cầu",IF(Q589="Có","ℹ Kiểm tra ngoại suy KM","✓ Hợp lệ")))))</f>
        <v/>
      </c>
    </row>
    <row r="590">
      <c r="A590" s="16" t="n">
        <v>586</v>
      </c>
      <c r="B590" s="17" t="inlineStr">
        <is>
          <t>DEC-S09-BEAUTY</t>
        </is>
      </c>
      <c r="C590" s="16" t="n">
        <v>9</v>
      </c>
      <c r="D590" s="17" t="inlineStr">
        <is>
          <t>BEAUTY</t>
        </is>
      </c>
      <c r="E590" s="17" t="inlineStr">
        <is>
          <t>HIGH</t>
        </is>
      </c>
      <c r="F590" s="17" t="inlineStr">
        <is>
          <t>TRUNG BÌNH</t>
        </is>
      </c>
      <c r="G590" s="18" t="inlineStr">
        <is>
          <t>RISK_HIGH · PROMO_EXTRAPOLATION</t>
        </is>
      </c>
      <c r="H590" s="19" t="n">
        <v>36.84544277191162</v>
      </c>
      <c r="I590" s="19" t="n">
        <v>197.6848983764648</v>
      </c>
      <c r="J590" s="19" t="n">
        <v>423.8833618164063</v>
      </c>
      <c r="K590" s="19" t="n">
        <v>197.6848983764648</v>
      </c>
      <c r="L590" s="19" t="n">
        <v>339.0589380264282</v>
      </c>
      <c r="M590" s="19" t="n">
        <v>423.8833618164063</v>
      </c>
      <c r="N590" s="17" t="inlineStr">
        <is>
          <t>B</t>
        </is>
      </c>
      <c r="O590" s="19" t="n">
        <v>180.9110193252563</v>
      </c>
      <c r="P590" s="18" t="inlineStr">
        <is>
          <t>CÂN NHẮC THỬ NGHIỆM</t>
        </is>
      </c>
      <c r="Q590" s="17" t="inlineStr">
        <is>
          <t>Có</t>
        </is>
      </c>
      <c r="R590" s="20" t="n"/>
      <c r="S590" s="20" t="n"/>
      <c r="T590" s="21" t="n"/>
      <c r="U590" s="21" t="n"/>
      <c r="V590" s="22">
        <f>IF(U590="A",K590,IF(U590="B",L590,IF(U590="C",M590,IF(N590="A",K590,IF(N590="B",L590,M590)))))</f>
        <v/>
      </c>
      <c r="W590" s="22">
        <f>IF(R590="",O590,MAX(V590-R590-N(S590),0))</f>
        <v/>
      </c>
      <c r="X590" s="20" t="n"/>
      <c r="Y590" s="23">
        <f>IF(OR(X590="",W590=0),"",X590/W590-1)</f>
        <v/>
      </c>
      <c r="Z590" s="24" t="n"/>
      <c r="AA590" s="21" t="n"/>
      <c r="AB590" s="25" t="n"/>
      <c r="AC590" s="26">
        <f>IF(T590="","Chưa quyết định",IF(OR(Z590="",AA590=""),"⚠ Thiếu lý do/người duyệt",IF(AND(X590&lt;&gt;"",N(X590)+N(R590)+N(S590)&gt;M590*1.001,R590&lt;&gt;""),"⚠ Vượt mục tiêu P90",IF(AND(Y590&lt;&gt;"",ABS(N(Y590))&gt;0.3),"⚠ Lệch &gt; 30% so với nhu cầu",IF(Q590="Có","ℹ Kiểm tra ngoại suy KM","✓ Hợp lệ")))))</f>
        <v/>
      </c>
    </row>
    <row r="591">
      <c r="A591" s="16" t="n">
        <v>587</v>
      </c>
      <c r="B591" s="17" t="inlineStr">
        <is>
          <t>DEC-S07-LADIESWEAR</t>
        </is>
      </c>
      <c r="C591" s="16" t="n">
        <v>7</v>
      </c>
      <c r="D591" s="17" t="inlineStr">
        <is>
          <t>LADIESWEAR</t>
        </is>
      </c>
      <c r="E591" s="17" t="inlineStr">
        <is>
          <t>HIGH</t>
        </is>
      </c>
      <c r="F591" s="17" t="inlineStr">
        <is>
          <t>TRUNG BÌNH</t>
        </is>
      </c>
      <c r="G591" s="18" t="inlineStr">
        <is>
          <t>RISK_HIGH · PROMO_EXTRAPOLATION</t>
        </is>
      </c>
      <c r="H591" s="19" t="n">
        <v>31.98562622070312</v>
      </c>
      <c r="I591" s="19" t="n">
        <v>196.9848690032959</v>
      </c>
      <c r="J591" s="19" t="n">
        <v>439.5310039520264</v>
      </c>
      <c r="K591" s="19" t="n">
        <v>196.9848690032959</v>
      </c>
      <c r="L591" s="19" t="n">
        <v>348.5762033462524</v>
      </c>
      <c r="M591" s="19" t="n">
        <v>439.5310039520264</v>
      </c>
      <c r="N591" s="17" t="inlineStr">
        <is>
          <t>B</t>
        </is>
      </c>
      <c r="O591" s="19" t="n">
        <v>190.9883081436157</v>
      </c>
      <c r="P591" s="18" t="inlineStr">
        <is>
          <t>CÂN NHẮC THỬ NGHIỆM</t>
        </is>
      </c>
      <c r="Q591" s="17" t="inlineStr">
        <is>
          <t>Có</t>
        </is>
      </c>
      <c r="R591" s="20" t="n"/>
      <c r="S591" s="20" t="n"/>
      <c r="T591" s="21" t="n"/>
      <c r="U591" s="21" t="n"/>
      <c r="V591" s="22">
        <f>IF(U591="A",K591,IF(U591="B",L591,IF(U591="C",M591,IF(N591="A",K591,IF(N591="B",L591,M591)))))</f>
        <v/>
      </c>
      <c r="W591" s="22">
        <f>IF(R591="",O591,MAX(V591-R591-N(S591),0))</f>
        <v/>
      </c>
      <c r="X591" s="20" t="n"/>
      <c r="Y591" s="23">
        <f>IF(OR(X591="",W591=0),"",X591/W591-1)</f>
        <v/>
      </c>
      <c r="Z591" s="24" t="n"/>
      <c r="AA591" s="21" t="n"/>
      <c r="AB591" s="25" t="n"/>
      <c r="AC591" s="26">
        <f>IF(T591="","Chưa quyết định",IF(OR(Z591="",AA591=""),"⚠ Thiếu lý do/người duyệt",IF(AND(X591&lt;&gt;"",N(X591)+N(R591)+N(S591)&gt;M591*1.001,R591&lt;&gt;""),"⚠ Vượt mục tiêu P90",IF(AND(Y591&lt;&gt;"",ABS(N(Y591))&gt;0.3),"⚠ Lệch &gt; 30% so với nhu cầu",IF(Q591="Có","ℹ Kiểm tra ngoại suy KM","✓ Hợp lệ")))))</f>
        <v/>
      </c>
    </row>
    <row r="592">
      <c r="A592" s="16" t="n">
        <v>588</v>
      </c>
      <c r="B592" s="17" t="inlineStr">
        <is>
          <t>DEC-S06-BEAUTY</t>
        </is>
      </c>
      <c r="C592" s="16" t="n">
        <v>6</v>
      </c>
      <c r="D592" s="17" t="inlineStr">
        <is>
          <t>BEAUTY</t>
        </is>
      </c>
      <c r="E592" s="17" t="inlineStr">
        <is>
          <t>HIGH</t>
        </is>
      </c>
      <c r="F592" s="17" t="inlineStr">
        <is>
          <t>TRUNG BÌNH</t>
        </is>
      </c>
      <c r="G592" s="18" t="inlineStr">
        <is>
          <t>RISK_HIGH · PROMO_EXTRAPOLATION</t>
        </is>
      </c>
      <c r="H592" s="19" t="n">
        <v>62.7490713596344</v>
      </c>
      <c r="I592" s="19" t="n">
        <v>195.8383085727692</v>
      </c>
      <c r="J592" s="19" t="n">
        <v>381.1675932407379</v>
      </c>
      <c r="K592" s="19" t="n">
        <v>195.8383085727692</v>
      </c>
      <c r="L592" s="19" t="n">
        <v>311.6691114902496</v>
      </c>
      <c r="M592" s="19" t="n">
        <v>381.1675932407379</v>
      </c>
      <c r="N592" s="17" t="inlineStr">
        <is>
          <t>B</t>
        </is>
      </c>
      <c r="O592" s="19" t="n">
        <v>154.9984646320343</v>
      </c>
      <c r="P592" s="18" t="inlineStr">
        <is>
          <t>CÂN NHẮC THỬ NGHIỆM</t>
        </is>
      </c>
      <c r="Q592" s="17" t="inlineStr">
        <is>
          <t>Có</t>
        </is>
      </c>
      <c r="R592" s="20" t="n"/>
      <c r="S592" s="20" t="n"/>
      <c r="T592" s="21" t="n"/>
      <c r="U592" s="21" t="n"/>
      <c r="V592" s="22">
        <f>IF(U592="A",K592,IF(U592="B",L592,IF(U592="C",M592,IF(N592="A",K592,IF(N592="B",L592,M592)))))</f>
        <v/>
      </c>
      <c r="W592" s="22">
        <f>IF(R592="",O592,MAX(V592-R592-N(S592),0))</f>
        <v/>
      </c>
      <c r="X592" s="20" t="n"/>
      <c r="Y592" s="23">
        <f>IF(OR(X592="",W592=0),"",X592/W592-1)</f>
        <v/>
      </c>
      <c r="Z592" s="24" t="n"/>
      <c r="AA592" s="21" t="n"/>
      <c r="AB592" s="25" t="n"/>
      <c r="AC592" s="26">
        <f>IF(T592="","Chưa quyết định",IF(OR(Z592="",AA592=""),"⚠ Thiếu lý do/người duyệt",IF(AND(X592&lt;&gt;"",N(X592)+N(R592)+N(S592)&gt;M592*1.001,R592&lt;&gt;""),"⚠ Vượt mục tiêu P90",IF(AND(Y592&lt;&gt;"",ABS(N(Y592))&gt;0.3),"⚠ Lệch &gt; 30% so với nhu cầu",IF(Q592="Có","ℹ Kiểm tra ngoại suy KM","✓ Hợp lệ")))))</f>
        <v/>
      </c>
    </row>
    <row r="593">
      <c r="A593" s="16" t="n">
        <v>589</v>
      </c>
      <c r="B593" s="17" t="inlineStr">
        <is>
          <t>DEC-S02-CELEBRATION</t>
        </is>
      </c>
      <c r="C593" s="16" t="n">
        <v>2</v>
      </c>
      <c r="D593" s="17" t="inlineStr">
        <is>
          <t>CELEBRATION</t>
        </is>
      </c>
      <c r="E593" s="17" t="inlineStr">
        <is>
          <t>HIGH</t>
        </is>
      </c>
      <c r="F593" s="17" t="inlineStr">
        <is>
          <t>TRUNG BÌNH</t>
        </is>
      </c>
      <c r="G593" s="18" t="inlineStr">
        <is>
          <t>RISK_HIGH · PROMO_EXTRAPOLATION</t>
        </is>
      </c>
      <c r="H593" s="19" t="n">
        <v>88.36843156814575</v>
      </c>
      <c r="I593" s="19" t="n">
        <v>194.2283978462219</v>
      </c>
      <c r="J593" s="19" t="n">
        <v>338.688503742218</v>
      </c>
      <c r="K593" s="19" t="n">
        <v>194.2283978462219</v>
      </c>
      <c r="L593" s="19" t="n">
        <v>284.5159640312195</v>
      </c>
      <c r="M593" s="19" t="n">
        <v>338.688503742218</v>
      </c>
      <c r="N593" s="17" t="inlineStr">
        <is>
          <t>B</t>
        </is>
      </c>
      <c r="O593" s="19" t="n">
        <v>129.1332457542419</v>
      </c>
      <c r="P593" s="18" t="inlineStr">
        <is>
          <t>CÂN NHẮC THỬ NGHIỆM</t>
        </is>
      </c>
      <c r="Q593" s="17" t="inlineStr">
        <is>
          <t>Có</t>
        </is>
      </c>
      <c r="R593" s="20" t="n"/>
      <c r="S593" s="20" t="n"/>
      <c r="T593" s="21" t="n"/>
      <c r="U593" s="21" t="n"/>
      <c r="V593" s="22">
        <f>IF(U593="A",K593,IF(U593="B",L593,IF(U593="C",M593,IF(N593="A",K593,IF(N593="B",L593,M593)))))</f>
        <v/>
      </c>
      <c r="W593" s="22">
        <f>IF(R593="",O593,MAX(V593-R593-N(S593),0))</f>
        <v/>
      </c>
      <c r="X593" s="20" t="n"/>
      <c r="Y593" s="23">
        <f>IF(OR(X593="",W593=0),"",X593/W593-1)</f>
        <v/>
      </c>
      <c r="Z593" s="24" t="n"/>
      <c r="AA593" s="21" t="n"/>
      <c r="AB593" s="25" t="n"/>
      <c r="AC593" s="26">
        <f>IF(T593="","Chưa quyết định",IF(OR(Z593="",AA593=""),"⚠ Thiếu lý do/người duyệt",IF(AND(X593&lt;&gt;"",N(X593)+N(R593)+N(S593)&gt;M593*1.001,R593&lt;&gt;""),"⚠ Vượt mục tiêu P90",IF(AND(Y593&lt;&gt;"",ABS(N(Y593))&gt;0.3),"⚠ Lệch &gt; 30% so với nhu cầu",IF(Q593="Có","ℹ Kiểm tra ngoại suy KM","✓ Hợp lệ")))))</f>
        <v/>
      </c>
    </row>
    <row r="594">
      <c r="A594" s="16" t="n">
        <v>590</v>
      </c>
      <c r="B594" s="17" t="inlineStr">
        <is>
          <t>DEC-S52-PET_SUPPLIES</t>
        </is>
      </c>
      <c r="C594" s="16" t="n">
        <v>52</v>
      </c>
      <c r="D594" s="17" t="inlineStr">
        <is>
          <t>PET SUPPLIES</t>
        </is>
      </c>
      <c r="E594" s="17" t="inlineStr">
        <is>
          <t>HIGH</t>
        </is>
      </c>
      <c r="F594" s="17" t="inlineStr">
        <is>
          <t>TRUNG BÌNH</t>
        </is>
      </c>
      <c r="G594" s="18" t="inlineStr">
        <is>
          <t>RISK_HIGH · PROMO_EXTRAPOLATION</t>
        </is>
      </c>
      <c r="H594" s="19" t="n">
        <v>47.50588703155518</v>
      </c>
      <c r="I594" s="19" t="n">
        <v>193.2042150497437</v>
      </c>
      <c r="J594" s="19" t="n">
        <v>403.055006980896</v>
      </c>
      <c r="K594" s="19" t="n">
        <v>193.2042150497437</v>
      </c>
      <c r="L594" s="19" t="n">
        <v>324.3609600067139</v>
      </c>
      <c r="M594" s="19" t="n">
        <v>403.055006980896</v>
      </c>
      <c r="N594" s="17" t="inlineStr">
        <is>
          <t>B</t>
        </is>
      </c>
      <c r="O594" s="19" t="n">
        <v>169.7975879669189</v>
      </c>
      <c r="P594" s="18" t="inlineStr">
        <is>
          <t>CÂN NHẮC THỬ NGHIỆM</t>
        </is>
      </c>
      <c r="Q594" s="17" t="inlineStr">
        <is>
          <t>Có</t>
        </is>
      </c>
      <c r="R594" s="20" t="n"/>
      <c r="S594" s="20" t="n"/>
      <c r="T594" s="21" t="n"/>
      <c r="U594" s="21" t="n"/>
      <c r="V594" s="22">
        <f>IF(U594="A",K594,IF(U594="B",L594,IF(U594="C",M594,IF(N594="A",K594,IF(N594="B",L594,M594)))))</f>
        <v/>
      </c>
      <c r="W594" s="22">
        <f>IF(R594="",O594,MAX(V594-R594-N(S594),0))</f>
        <v/>
      </c>
      <c r="X594" s="20" t="n"/>
      <c r="Y594" s="23">
        <f>IF(OR(X594="",W594=0),"",X594/W594-1)</f>
        <v/>
      </c>
      <c r="Z594" s="24" t="n"/>
      <c r="AA594" s="21" t="n"/>
      <c r="AB594" s="25" t="n"/>
      <c r="AC594" s="26">
        <f>IF(T594="","Chưa quyết định",IF(OR(Z594="",AA594=""),"⚠ Thiếu lý do/người duyệt",IF(AND(X594&lt;&gt;"",N(X594)+N(R594)+N(S594)&gt;M594*1.001,R594&lt;&gt;""),"⚠ Vượt mục tiêu P90",IF(AND(Y594&lt;&gt;"",ABS(N(Y594))&gt;0.3),"⚠ Lệch &gt; 30% so với nhu cầu",IF(Q594="Có","ℹ Kiểm tra ngoại suy KM","✓ Hợp lệ")))))</f>
        <v/>
      </c>
    </row>
    <row r="595">
      <c r="A595" s="16" t="n">
        <v>591</v>
      </c>
      <c r="B595" s="17" t="inlineStr">
        <is>
          <t>DEC-S09-AUTOMOTIVE</t>
        </is>
      </c>
      <c r="C595" s="16" t="n">
        <v>9</v>
      </c>
      <c r="D595" s="17" t="inlineStr">
        <is>
          <t>AUTOMOTIVE</t>
        </is>
      </c>
      <c r="E595" s="17" t="inlineStr">
        <is>
          <t>HIGH</t>
        </is>
      </c>
      <c r="F595" s="17" t="inlineStr">
        <is>
          <t>TRUNG BÌNH</t>
        </is>
      </c>
      <c r="G595" s="18" t="inlineStr">
        <is>
          <t>RISK_HIGH · PROMO_EXTRAPOLATION</t>
        </is>
      </c>
      <c r="H595" s="19" t="n">
        <v>92.13576173782349</v>
      </c>
      <c r="I595" s="19" t="n">
        <v>192.9555096626282</v>
      </c>
      <c r="J595" s="19" t="n">
        <v>329.2417798042297</v>
      </c>
      <c r="K595" s="19" t="n">
        <v>192.9555096626282</v>
      </c>
      <c r="L595" s="19" t="n">
        <v>278.1344285011292</v>
      </c>
      <c r="M595" s="19" t="n">
        <v>329.2417798042297</v>
      </c>
      <c r="N595" s="17" t="inlineStr">
        <is>
          <t>B</t>
        </is>
      </c>
      <c r="O595" s="19" t="n">
        <v>123.7700207710266</v>
      </c>
      <c r="P595" s="18" t="inlineStr">
        <is>
          <t>CÂN NHẮC THỬ NGHIỆM</t>
        </is>
      </c>
      <c r="Q595" s="17" t="inlineStr">
        <is>
          <t>Có</t>
        </is>
      </c>
      <c r="R595" s="20" t="n"/>
      <c r="S595" s="20" t="n"/>
      <c r="T595" s="21" t="n"/>
      <c r="U595" s="21" t="n"/>
      <c r="V595" s="22">
        <f>IF(U595="A",K595,IF(U595="B",L595,IF(U595="C",M595,IF(N595="A",K595,IF(N595="B",L595,M595)))))</f>
        <v/>
      </c>
      <c r="W595" s="22">
        <f>IF(R595="",O595,MAX(V595-R595-N(S595),0))</f>
        <v/>
      </c>
      <c r="X595" s="20" t="n"/>
      <c r="Y595" s="23">
        <f>IF(OR(X595="",W595=0),"",X595/W595-1)</f>
        <v/>
      </c>
      <c r="Z595" s="24" t="n"/>
      <c r="AA595" s="21" t="n"/>
      <c r="AB595" s="25" t="n"/>
      <c r="AC595" s="26">
        <f>IF(T595="","Chưa quyết định",IF(OR(Z595="",AA595=""),"⚠ Thiếu lý do/người duyệt",IF(AND(X595&lt;&gt;"",N(X595)+N(R595)+N(S595)&gt;M595*1.001,R595&lt;&gt;""),"⚠ Vượt mục tiêu P90",IF(AND(Y595&lt;&gt;"",ABS(N(Y595))&gt;0.3),"⚠ Lệch &gt; 30% so với nhu cầu",IF(Q595="Có","ℹ Kiểm tra ngoại suy KM","✓ Hợp lệ")))))</f>
        <v/>
      </c>
    </row>
    <row r="596">
      <c r="A596" s="16" t="n">
        <v>592</v>
      </c>
      <c r="B596" s="17" t="inlineStr">
        <is>
          <t>DEC-S06-PLAYERS_AND_ELECTRONICS</t>
        </is>
      </c>
      <c r="C596" s="16" t="n">
        <v>6</v>
      </c>
      <c r="D596" s="17" t="inlineStr">
        <is>
          <t>PLAYERS AND ELECTRONICS</t>
        </is>
      </c>
      <c r="E596" s="17" t="inlineStr">
        <is>
          <t>HIGH</t>
        </is>
      </c>
      <c r="F596" s="17" t="inlineStr">
        <is>
          <t>TRUNG BÌNH</t>
        </is>
      </c>
      <c r="G596" s="18" t="inlineStr">
        <is>
          <t>RISK_HIGH · PROMO_EXTRAPOLATION</t>
        </is>
      </c>
      <c r="H596" s="19" t="n">
        <v>76.52539205551147</v>
      </c>
      <c r="I596" s="19" t="n">
        <v>192.831928730011</v>
      </c>
      <c r="J596" s="19" t="n">
        <v>353.6397061347961</v>
      </c>
      <c r="K596" s="19" t="n">
        <v>192.831928730011</v>
      </c>
      <c r="L596" s="19" t="n">
        <v>293.3367896080017</v>
      </c>
      <c r="M596" s="19" t="n">
        <v>353.6397061347961</v>
      </c>
      <c r="N596" s="17" t="inlineStr">
        <is>
          <t>B</t>
        </is>
      </c>
      <c r="O596" s="19" t="n">
        <v>139.0712466239929</v>
      </c>
      <c r="P596" s="18" t="inlineStr">
        <is>
          <t>CÂN NHẮC THỬ NGHIỆM</t>
        </is>
      </c>
      <c r="Q596" s="17" t="inlineStr">
        <is>
          <t>Có</t>
        </is>
      </c>
      <c r="R596" s="20" t="n"/>
      <c r="S596" s="20" t="n"/>
      <c r="T596" s="21" t="n"/>
      <c r="U596" s="21" t="n"/>
      <c r="V596" s="22">
        <f>IF(U596="A",K596,IF(U596="B",L596,IF(U596="C",M596,IF(N596="A",K596,IF(N596="B",L596,M596)))))</f>
        <v/>
      </c>
      <c r="W596" s="22">
        <f>IF(R596="",O596,MAX(V596-R596-N(S596),0))</f>
        <v/>
      </c>
      <c r="X596" s="20" t="n"/>
      <c r="Y596" s="23">
        <f>IF(OR(X596="",W596=0),"",X596/W596-1)</f>
        <v/>
      </c>
      <c r="Z596" s="24" t="n"/>
      <c r="AA596" s="21" t="n"/>
      <c r="AB596" s="25" t="n"/>
      <c r="AC596" s="26">
        <f>IF(T596="","Chưa quyết định",IF(OR(Z596="",AA596=""),"⚠ Thiếu lý do/người duyệt",IF(AND(X596&lt;&gt;"",N(X596)+N(R596)+N(S596)&gt;M596*1.001,R596&lt;&gt;""),"⚠ Vượt mục tiêu P90",IF(AND(Y596&lt;&gt;"",ABS(N(Y596))&gt;0.3),"⚠ Lệch &gt; 30% so với nhu cầu",IF(Q596="Có","ℹ Kiểm tra ngoại suy KM","✓ Hợp lệ")))))</f>
        <v/>
      </c>
    </row>
    <row r="597">
      <c r="A597" s="16" t="n">
        <v>593</v>
      </c>
      <c r="B597" s="17" t="inlineStr">
        <is>
          <t>DEC-S54-HOME_AND_KITCHEN_II</t>
        </is>
      </c>
      <c r="C597" s="16" t="n">
        <v>54</v>
      </c>
      <c r="D597" s="17" t="inlineStr">
        <is>
          <t>HOME AND KITCHEN II</t>
        </is>
      </c>
      <c r="E597" s="17" t="inlineStr">
        <is>
          <t>HIGH</t>
        </is>
      </c>
      <c r="F597" s="17" t="inlineStr">
        <is>
          <t>TRUNG BÌNH</t>
        </is>
      </c>
      <c r="G597" s="18" t="inlineStr">
        <is>
          <t>RISK_HIGH · PROMO_EXTRAPOLATION</t>
        </is>
      </c>
      <c r="H597" s="19" t="n">
        <v>74.3035740852356</v>
      </c>
      <c r="I597" s="19" t="n">
        <v>191.7307267189026</v>
      </c>
      <c r="J597" s="19" t="n">
        <v>352.5385041236877</v>
      </c>
      <c r="K597" s="19" t="n">
        <v>191.7307267189026</v>
      </c>
      <c r="L597" s="19" t="n">
        <v>292.2355875968933</v>
      </c>
      <c r="M597" s="19" t="n">
        <v>352.5385041236877</v>
      </c>
      <c r="N597" s="17" t="inlineStr">
        <is>
          <t>B</t>
        </is>
      </c>
      <c r="O597" s="19" t="n">
        <v>138.8510062217712</v>
      </c>
      <c r="P597" s="18" t="inlineStr">
        <is>
          <t>CÂN NHẮC THỬ NGHIỆM</t>
        </is>
      </c>
      <c r="Q597" s="17" t="inlineStr">
        <is>
          <t>Có</t>
        </is>
      </c>
      <c r="R597" s="20" t="n"/>
      <c r="S597" s="20" t="n"/>
      <c r="T597" s="21" t="n"/>
      <c r="U597" s="21" t="n"/>
      <c r="V597" s="22">
        <f>IF(U597="A",K597,IF(U597="B",L597,IF(U597="C",M597,IF(N597="A",K597,IF(N597="B",L597,M597)))))</f>
        <v/>
      </c>
      <c r="W597" s="22">
        <f>IF(R597="",O597,MAX(V597-R597-N(S597),0))</f>
        <v/>
      </c>
      <c r="X597" s="20" t="n"/>
      <c r="Y597" s="23">
        <f>IF(OR(X597="",W597=0),"",X597/W597-1)</f>
        <v/>
      </c>
      <c r="Z597" s="24" t="n"/>
      <c r="AA597" s="21" t="n"/>
      <c r="AB597" s="25" t="n"/>
      <c r="AC597" s="26">
        <f>IF(T597="","Chưa quyết định",IF(OR(Z597="",AA597=""),"⚠ Thiếu lý do/người duyệt",IF(AND(X597&lt;&gt;"",N(X597)+N(R597)+N(S597)&gt;M597*1.001,R597&lt;&gt;""),"⚠ Vượt mục tiêu P90",IF(AND(Y597&lt;&gt;"",ABS(N(Y597))&gt;0.3),"⚠ Lệch &gt; 30% so với nhu cầu",IF(Q597="Có","ℹ Kiểm tra ngoại suy KM","✓ Hợp lệ")))))</f>
        <v/>
      </c>
    </row>
    <row r="598">
      <c r="A598" s="16" t="n">
        <v>594</v>
      </c>
      <c r="B598" s="17" t="inlineStr">
        <is>
          <t>DEC-S32-HOME_AND_KITCHEN_I</t>
        </is>
      </c>
      <c r="C598" s="16" t="n">
        <v>32</v>
      </c>
      <c r="D598" s="17" t="inlineStr">
        <is>
          <t>HOME AND KITCHEN I</t>
        </is>
      </c>
      <c r="E598" s="17" t="inlineStr">
        <is>
          <t>HIGH</t>
        </is>
      </c>
      <c r="F598" s="17" t="inlineStr">
        <is>
          <t>TRUNG BÌNH</t>
        </is>
      </c>
      <c r="G598" s="18" t="inlineStr">
        <is>
          <t>RISK_HIGH · PROMO_EXTRAPOLATION</t>
        </is>
      </c>
      <c r="H598" s="19" t="n">
        <v>62.32932281494141</v>
      </c>
      <c r="I598" s="19" t="n">
        <v>191.5487489700317</v>
      </c>
      <c r="J598" s="19" t="n">
        <v>368.704197883606</v>
      </c>
      <c r="K598" s="19" t="n">
        <v>191.5487489700317</v>
      </c>
      <c r="L598" s="19" t="n">
        <v>302.2709045410156</v>
      </c>
      <c r="M598" s="19" t="n">
        <v>368.704197883606</v>
      </c>
      <c r="N598" s="17" t="inlineStr">
        <is>
          <t>B</t>
        </is>
      </c>
      <c r="O598" s="19" t="n">
        <v>149.0319053649902</v>
      </c>
      <c r="P598" s="18" t="inlineStr">
        <is>
          <t>CÂN NHẮC THỬ NGHIỆM</t>
        </is>
      </c>
      <c r="Q598" s="17" t="inlineStr">
        <is>
          <t>Có</t>
        </is>
      </c>
      <c r="R598" s="20" t="n"/>
      <c r="S598" s="20" t="n"/>
      <c r="T598" s="21" t="n"/>
      <c r="U598" s="21" t="n"/>
      <c r="V598" s="22">
        <f>IF(U598="A",K598,IF(U598="B",L598,IF(U598="C",M598,IF(N598="A",K598,IF(N598="B",L598,M598)))))</f>
        <v/>
      </c>
      <c r="W598" s="22">
        <f>IF(R598="",O598,MAX(V598-R598-N(S598),0))</f>
        <v/>
      </c>
      <c r="X598" s="20" t="n"/>
      <c r="Y598" s="23">
        <f>IF(OR(X598="",W598=0),"",X598/W598-1)</f>
        <v/>
      </c>
      <c r="Z598" s="24" t="n"/>
      <c r="AA598" s="21" t="n"/>
      <c r="AB598" s="25" t="n"/>
      <c r="AC598" s="26">
        <f>IF(T598="","Chưa quyết định",IF(OR(Z598="",AA598=""),"⚠ Thiếu lý do/người duyệt",IF(AND(X598&lt;&gt;"",N(X598)+N(R598)+N(S598)&gt;M598*1.001,R598&lt;&gt;""),"⚠ Vượt mục tiêu P90",IF(AND(Y598&lt;&gt;"",ABS(N(Y598))&gt;0.3),"⚠ Lệch &gt; 30% so với nhu cầu",IF(Q598="Có","ℹ Kiểm tra ngoại suy KM","✓ Hợp lệ")))))</f>
        <v/>
      </c>
    </row>
    <row r="599">
      <c r="A599" s="16" t="n">
        <v>595</v>
      </c>
      <c r="B599" s="17" t="inlineStr">
        <is>
          <t>DEC-S46-AUTOMOTIVE</t>
        </is>
      </c>
      <c r="C599" s="16" t="n">
        <v>46</v>
      </c>
      <c r="D599" s="17" t="inlineStr">
        <is>
          <t>AUTOMOTIVE</t>
        </is>
      </c>
      <c r="E599" s="17" t="inlineStr">
        <is>
          <t>HIGH</t>
        </is>
      </c>
      <c r="F599" s="17" t="inlineStr">
        <is>
          <t>TRUNG BÌNH</t>
        </is>
      </c>
      <c r="G599" s="18" t="inlineStr">
        <is>
          <t>RISK_HIGH · PROMO_EXTRAPOLATION</t>
        </is>
      </c>
      <c r="H599" s="19" t="n">
        <v>74.37524223327637</v>
      </c>
      <c r="I599" s="19" t="n">
        <v>191.5070657730103</v>
      </c>
      <c r="J599" s="19" t="n">
        <v>352.3148431777954</v>
      </c>
      <c r="K599" s="19" t="n">
        <v>191.5070657730103</v>
      </c>
      <c r="L599" s="19" t="n">
        <v>292.011926651001</v>
      </c>
      <c r="M599" s="19" t="n">
        <v>352.3148431777954</v>
      </c>
      <c r="N599" s="17" t="inlineStr">
        <is>
          <t>B</t>
        </is>
      </c>
      <c r="O599" s="19" t="n">
        <v>138.8062740325928</v>
      </c>
      <c r="P599" s="18" t="inlineStr">
        <is>
          <t>CÂN NHẮC THỬ NGHIỆM</t>
        </is>
      </c>
      <c r="Q599" s="17" t="inlineStr">
        <is>
          <t>Có</t>
        </is>
      </c>
      <c r="R599" s="20" t="n"/>
      <c r="S599" s="20" t="n"/>
      <c r="T599" s="21" t="n"/>
      <c r="U599" s="21" t="n"/>
      <c r="V599" s="22">
        <f>IF(U599="A",K599,IF(U599="B",L599,IF(U599="C",M599,IF(N599="A",K599,IF(N599="B",L599,M599)))))</f>
        <v/>
      </c>
      <c r="W599" s="22">
        <f>IF(R599="",O599,MAX(V599-R599-N(S599),0))</f>
        <v/>
      </c>
      <c r="X599" s="20" t="n"/>
      <c r="Y599" s="23">
        <f>IF(OR(X599="",W599=0),"",X599/W599-1)</f>
        <v/>
      </c>
      <c r="Z599" s="24" t="n"/>
      <c r="AA599" s="21" t="n"/>
      <c r="AB599" s="25" t="n"/>
      <c r="AC599" s="26">
        <f>IF(T599="","Chưa quyết định",IF(OR(Z599="",AA599=""),"⚠ Thiếu lý do/người duyệt",IF(AND(X599&lt;&gt;"",N(X599)+N(R599)+N(S599)&gt;M599*1.001,R599&lt;&gt;""),"⚠ Vượt mục tiêu P90",IF(AND(Y599&lt;&gt;"",ABS(N(Y599))&gt;0.3),"⚠ Lệch &gt; 30% so với nhu cầu",IF(Q599="Có","ℹ Kiểm tra ngoại suy KM","✓ Hợp lệ")))))</f>
        <v/>
      </c>
    </row>
    <row r="600">
      <c r="A600" s="16" t="n">
        <v>596</v>
      </c>
      <c r="B600" s="17" t="inlineStr">
        <is>
          <t>DEC-S33-LINGERIE</t>
        </is>
      </c>
      <c r="C600" s="16" t="n">
        <v>33</v>
      </c>
      <c r="D600" s="17" t="inlineStr">
        <is>
          <t>LINGERIE</t>
        </is>
      </c>
      <c r="E600" s="17" t="inlineStr">
        <is>
          <t>HIGH</t>
        </is>
      </c>
      <c r="F600" s="17" t="inlineStr">
        <is>
          <t>TRUNG BÌNH</t>
        </is>
      </c>
      <c r="G600" s="18" t="inlineStr">
        <is>
          <t>RISK_HIGH · PROMO_EXTRAPOLATION</t>
        </is>
      </c>
      <c r="H600" s="19" t="n">
        <v>83.36477279663086</v>
      </c>
      <c r="I600" s="19" t="n">
        <v>189.8929395675659</v>
      </c>
      <c r="J600" s="19" t="n">
        <v>334.353045463562</v>
      </c>
      <c r="K600" s="19" t="n">
        <v>189.8929395675659</v>
      </c>
      <c r="L600" s="19" t="n">
        <v>280.1805057525635</v>
      </c>
      <c r="M600" s="19" t="n">
        <v>334.353045463562</v>
      </c>
      <c r="N600" s="17" t="inlineStr">
        <is>
          <t>B</t>
        </is>
      </c>
      <c r="O600" s="19" t="n">
        <v>128.2661540985107</v>
      </c>
      <c r="P600" s="18" t="inlineStr">
        <is>
          <t>CÂN NHẮC THỬ NGHIỆM</t>
        </is>
      </c>
      <c r="Q600" s="17" t="inlineStr">
        <is>
          <t>Có</t>
        </is>
      </c>
      <c r="R600" s="20" t="n"/>
      <c r="S600" s="20" t="n"/>
      <c r="T600" s="21" t="n"/>
      <c r="U600" s="21" t="n"/>
      <c r="V600" s="22">
        <f>IF(U600="A",K600,IF(U600="B",L600,IF(U600="C",M600,IF(N600="A",K600,IF(N600="B",L600,M600)))))</f>
        <v/>
      </c>
      <c r="W600" s="22">
        <f>IF(R600="",O600,MAX(V600-R600-N(S600),0))</f>
        <v/>
      </c>
      <c r="X600" s="20" t="n"/>
      <c r="Y600" s="23">
        <f>IF(OR(X600="",W600=0),"",X600/W600-1)</f>
        <v/>
      </c>
      <c r="Z600" s="24" t="n"/>
      <c r="AA600" s="21" t="n"/>
      <c r="AB600" s="25" t="n"/>
      <c r="AC600" s="26">
        <f>IF(T600="","Chưa quyết định",IF(OR(Z600="",AA600=""),"⚠ Thiếu lý do/người duyệt",IF(AND(X600&lt;&gt;"",N(X600)+N(R600)+N(S600)&gt;M600*1.001,R600&lt;&gt;""),"⚠ Vượt mục tiêu P90",IF(AND(Y600&lt;&gt;"",ABS(N(Y600))&gt;0.3),"⚠ Lệch &gt; 30% so với nhu cầu",IF(Q600="Có","ℹ Kiểm tra ngoại suy KM","✓ Hợp lệ")))))</f>
        <v/>
      </c>
    </row>
    <row r="601">
      <c r="A601" s="16" t="n">
        <v>597</v>
      </c>
      <c r="B601" s="17" t="inlineStr">
        <is>
          <t>DEC-S12-GROCERY_II</t>
        </is>
      </c>
      <c r="C601" s="16" t="n">
        <v>12</v>
      </c>
      <c r="D601" s="17" t="inlineStr">
        <is>
          <t>GROCERY II</t>
        </is>
      </c>
      <c r="E601" s="17" t="inlineStr">
        <is>
          <t>HIGH</t>
        </is>
      </c>
      <c r="F601" s="17" t="inlineStr">
        <is>
          <t>TRUNG BÌNH</t>
        </is>
      </c>
      <c r="G601" s="18" t="inlineStr">
        <is>
          <t>RISK_HIGH · PROMO_EXTRAPOLATION</t>
        </is>
      </c>
      <c r="H601" s="19" t="n">
        <v>74.60898208618164</v>
      </c>
      <c r="I601" s="19" t="n">
        <v>189.8114824295044</v>
      </c>
      <c r="J601" s="19" t="n">
        <v>348.2303078174591</v>
      </c>
      <c r="K601" s="19" t="n">
        <v>189.8114824295044</v>
      </c>
      <c r="L601" s="19" t="n">
        <v>288.8232482969761</v>
      </c>
      <c r="M601" s="19" t="n">
        <v>348.2303078174591</v>
      </c>
      <c r="N601" s="17" t="inlineStr">
        <is>
          <t>B</t>
        </is>
      </c>
      <c r="O601" s="19" t="n">
        <v>136.9740623533726</v>
      </c>
      <c r="P601" s="18" t="inlineStr">
        <is>
          <t>CÂN NHẮC THỬ NGHIỆM</t>
        </is>
      </c>
      <c r="Q601" s="17" t="inlineStr">
        <is>
          <t>Có</t>
        </is>
      </c>
      <c r="R601" s="20" t="n"/>
      <c r="S601" s="20" t="n"/>
      <c r="T601" s="21" t="n"/>
      <c r="U601" s="21" t="n"/>
      <c r="V601" s="22">
        <f>IF(U601="A",K601,IF(U601="B",L601,IF(U601="C",M601,IF(N601="A",K601,IF(N601="B",L601,M601)))))</f>
        <v/>
      </c>
      <c r="W601" s="22">
        <f>IF(R601="",O601,MAX(V601-R601-N(S601),0))</f>
        <v/>
      </c>
      <c r="X601" s="20" t="n"/>
      <c r="Y601" s="23">
        <f>IF(OR(X601="",W601=0),"",X601/W601-1)</f>
        <v/>
      </c>
      <c r="Z601" s="24" t="n"/>
      <c r="AA601" s="21" t="n"/>
      <c r="AB601" s="25" t="n"/>
      <c r="AC601" s="26">
        <f>IF(T601="","Chưa quyết định",IF(OR(Z601="",AA601=""),"⚠ Thiếu lý do/người duyệt",IF(AND(X601&lt;&gt;"",N(X601)+N(R601)+N(S601)&gt;M601*1.001,R601&lt;&gt;""),"⚠ Vượt mục tiêu P90",IF(AND(Y601&lt;&gt;"",ABS(N(Y601))&gt;0.3),"⚠ Lệch &gt; 30% so với nhu cầu",IF(Q601="Có","ℹ Kiểm tra ngoại suy KM","✓ Hợp lệ")))))</f>
        <v/>
      </c>
    </row>
    <row r="602">
      <c r="A602" s="16" t="n">
        <v>598</v>
      </c>
      <c r="B602" s="17" t="inlineStr">
        <is>
          <t>DEC-S47-MAGAZINES</t>
        </is>
      </c>
      <c r="C602" s="16" t="n">
        <v>47</v>
      </c>
      <c r="D602" s="17" t="inlineStr">
        <is>
          <t>MAGAZINES</t>
        </is>
      </c>
      <c r="E602" s="17" t="inlineStr">
        <is>
          <t>HIGH</t>
        </is>
      </c>
      <c r="F602" s="17" t="inlineStr">
        <is>
          <t>TRUNG BÌNH</t>
        </is>
      </c>
      <c r="G602" s="18" t="inlineStr">
        <is>
          <t>RISK_HIGH · PROMO_EXTRAPOLATION</t>
        </is>
      </c>
      <c r="H602" s="19" t="n">
        <v>65.54473924636841</v>
      </c>
      <c r="I602" s="19" t="n">
        <v>189.7301211357117</v>
      </c>
      <c r="J602" s="19" t="n">
        <v>358.7117342948914</v>
      </c>
      <c r="K602" s="19" t="n">
        <v>189.7301211357117</v>
      </c>
      <c r="L602" s="19" t="n">
        <v>295.343629360199</v>
      </c>
      <c r="M602" s="19" t="n">
        <v>358.7117342948914</v>
      </c>
      <c r="N602" s="17" t="inlineStr">
        <is>
          <t>B</t>
        </is>
      </c>
      <c r="O602" s="19" t="n">
        <v>143.5595324516296</v>
      </c>
      <c r="P602" s="18" t="inlineStr">
        <is>
          <t>CÂN NHẮC THỬ NGHIỆM</t>
        </is>
      </c>
      <c r="Q602" s="17" t="inlineStr">
        <is>
          <t>Có</t>
        </is>
      </c>
      <c r="R602" s="20" t="n"/>
      <c r="S602" s="20" t="n"/>
      <c r="T602" s="21" t="n"/>
      <c r="U602" s="21" t="n"/>
      <c r="V602" s="22">
        <f>IF(U602="A",K602,IF(U602="B",L602,IF(U602="C",M602,IF(N602="A",K602,IF(N602="B",L602,M602)))))</f>
        <v/>
      </c>
      <c r="W602" s="22">
        <f>IF(R602="",O602,MAX(V602-R602-N(S602),0))</f>
        <v/>
      </c>
      <c r="X602" s="20" t="n"/>
      <c r="Y602" s="23">
        <f>IF(OR(X602="",W602=0),"",X602/W602-1)</f>
        <v/>
      </c>
      <c r="Z602" s="24" t="n"/>
      <c r="AA602" s="21" t="n"/>
      <c r="AB602" s="25" t="n"/>
      <c r="AC602" s="26">
        <f>IF(T602="","Chưa quyết định",IF(OR(Z602="",AA602=""),"⚠ Thiếu lý do/người duyệt",IF(AND(X602&lt;&gt;"",N(X602)+N(R602)+N(S602)&gt;M602*1.001,R602&lt;&gt;""),"⚠ Vượt mục tiêu P90",IF(AND(Y602&lt;&gt;"",ABS(N(Y602))&gt;0.3),"⚠ Lệch &gt; 30% so với nhu cầu",IF(Q602="Có","ℹ Kiểm tra ngoại suy KM","✓ Hợp lệ")))))</f>
        <v/>
      </c>
    </row>
    <row r="603">
      <c r="A603" s="16" t="n">
        <v>599</v>
      </c>
      <c r="B603" s="17" t="inlineStr">
        <is>
          <t>DEC-S10-HOME_AND_KITCHEN_I</t>
        </is>
      </c>
      <c r="C603" s="16" t="n">
        <v>10</v>
      </c>
      <c r="D603" s="17" t="inlineStr">
        <is>
          <t>HOME AND KITCHEN I</t>
        </is>
      </c>
      <c r="E603" s="17" t="inlineStr">
        <is>
          <t>HIGH</t>
        </is>
      </c>
      <c r="F603" s="17" t="inlineStr">
        <is>
          <t>TRUNG BÌNH</t>
        </is>
      </c>
      <c r="G603" s="18" t="inlineStr">
        <is>
          <t>RISK_HIGH · PROMO_EXTRAPOLATION</t>
        </is>
      </c>
      <c r="H603" s="19" t="n">
        <v>53.6446361541748</v>
      </c>
      <c r="I603" s="19" t="n">
        <v>189.4544086456299</v>
      </c>
      <c r="J603" s="19" t="n">
        <v>374.7836933135986</v>
      </c>
      <c r="K603" s="19" t="n">
        <v>189.4544086456299</v>
      </c>
      <c r="L603" s="19" t="n">
        <v>305.2852115631103</v>
      </c>
      <c r="M603" s="19" t="n">
        <v>374.7836933135986</v>
      </c>
      <c r="N603" s="17" t="inlineStr">
        <is>
          <t>B</t>
        </is>
      </c>
      <c r="O603" s="19" t="n">
        <v>153.7216846466064</v>
      </c>
      <c r="P603" s="18" t="inlineStr">
        <is>
          <t>CÂN NHẮC THỬ NGHIỆM</t>
        </is>
      </c>
      <c r="Q603" s="17" t="inlineStr">
        <is>
          <t>Có</t>
        </is>
      </c>
      <c r="R603" s="20" t="n"/>
      <c r="S603" s="20" t="n"/>
      <c r="T603" s="21" t="n"/>
      <c r="U603" s="21" t="n"/>
      <c r="V603" s="22">
        <f>IF(U603="A",K603,IF(U603="B",L603,IF(U603="C",M603,IF(N603="A",K603,IF(N603="B",L603,M603)))))</f>
        <v/>
      </c>
      <c r="W603" s="22">
        <f>IF(R603="",O603,MAX(V603-R603-N(S603),0))</f>
        <v/>
      </c>
      <c r="X603" s="20" t="n"/>
      <c r="Y603" s="23">
        <f>IF(OR(X603="",W603=0),"",X603/W603-1)</f>
        <v/>
      </c>
      <c r="Z603" s="24" t="n"/>
      <c r="AA603" s="21" t="n"/>
      <c r="AB603" s="25" t="n"/>
      <c r="AC603" s="26">
        <f>IF(T603="","Chưa quyết định",IF(OR(Z603="",AA603=""),"⚠ Thiếu lý do/người duyệt",IF(AND(X603&lt;&gt;"",N(X603)+N(R603)+N(S603)&gt;M603*1.001,R603&lt;&gt;""),"⚠ Vượt mục tiêu P90",IF(AND(Y603&lt;&gt;"",ABS(N(Y603))&gt;0.3),"⚠ Lệch &gt; 30% so với nhu cầu",IF(Q603="Có","ℹ Kiểm tra ngoại suy KM","✓ Hợp lệ")))))</f>
        <v/>
      </c>
    </row>
    <row r="604">
      <c r="A604" s="16" t="n">
        <v>600</v>
      </c>
      <c r="B604" s="17" t="inlineStr">
        <is>
          <t>DEC-S20-LAWN_AND_GARDEN</t>
        </is>
      </c>
      <c r="C604" s="16" t="n">
        <v>20</v>
      </c>
      <c r="D604" s="17" t="inlineStr">
        <is>
          <t>LAWN AND GARDEN</t>
        </is>
      </c>
      <c r="E604" s="17" t="inlineStr">
        <is>
          <t>HIGH</t>
        </is>
      </c>
      <c r="F604" s="17" t="inlineStr">
        <is>
          <t>TRUNG BÌNH</t>
        </is>
      </c>
      <c r="G604" s="18" t="inlineStr">
        <is>
          <t>RISK_HIGH · PROMO_EXTRAPOLATION</t>
        </is>
      </c>
      <c r="H604" s="19" t="n">
        <v>66.95625591278076</v>
      </c>
      <c r="I604" s="19" t="n">
        <v>188.8922033309937</v>
      </c>
      <c r="J604" s="19" t="n">
        <v>357.3102076053619</v>
      </c>
      <c r="K604" s="19" t="n">
        <v>188.8922033309937</v>
      </c>
      <c r="L604" s="19" t="n">
        <v>294.1534560024738</v>
      </c>
      <c r="M604" s="19" t="n">
        <v>357.3102076053619</v>
      </c>
      <c r="N604" s="17" t="inlineStr">
        <is>
          <t>B</t>
        </is>
      </c>
      <c r="O604" s="19" t="n">
        <v>143.0396933376789</v>
      </c>
      <c r="P604" s="18" t="inlineStr">
        <is>
          <t>CÂN NHẮC THỬ NGHIỆM</t>
        </is>
      </c>
      <c r="Q604" s="17" t="inlineStr">
        <is>
          <t>Có</t>
        </is>
      </c>
      <c r="R604" s="20" t="n"/>
      <c r="S604" s="20" t="n"/>
      <c r="T604" s="21" t="n"/>
      <c r="U604" s="21" t="n"/>
      <c r="V604" s="22">
        <f>IF(U604="A",K604,IF(U604="B",L604,IF(U604="C",M604,IF(N604="A",K604,IF(N604="B",L604,M604)))))</f>
        <v/>
      </c>
      <c r="W604" s="22">
        <f>IF(R604="",O604,MAX(V604-R604-N(S604),0))</f>
        <v/>
      </c>
      <c r="X604" s="20" t="n"/>
      <c r="Y604" s="23">
        <f>IF(OR(X604="",W604=0),"",X604/W604-1)</f>
        <v/>
      </c>
      <c r="Z604" s="24" t="n"/>
      <c r="AA604" s="21" t="n"/>
      <c r="AB604" s="25" t="n"/>
      <c r="AC604" s="26">
        <f>IF(T604="","Chưa quyết định",IF(OR(Z604="",AA604=""),"⚠ Thiếu lý do/người duyệt",IF(AND(X604&lt;&gt;"",N(X604)+N(R604)+N(S604)&gt;M604*1.001,R604&lt;&gt;""),"⚠ Vượt mục tiêu P90",IF(AND(Y604&lt;&gt;"",ABS(N(Y604))&gt;0.3),"⚠ Lệch &gt; 30% so với nhu cầu",IF(Q604="Có","ℹ Kiểm tra ngoại suy KM","✓ Hợp lệ")))))</f>
        <v/>
      </c>
    </row>
    <row r="605">
      <c r="A605" s="16" t="n">
        <v>601</v>
      </c>
      <c r="B605" s="17" t="inlineStr">
        <is>
          <t>DEC-S19-HOME_AND_KITCHEN_II</t>
        </is>
      </c>
      <c r="C605" s="16" t="n">
        <v>19</v>
      </c>
      <c r="D605" s="17" t="inlineStr">
        <is>
          <t>HOME AND KITCHEN II</t>
        </is>
      </c>
      <c r="E605" s="17" t="inlineStr">
        <is>
          <t>HIGH</t>
        </is>
      </c>
      <c r="F605" s="17" t="inlineStr">
        <is>
          <t>TRUNG BÌNH</t>
        </is>
      </c>
      <c r="G605" s="18" t="inlineStr">
        <is>
          <t>RISK_HIGH · PROMO_EXTRAPOLATION</t>
        </is>
      </c>
      <c r="H605" s="19" t="n">
        <v>68.75718784332275</v>
      </c>
      <c r="I605" s="19" t="n">
        <v>187.5552549362182</v>
      </c>
      <c r="J605" s="19" t="n">
        <v>348.3630323410034</v>
      </c>
      <c r="K605" s="19" t="n">
        <v>187.5552549362182</v>
      </c>
      <c r="L605" s="19" t="n">
        <v>288.060115814209</v>
      </c>
      <c r="M605" s="19" t="n">
        <v>348.3630323410034</v>
      </c>
      <c r="N605" s="17" t="inlineStr">
        <is>
          <t>B</t>
        </is>
      </c>
      <c r="O605" s="19" t="n">
        <v>138.0159118652344</v>
      </c>
      <c r="P605" s="18" t="inlineStr">
        <is>
          <t>CÂN NHẮC THỬ NGHIỆM</t>
        </is>
      </c>
      <c r="Q605" s="17" t="inlineStr">
        <is>
          <t>Có</t>
        </is>
      </c>
      <c r="R605" s="20" t="n"/>
      <c r="S605" s="20" t="n"/>
      <c r="T605" s="21" t="n"/>
      <c r="U605" s="21" t="n"/>
      <c r="V605" s="22">
        <f>IF(U605="A",K605,IF(U605="B",L605,IF(U605="C",M605,IF(N605="A",K605,IF(N605="B",L605,M605)))))</f>
        <v/>
      </c>
      <c r="W605" s="22">
        <f>IF(R605="",O605,MAX(V605-R605-N(S605),0))</f>
        <v/>
      </c>
      <c r="X605" s="20" t="n"/>
      <c r="Y605" s="23">
        <f>IF(OR(X605="",W605=0),"",X605/W605-1)</f>
        <v/>
      </c>
      <c r="Z605" s="24" t="n"/>
      <c r="AA605" s="21" t="n"/>
      <c r="AB605" s="25" t="n"/>
      <c r="AC605" s="26">
        <f>IF(T605="","Chưa quyết định",IF(OR(Z605="",AA605=""),"⚠ Thiếu lý do/người duyệt",IF(AND(X605&lt;&gt;"",N(X605)+N(R605)+N(S605)&gt;M605*1.001,R605&lt;&gt;""),"⚠ Vượt mục tiêu P90",IF(AND(Y605&lt;&gt;"",ABS(N(Y605))&gt;0.3),"⚠ Lệch &gt; 30% so với nhu cầu",IF(Q605="Có","ℹ Kiểm tra ngoại suy KM","✓ Hợp lệ")))))</f>
        <v/>
      </c>
    </row>
    <row r="606">
      <c r="A606" s="16" t="n">
        <v>602</v>
      </c>
      <c r="B606" s="17" t="inlineStr">
        <is>
          <t>DEC-S36-HOME_AND_KITCHEN_II</t>
        </is>
      </c>
      <c r="C606" s="16" t="n">
        <v>36</v>
      </c>
      <c r="D606" s="17" t="inlineStr">
        <is>
          <t>HOME AND KITCHEN II</t>
        </is>
      </c>
      <c r="E606" s="17" t="inlineStr">
        <is>
          <t>HIGH</t>
        </is>
      </c>
      <c r="F606" s="17" t="inlineStr">
        <is>
          <t>TRUNG BÌNH</t>
        </is>
      </c>
      <c r="G606" s="18" t="inlineStr">
        <is>
          <t>RISK_HIGH · PROMO_EXTRAPOLATION</t>
        </is>
      </c>
      <c r="H606" s="19" t="n">
        <v>30.74853372573853</v>
      </c>
      <c r="I606" s="19" t="n">
        <v>186.5150284767151</v>
      </c>
      <c r="J606" s="19" t="n">
        <v>404.539656162262</v>
      </c>
      <c r="K606" s="19" t="n">
        <v>186.5150284767151</v>
      </c>
      <c r="L606" s="19" t="n">
        <v>322.7804207801819</v>
      </c>
      <c r="M606" s="19" t="n">
        <v>404.539656162262</v>
      </c>
      <c r="N606" s="17" t="inlineStr">
        <is>
          <t>B</t>
        </is>
      </c>
      <c r="O606" s="19" t="n">
        <v>173.5683979988098</v>
      </c>
      <c r="P606" s="18" t="inlineStr">
        <is>
          <t>CÂN NHẮC THỬ NGHIỆM</t>
        </is>
      </c>
      <c r="Q606" s="17" t="inlineStr">
        <is>
          <t>Có</t>
        </is>
      </c>
      <c r="R606" s="20" t="n"/>
      <c r="S606" s="20" t="n"/>
      <c r="T606" s="21" t="n"/>
      <c r="U606" s="21" t="n"/>
      <c r="V606" s="22">
        <f>IF(U606="A",K606,IF(U606="B",L606,IF(U606="C",M606,IF(N606="A",K606,IF(N606="B",L606,M606)))))</f>
        <v/>
      </c>
      <c r="W606" s="22">
        <f>IF(R606="",O606,MAX(V606-R606-N(S606),0))</f>
        <v/>
      </c>
      <c r="X606" s="20" t="n"/>
      <c r="Y606" s="23">
        <f>IF(OR(X606="",W606=0),"",X606/W606-1)</f>
        <v/>
      </c>
      <c r="Z606" s="24" t="n"/>
      <c r="AA606" s="21" t="n"/>
      <c r="AB606" s="25" t="n"/>
      <c r="AC606" s="26">
        <f>IF(T606="","Chưa quyết định",IF(OR(Z606="",AA606=""),"⚠ Thiếu lý do/người duyệt",IF(AND(X606&lt;&gt;"",N(X606)+N(R606)+N(S606)&gt;M606*1.001,R606&lt;&gt;""),"⚠ Vượt mục tiêu P90",IF(AND(Y606&lt;&gt;"",ABS(N(Y606))&gt;0.3),"⚠ Lệch &gt; 30% so với nhu cầu",IF(Q606="Có","ℹ Kiểm tra ngoại suy KM","✓ Hợp lệ")))))</f>
        <v/>
      </c>
    </row>
    <row r="607">
      <c r="A607" s="16" t="n">
        <v>603</v>
      </c>
      <c r="B607" s="17" t="inlineStr">
        <is>
          <t>DEC-S41-CELEBRATION</t>
        </is>
      </c>
      <c r="C607" s="16" t="n">
        <v>41</v>
      </c>
      <c r="D607" s="17" t="inlineStr">
        <is>
          <t>CELEBRATION</t>
        </is>
      </c>
      <c r="E607" s="17" t="inlineStr">
        <is>
          <t>HIGH</t>
        </is>
      </c>
      <c r="F607" s="17" t="inlineStr">
        <is>
          <t>TRUNG BÌNH</t>
        </is>
      </c>
      <c r="G607" s="18" t="inlineStr">
        <is>
          <t>RISK_HIGH · PROMO_EXTRAPOLATION</t>
        </is>
      </c>
      <c r="H607" s="19" t="n">
        <v>51.13568449020386</v>
      </c>
      <c r="I607" s="19" t="n">
        <v>185.5936093330384</v>
      </c>
      <c r="J607" s="19" t="n">
        <v>379.0967297554016</v>
      </c>
      <c r="K607" s="19" t="n">
        <v>185.5936093330384</v>
      </c>
      <c r="L607" s="19" t="n">
        <v>306.5330595970154</v>
      </c>
      <c r="M607" s="19" t="n">
        <v>379.0967297554016</v>
      </c>
      <c r="N607" s="17" t="inlineStr">
        <is>
          <t>B</t>
        </is>
      </c>
      <c r="O607" s="19" t="n">
        <v>158.0581721305847</v>
      </c>
      <c r="P607" s="18" t="inlineStr">
        <is>
          <t>CÂN NHẮC THỬ NGHIỆM</t>
        </is>
      </c>
      <c r="Q607" s="17" t="inlineStr">
        <is>
          <t>Có</t>
        </is>
      </c>
      <c r="R607" s="20" t="n"/>
      <c r="S607" s="20" t="n"/>
      <c r="T607" s="21" t="n"/>
      <c r="U607" s="21" t="n"/>
      <c r="V607" s="22">
        <f>IF(U607="A",K607,IF(U607="B",L607,IF(U607="C",M607,IF(N607="A",K607,IF(N607="B",L607,M607)))))</f>
        <v/>
      </c>
      <c r="W607" s="22">
        <f>IF(R607="",O607,MAX(V607-R607-N(S607),0))</f>
        <v/>
      </c>
      <c r="X607" s="20" t="n"/>
      <c r="Y607" s="23">
        <f>IF(OR(X607="",W607=0),"",X607/W607-1)</f>
        <v/>
      </c>
      <c r="Z607" s="24" t="n"/>
      <c r="AA607" s="21" t="n"/>
      <c r="AB607" s="25" t="n"/>
      <c r="AC607" s="26">
        <f>IF(T607="","Chưa quyết định",IF(OR(Z607="",AA607=""),"⚠ Thiếu lý do/người duyệt",IF(AND(X607&lt;&gt;"",N(X607)+N(R607)+N(S607)&gt;M607*1.001,R607&lt;&gt;""),"⚠ Vượt mục tiêu P90",IF(AND(Y607&lt;&gt;"",ABS(N(Y607))&gt;0.3),"⚠ Lệch &gt; 30% so với nhu cầu",IF(Q607="Có","ℹ Kiểm tra ngoại suy KM","✓ Hợp lệ")))))</f>
        <v/>
      </c>
    </row>
    <row r="608">
      <c r="A608" s="16" t="n">
        <v>604</v>
      </c>
      <c r="B608" s="17" t="inlineStr">
        <is>
          <t>DEC-S24-PET_SUPPLIES</t>
        </is>
      </c>
      <c r="C608" s="16" t="n">
        <v>24</v>
      </c>
      <c r="D608" s="17" t="inlineStr">
        <is>
          <t>PET SUPPLIES</t>
        </is>
      </c>
      <c r="E608" s="17" t="inlineStr">
        <is>
          <t>HIGH</t>
        </is>
      </c>
      <c r="F608" s="17" t="inlineStr">
        <is>
          <t>TRUNG BÌNH</t>
        </is>
      </c>
      <c r="G608" s="18" t="inlineStr">
        <is>
          <t>RISK_HIGH · PROMO_EXTRAPOLATION</t>
        </is>
      </c>
      <c r="H608" s="19" t="n">
        <v>28.82557773590088</v>
      </c>
      <c r="I608" s="19" t="n">
        <v>185.5786838531494</v>
      </c>
      <c r="J608" s="19" t="n">
        <v>419.9509830474854</v>
      </c>
      <c r="K608" s="19" t="n">
        <v>185.5786838531494</v>
      </c>
      <c r="L608" s="19" t="n">
        <v>332.0613708496094</v>
      </c>
      <c r="M608" s="19" t="n">
        <v>419.9509830474854</v>
      </c>
      <c r="N608" s="17" t="inlineStr">
        <is>
          <t>B</t>
        </is>
      </c>
      <c r="O608" s="19" t="n">
        <v>183.5984237670898</v>
      </c>
      <c r="P608" s="18" t="inlineStr">
        <is>
          <t>CÂN NHẮC THỬ NGHIỆM</t>
        </is>
      </c>
      <c r="Q608" s="17" t="inlineStr">
        <is>
          <t>Có</t>
        </is>
      </c>
      <c r="R608" s="20" t="n"/>
      <c r="S608" s="20" t="n"/>
      <c r="T608" s="21" t="n"/>
      <c r="U608" s="21" t="n"/>
      <c r="V608" s="22">
        <f>IF(U608="A",K608,IF(U608="B",L608,IF(U608="C",M608,IF(N608="A",K608,IF(N608="B",L608,M608)))))</f>
        <v/>
      </c>
      <c r="W608" s="22">
        <f>IF(R608="",O608,MAX(V608-R608-N(S608),0))</f>
        <v/>
      </c>
      <c r="X608" s="20" t="n"/>
      <c r="Y608" s="23">
        <f>IF(OR(X608="",W608=0),"",X608/W608-1)</f>
        <v/>
      </c>
      <c r="Z608" s="24" t="n"/>
      <c r="AA608" s="21" t="n"/>
      <c r="AB608" s="25" t="n"/>
      <c r="AC608" s="26">
        <f>IF(T608="","Chưa quyết định",IF(OR(Z608="",AA608=""),"⚠ Thiếu lý do/người duyệt",IF(AND(X608&lt;&gt;"",N(X608)+N(R608)+N(S608)&gt;M608*1.001,R608&lt;&gt;""),"⚠ Vượt mục tiêu P90",IF(AND(Y608&lt;&gt;"",ABS(N(Y608))&gt;0.3),"⚠ Lệch &gt; 30% so với nhu cầu",IF(Q608="Có","ℹ Kiểm tra ngoại suy KM","✓ Hợp lệ")))))</f>
        <v/>
      </c>
    </row>
    <row r="609">
      <c r="A609" s="16" t="n">
        <v>605</v>
      </c>
      <c r="B609" s="17" t="inlineStr">
        <is>
          <t>DEC-S24-MAGAZINES</t>
        </is>
      </c>
      <c r="C609" s="16" t="n">
        <v>24</v>
      </c>
      <c r="D609" s="17" t="inlineStr">
        <is>
          <t>MAGAZINES</t>
        </is>
      </c>
      <c r="E609" s="17" t="inlineStr">
        <is>
          <t>HIGH</t>
        </is>
      </c>
      <c r="F609" s="17" t="inlineStr">
        <is>
          <t>TRUNG BÌNH</t>
        </is>
      </c>
      <c r="G609" s="18" t="inlineStr">
        <is>
          <t>RISK_HIGH · PROMO_EXTRAPOLATION</t>
        </is>
      </c>
      <c r="H609" s="19" t="n">
        <v>74.28509998321533</v>
      </c>
      <c r="I609" s="19" t="n">
        <v>184.5786390304565</v>
      </c>
      <c r="J609" s="19" t="n">
        <v>337.2125806808472</v>
      </c>
      <c r="K609" s="19" t="n">
        <v>184.5786390304565</v>
      </c>
      <c r="L609" s="19" t="n">
        <v>279.9748525619507</v>
      </c>
      <c r="M609" s="19" t="n">
        <v>337.2125806808472</v>
      </c>
      <c r="N609" s="17" t="inlineStr">
        <is>
          <t>B</t>
        </is>
      </c>
      <c r="O609" s="19" t="n">
        <v>132.3119413375854</v>
      </c>
      <c r="P609" s="18" t="inlineStr">
        <is>
          <t>CÂN NHẮC THỬ NGHIỆM</t>
        </is>
      </c>
      <c r="Q609" s="17" t="inlineStr">
        <is>
          <t>Có</t>
        </is>
      </c>
      <c r="R609" s="20" t="n"/>
      <c r="S609" s="20" t="n"/>
      <c r="T609" s="21" t="n"/>
      <c r="U609" s="21" t="n"/>
      <c r="V609" s="22">
        <f>IF(U609="A",K609,IF(U609="B",L609,IF(U609="C",M609,IF(N609="A",K609,IF(N609="B",L609,M609)))))</f>
        <v/>
      </c>
      <c r="W609" s="22">
        <f>IF(R609="",O609,MAX(V609-R609-N(S609),0))</f>
        <v/>
      </c>
      <c r="X609" s="20" t="n"/>
      <c r="Y609" s="23">
        <f>IF(OR(X609="",W609=0),"",X609/W609-1)</f>
        <v/>
      </c>
      <c r="Z609" s="24" t="n"/>
      <c r="AA609" s="21" t="n"/>
      <c r="AB609" s="25" t="n"/>
      <c r="AC609" s="26">
        <f>IF(T609="","Chưa quyết định",IF(OR(Z609="",AA609=""),"⚠ Thiếu lý do/người duyệt",IF(AND(X609&lt;&gt;"",N(X609)+N(R609)+N(S609)&gt;M609*1.001,R609&lt;&gt;""),"⚠ Vượt mục tiêu P90",IF(AND(Y609&lt;&gt;"",ABS(N(Y609))&gt;0.3),"⚠ Lệch &gt; 30% so với nhu cầu",IF(Q609="Có","ℹ Kiểm tra ngoại suy KM","✓ Hợp lệ")))))</f>
        <v/>
      </c>
    </row>
    <row r="610">
      <c r="A610" s="16" t="n">
        <v>606</v>
      </c>
      <c r="B610" s="17" t="inlineStr">
        <is>
          <t>DEC-S50-LAWN_AND_GARDEN</t>
        </is>
      </c>
      <c r="C610" s="16" t="n">
        <v>50</v>
      </c>
      <c r="D610" s="17" t="inlineStr">
        <is>
          <t>LAWN AND GARDEN</t>
        </is>
      </c>
      <c r="E610" s="17" t="inlineStr">
        <is>
          <t>HIGH</t>
        </is>
      </c>
      <c r="F610" s="17" t="inlineStr">
        <is>
          <t>TRUNG BÌNH</t>
        </is>
      </c>
      <c r="G610" s="18" t="inlineStr">
        <is>
          <t>RISK_HIGH · PROMO_EXTRAPOLATION</t>
        </is>
      </c>
      <c r="H610" s="19" t="n">
        <v>75.29441118240356</v>
      </c>
      <c r="I610" s="19" t="n">
        <v>184.504138469696</v>
      </c>
      <c r="J610" s="19" t="n">
        <v>334.7491281032562</v>
      </c>
      <c r="K610" s="19" t="n">
        <v>184.504138469696</v>
      </c>
      <c r="L610" s="19" t="n">
        <v>278.4072569906712</v>
      </c>
      <c r="M610" s="19" t="n">
        <v>334.7491281032562</v>
      </c>
      <c r="N610" s="17" t="inlineStr">
        <is>
          <t>B</t>
        </is>
      </c>
      <c r="O610" s="19" t="n">
        <v>130.8039462149143</v>
      </c>
      <c r="P610" s="18" t="inlineStr">
        <is>
          <t>CÂN NHẮC THỬ NGHIỆM</t>
        </is>
      </c>
      <c r="Q610" s="17" t="inlineStr">
        <is>
          <t>Có</t>
        </is>
      </c>
      <c r="R610" s="20" t="n"/>
      <c r="S610" s="20" t="n"/>
      <c r="T610" s="21" t="n"/>
      <c r="U610" s="21" t="n"/>
      <c r="V610" s="22">
        <f>IF(U610="A",K610,IF(U610="B",L610,IF(U610="C",M610,IF(N610="A",K610,IF(N610="B",L610,M610)))))</f>
        <v/>
      </c>
      <c r="W610" s="22">
        <f>IF(R610="",O610,MAX(V610-R610-N(S610),0))</f>
        <v/>
      </c>
      <c r="X610" s="20" t="n"/>
      <c r="Y610" s="23">
        <f>IF(OR(X610="",W610=0),"",X610/W610-1)</f>
        <v/>
      </c>
      <c r="Z610" s="24" t="n"/>
      <c r="AA610" s="21" t="n"/>
      <c r="AB610" s="25" t="n"/>
      <c r="AC610" s="26">
        <f>IF(T610="","Chưa quyết định",IF(OR(Z610="",AA610=""),"⚠ Thiếu lý do/người duyệt",IF(AND(X610&lt;&gt;"",N(X610)+N(R610)+N(S610)&gt;M610*1.001,R610&lt;&gt;""),"⚠ Vượt mục tiêu P90",IF(AND(Y610&lt;&gt;"",ABS(N(Y610))&gt;0.3),"⚠ Lệch &gt; 30% so với nhu cầu",IF(Q610="Có","ℹ Kiểm tra ngoại suy KM","✓ Hợp lệ")))))</f>
        <v/>
      </c>
    </row>
    <row r="611">
      <c r="A611" s="16" t="n">
        <v>607</v>
      </c>
      <c r="B611" s="17" t="inlineStr">
        <is>
          <t>DEC-S02-LINGERIE</t>
        </is>
      </c>
      <c r="C611" s="16" t="n">
        <v>2</v>
      </c>
      <c r="D611" s="17" t="inlineStr">
        <is>
          <t>LINGERIE</t>
        </is>
      </c>
      <c r="E611" s="17" t="inlineStr">
        <is>
          <t>HIGH</t>
        </is>
      </c>
      <c r="F611" s="17" t="inlineStr">
        <is>
          <t>TRUNG BÌNH</t>
        </is>
      </c>
      <c r="G611" s="18" t="inlineStr">
        <is>
          <t>RISK_HIGH · PROMO_EXTRAPOLATION</t>
        </is>
      </c>
      <c r="H611" s="19" t="n">
        <v>39.81577396392822</v>
      </c>
      <c r="I611" s="19" t="n">
        <v>184.1062393188477</v>
      </c>
      <c r="J611" s="19" t="n">
        <v>391.5680792331696</v>
      </c>
      <c r="K611" s="19" t="n">
        <v>184.1062393188477</v>
      </c>
      <c r="L611" s="19" t="n">
        <v>313.7698892652988</v>
      </c>
      <c r="M611" s="19" t="n">
        <v>391.5680792331696</v>
      </c>
      <c r="N611" s="17" t="inlineStr">
        <is>
          <t>B</t>
        </is>
      </c>
      <c r="O611" s="19" t="n">
        <v>166.4848978102207</v>
      </c>
      <c r="P611" s="18" t="inlineStr">
        <is>
          <t>CÂN NHẮC THỬ NGHIỆM</t>
        </is>
      </c>
      <c r="Q611" s="17" t="inlineStr">
        <is>
          <t>Có</t>
        </is>
      </c>
      <c r="R611" s="20" t="n"/>
      <c r="S611" s="20" t="n"/>
      <c r="T611" s="21" t="n"/>
      <c r="U611" s="21" t="n"/>
      <c r="V611" s="22">
        <f>IF(U611="A",K611,IF(U611="B",L611,IF(U611="C",M611,IF(N611="A",K611,IF(N611="B",L611,M611)))))</f>
        <v/>
      </c>
      <c r="W611" s="22">
        <f>IF(R611="",O611,MAX(V611-R611-N(S611),0))</f>
        <v/>
      </c>
      <c r="X611" s="20" t="n"/>
      <c r="Y611" s="23">
        <f>IF(OR(X611="",W611=0),"",X611/W611-1)</f>
        <v/>
      </c>
      <c r="Z611" s="24" t="n"/>
      <c r="AA611" s="21" t="n"/>
      <c r="AB611" s="25" t="n"/>
      <c r="AC611" s="26">
        <f>IF(T611="","Chưa quyết định",IF(OR(Z611="",AA611=""),"⚠ Thiếu lý do/người duyệt",IF(AND(X611&lt;&gt;"",N(X611)+N(R611)+N(S611)&gt;M611*1.001,R611&lt;&gt;""),"⚠ Vượt mục tiêu P90",IF(AND(Y611&lt;&gt;"",ABS(N(Y611))&gt;0.3),"⚠ Lệch &gt; 30% so với nhu cầu",IF(Q611="Có","ℹ Kiểm tra ngoại suy KM","✓ Hợp lệ")))))</f>
        <v/>
      </c>
    </row>
    <row r="612">
      <c r="A612" s="16" t="n">
        <v>608</v>
      </c>
      <c r="B612" s="17" t="inlineStr">
        <is>
          <t>DEC-S18-SEAFOOD</t>
        </is>
      </c>
      <c r="C612" s="16" t="n">
        <v>18</v>
      </c>
      <c r="D612" s="17" t="inlineStr">
        <is>
          <t>SEAFOOD</t>
        </is>
      </c>
      <c r="E612" s="17" t="inlineStr">
        <is>
          <t>HIGH</t>
        </is>
      </c>
      <c r="F612" s="17" t="inlineStr">
        <is>
          <t>TRUNG BÌNH</t>
        </is>
      </c>
      <c r="G612" s="18" t="inlineStr">
        <is>
          <t>RISK_HIGH · PROMO_EXTRAPOLATION</t>
        </is>
      </c>
      <c r="H612" s="19" t="n">
        <v>58.54279732704163</v>
      </c>
      <c r="I612" s="19" t="n">
        <v>184.0860674381256</v>
      </c>
      <c r="J612" s="19" t="n">
        <v>358.8525643348694</v>
      </c>
      <c r="K612" s="19" t="n">
        <v>184.0860674381256</v>
      </c>
      <c r="L612" s="19" t="n">
        <v>293.3151279985905</v>
      </c>
      <c r="M612" s="19" t="n">
        <v>358.8525643348694</v>
      </c>
      <c r="N612" s="17" t="inlineStr">
        <is>
          <t>B</t>
        </is>
      </c>
      <c r="O612" s="19" t="n">
        <v>146.04627404809</v>
      </c>
      <c r="P612" s="18" t="inlineStr">
        <is>
          <t>CÂN NHẮC THỬ NGHIỆM</t>
        </is>
      </c>
      <c r="Q612" s="17" t="inlineStr">
        <is>
          <t>Có</t>
        </is>
      </c>
      <c r="R612" s="20" t="n"/>
      <c r="S612" s="20" t="n"/>
      <c r="T612" s="21" t="n"/>
      <c r="U612" s="21" t="n"/>
      <c r="V612" s="22">
        <f>IF(U612="A",K612,IF(U612="B",L612,IF(U612="C",M612,IF(N612="A",K612,IF(N612="B",L612,M612)))))</f>
        <v/>
      </c>
      <c r="W612" s="22">
        <f>IF(R612="",O612,MAX(V612-R612-N(S612),0))</f>
        <v/>
      </c>
      <c r="X612" s="20" t="n"/>
      <c r="Y612" s="23">
        <f>IF(OR(X612="",W612=0),"",X612/W612-1)</f>
        <v/>
      </c>
      <c r="Z612" s="24" t="n"/>
      <c r="AA612" s="21" t="n"/>
      <c r="AB612" s="25" t="n"/>
      <c r="AC612" s="26">
        <f>IF(T612="","Chưa quyết định",IF(OR(Z612="",AA612=""),"⚠ Thiếu lý do/người duyệt",IF(AND(X612&lt;&gt;"",N(X612)+N(R612)+N(S612)&gt;M612*1.001,R612&lt;&gt;""),"⚠ Vượt mục tiêu P90",IF(AND(Y612&lt;&gt;"",ABS(N(Y612))&gt;0.3),"⚠ Lệch &gt; 30% so với nhu cầu",IF(Q612="Có","ℹ Kiểm tra ngoại suy KM","✓ Hợp lệ")))))</f>
        <v/>
      </c>
    </row>
    <row r="613">
      <c r="A613" s="16" t="n">
        <v>609</v>
      </c>
      <c r="B613" s="17" t="inlineStr">
        <is>
          <t>DEC-S06-CELEBRATION</t>
        </is>
      </c>
      <c r="C613" s="16" t="n">
        <v>6</v>
      </c>
      <c r="D613" s="17" t="inlineStr">
        <is>
          <t>CELEBRATION</t>
        </is>
      </c>
      <c r="E613" s="17" t="inlineStr">
        <is>
          <t>HIGH</t>
        </is>
      </c>
      <c r="F613" s="17" t="inlineStr">
        <is>
          <t>TRUNG BÌNH</t>
        </is>
      </c>
      <c r="G613" s="18" t="inlineStr">
        <is>
          <t>RISK_HIGH · PROMO_EXTRAPOLATION</t>
        </is>
      </c>
      <c r="H613" s="19" t="n">
        <v>64.20378875732422</v>
      </c>
      <c r="I613" s="19" t="n">
        <v>183.6129102706909</v>
      </c>
      <c r="J613" s="19" t="n">
        <v>352.5945234298706</v>
      </c>
      <c r="K613" s="19" t="n">
        <v>183.6129102706909</v>
      </c>
      <c r="L613" s="19" t="n">
        <v>289.2264184951782</v>
      </c>
      <c r="M613" s="19" t="n">
        <v>352.5945234298706</v>
      </c>
      <c r="N613" s="17" t="inlineStr">
        <is>
          <t>B</t>
        </is>
      </c>
      <c r="O613" s="19" t="n">
        <v>142.3360902786254</v>
      </c>
      <c r="P613" s="18" t="inlineStr">
        <is>
          <t>CÂN NHẮC THỬ NGHIỆM</t>
        </is>
      </c>
      <c r="Q613" s="17" t="inlineStr">
        <is>
          <t>Có</t>
        </is>
      </c>
      <c r="R613" s="20" t="n"/>
      <c r="S613" s="20" t="n"/>
      <c r="T613" s="21" t="n"/>
      <c r="U613" s="21" t="n"/>
      <c r="V613" s="22">
        <f>IF(U613="A",K613,IF(U613="B",L613,IF(U613="C",M613,IF(N613="A",K613,IF(N613="B",L613,M613)))))</f>
        <v/>
      </c>
      <c r="W613" s="22">
        <f>IF(R613="",O613,MAX(V613-R613-N(S613),0))</f>
        <v/>
      </c>
      <c r="X613" s="20" t="n"/>
      <c r="Y613" s="23">
        <f>IF(OR(X613="",W613=0),"",X613/W613-1)</f>
        <v/>
      </c>
      <c r="Z613" s="24" t="n"/>
      <c r="AA613" s="21" t="n"/>
      <c r="AB613" s="25" t="n"/>
      <c r="AC613" s="26">
        <f>IF(T613="","Chưa quyết định",IF(OR(Z613="",AA613=""),"⚠ Thiếu lý do/người duyệt",IF(AND(X613&lt;&gt;"",N(X613)+N(R613)+N(S613)&gt;M613*1.001,R613&lt;&gt;""),"⚠ Vượt mục tiêu P90",IF(AND(Y613&lt;&gt;"",ABS(N(Y613))&gt;0.3),"⚠ Lệch &gt; 30% so với nhu cầu",IF(Q613="Có","ℹ Kiểm tra ngoại suy KM","✓ Hợp lệ")))))</f>
        <v/>
      </c>
    </row>
    <row r="614">
      <c r="A614" s="16" t="n">
        <v>610</v>
      </c>
      <c r="B614" s="17" t="inlineStr">
        <is>
          <t>DEC-S17-SCHOOL_AND_OFFICE_SUPPLIES</t>
        </is>
      </c>
      <c r="C614" s="16" t="n">
        <v>17</v>
      </c>
      <c r="D614" s="17" t="inlineStr">
        <is>
          <t>SCHOOL AND OFFICE SUPPLIES</t>
        </is>
      </c>
      <c r="E614" s="17" t="inlineStr">
        <is>
          <t>HIGH</t>
        </is>
      </c>
      <c r="F614" s="17" t="inlineStr">
        <is>
          <t>TRUNG BÌNH</t>
        </is>
      </c>
      <c r="G614" s="18" t="inlineStr">
        <is>
          <t>RISK_HIGH · PROMO_EXTRAPOLATION</t>
        </is>
      </c>
      <c r="H614" s="19" t="n">
        <v>88.83446788787842</v>
      </c>
      <c r="I614" s="19" t="n">
        <v>183.5395269393921</v>
      </c>
      <c r="J614" s="19" t="n">
        <v>355.5113143920898</v>
      </c>
      <c r="K614" s="19" t="n">
        <v>183.5395269393921</v>
      </c>
      <c r="L614" s="19" t="n">
        <v>291.0218940973282</v>
      </c>
      <c r="M614" s="19" t="n">
        <v>355.5113143920898</v>
      </c>
      <c r="N614" s="17" t="inlineStr">
        <is>
          <t>B</t>
        </is>
      </c>
      <c r="O614" s="19" t="n">
        <v>144.1902725458145</v>
      </c>
      <c r="P614" s="18" t="inlineStr">
        <is>
          <t>KHÔNG ĐỀ XUẤT TĂNG</t>
        </is>
      </c>
      <c r="Q614" s="17" t="inlineStr">
        <is>
          <t>Có</t>
        </is>
      </c>
      <c r="R614" s="20" t="n"/>
      <c r="S614" s="20" t="n"/>
      <c r="T614" s="21" t="n"/>
      <c r="U614" s="21" t="n"/>
      <c r="V614" s="22">
        <f>IF(U614="A",K614,IF(U614="B",L614,IF(U614="C",M614,IF(N614="A",K614,IF(N614="B",L614,M614)))))</f>
        <v/>
      </c>
      <c r="W614" s="22">
        <f>IF(R614="",O614,MAX(V614-R614-N(S614),0))</f>
        <v/>
      </c>
      <c r="X614" s="20" t="n"/>
      <c r="Y614" s="23">
        <f>IF(OR(X614="",W614=0),"",X614/W614-1)</f>
        <v/>
      </c>
      <c r="Z614" s="24" t="n"/>
      <c r="AA614" s="21" t="n"/>
      <c r="AB614" s="25" t="n"/>
      <c r="AC614" s="26">
        <f>IF(T614="","Chưa quyết định",IF(OR(Z614="",AA614=""),"⚠ Thiếu lý do/người duyệt",IF(AND(X614&lt;&gt;"",N(X614)+N(R614)+N(S614)&gt;M614*1.001,R614&lt;&gt;""),"⚠ Vượt mục tiêu P90",IF(AND(Y614&lt;&gt;"",ABS(N(Y614))&gt;0.3),"⚠ Lệch &gt; 30% so với nhu cầu",IF(Q614="Có","ℹ Kiểm tra ngoại suy KM","✓ Hợp lệ")))))</f>
        <v/>
      </c>
    </row>
    <row r="615">
      <c r="A615" s="16" t="n">
        <v>611</v>
      </c>
      <c r="B615" s="17" t="inlineStr">
        <is>
          <t>DEC-S52-CELEBRATION</t>
        </is>
      </c>
      <c r="C615" s="16" t="n">
        <v>52</v>
      </c>
      <c r="D615" s="17" t="inlineStr">
        <is>
          <t>CELEBRATION</t>
        </is>
      </c>
      <c r="E615" s="17" t="inlineStr">
        <is>
          <t>HIGH</t>
        </is>
      </c>
      <c r="F615" s="17" t="inlineStr">
        <is>
          <t>TRUNG BÌNH</t>
        </is>
      </c>
      <c r="G615" s="18" t="inlineStr">
        <is>
          <t>RISK_HIGH · PROMO_EXTRAPOLATION</t>
        </is>
      </c>
      <c r="H615" s="19" t="n">
        <v>78.70935916900635</v>
      </c>
      <c r="I615" s="19" t="n">
        <v>183.1160755157471</v>
      </c>
      <c r="J615" s="19" t="n">
        <v>327.5761814117432</v>
      </c>
      <c r="K615" s="19" t="n">
        <v>183.1160755157471</v>
      </c>
      <c r="L615" s="19" t="n">
        <v>273.4036417007446</v>
      </c>
      <c r="M615" s="19" t="n">
        <v>327.5761814117432</v>
      </c>
      <c r="N615" s="17" t="inlineStr">
        <is>
          <t>B</t>
        </is>
      </c>
      <c r="O615" s="19" t="n">
        <v>126.910781288147</v>
      </c>
      <c r="P615" s="18" t="inlineStr">
        <is>
          <t>KHÔNG ĐỀ XUẤT TĂNG</t>
        </is>
      </c>
      <c r="Q615" s="17" t="inlineStr">
        <is>
          <t>Có</t>
        </is>
      </c>
      <c r="R615" s="20" t="n"/>
      <c r="S615" s="20" t="n"/>
      <c r="T615" s="21" t="n"/>
      <c r="U615" s="21" t="n"/>
      <c r="V615" s="22">
        <f>IF(U615="A",K615,IF(U615="B",L615,IF(U615="C",M615,IF(N615="A",K615,IF(N615="B",L615,M615)))))</f>
        <v/>
      </c>
      <c r="W615" s="22">
        <f>IF(R615="",O615,MAX(V615-R615-N(S615),0))</f>
        <v/>
      </c>
      <c r="X615" s="20" t="n"/>
      <c r="Y615" s="23">
        <f>IF(OR(X615="",W615=0),"",X615/W615-1)</f>
        <v/>
      </c>
      <c r="Z615" s="24" t="n"/>
      <c r="AA615" s="21" t="n"/>
      <c r="AB615" s="25" t="n"/>
      <c r="AC615" s="26">
        <f>IF(T615="","Chưa quyết định",IF(OR(Z615="",AA615=""),"⚠ Thiếu lý do/người duyệt",IF(AND(X615&lt;&gt;"",N(X615)+N(R615)+N(S615)&gt;M615*1.001,R615&lt;&gt;""),"⚠ Vượt mục tiêu P90",IF(AND(Y615&lt;&gt;"",ABS(N(Y615))&gt;0.3),"⚠ Lệch &gt; 30% so với nhu cầu",IF(Q615="Có","ℹ Kiểm tra ngoại suy KM","✓ Hợp lệ")))))</f>
        <v/>
      </c>
    </row>
    <row r="616">
      <c r="A616" s="16" t="n">
        <v>612</v>
      </c>
      <c r="B616" s="17" t="inlineStr">
        <is>
          <t>DEC-S39-PLAYERS_AND_ELECTRONICS</t>
        </is>
      </c>
      <c r="C616" s="16" t="n">
        <v>39</v>
      </c>
      <c r="D616" s="17" t="inlineStr">
        <is>
          <t>PLAYERS AND ELECTRONICS</t>
        </is>
      </c>
      <c r="E616" s="17" t="inlineStr">
        <is>
          <t>HIGH</t>
        </is>
      </c>
      <c r="F616" s="17" t="inlineStr">
        <is>
          <t>TRUNG BÌNH</t>
        </is>
      </c>
      <c r="G616" s="18" t="inlineStr">
        <is>
          <t>RISK_HIGH · PROMO_EXTRAPOLATION</t>
        </is>
      </c>
      <c r="H616" s="19" t="n">
        <v>81.05415678024292</v>
      </c>
      <c r="I616" s="19" t="n">
        <v>181.8739047050476</v>
      </c>
      <c r="J616" s="19" t="n">
        <v>318.1601748466492</v>
      </c>
      <c r="K616" s="19" t="n">
        <v>181.8739047050476</v>
      </c>
      <c r="L616" s="19" t="n">
        <v>267.0528235435486</v>
      </c>
      <c r="M616" s="19" t="n">
        <v>318.1601748466492</v>
      </c>
      <c r="N616" s="17" t="inlineStr">
        <is>
          <t>B</t>
        </is>
      </c>
      <c r="O616" s="19" t="n">
        <v>121.5536997795105</v>
      </c>
      <c r="P616" s="18" t="inlineStr">
        <is>
          <t>KHÔNG ĐỀ XUẤT TĂNG</t>
        </is>
      </c>
      <c r="Q616" s="17" t="inlineStr">
        <is>
          <t>Có</t>
        </is>
      </c>
      <c r="R616" s="20" t="n"/>
      <c r="S616" s="20" t="n"/>
      <c r="T616" s="21" t="n"/>
      <c r="U616" s="21" t="n"/>
      <c r="V616" s="22">
        <f>IF(U616="A",K616,IF(U616="B",L616,IF(U616="C",M616,IF(N616="A",K616,IF(N616="B",L616,M616)))))</f>
        <v/>
      </c>
      <c r="W616" s="22">
        <f>IF(R616="",O616,MAX(V616-R616-N(S616),0))</f>
        <v/>
      </c>
      <c r="X616" s="20" t="n"/>
      <c r="Y616" s="23">
        <f>IF(OR(X616="",W616=0),"",X616/W616-1)</f>
        <v/>
      </c>
      <c r="Z616" s="24" t="n"/>
      <c r="AA616" s="21" t="n"/>
      <c r="AB616" s="25" t="n"/>
      <c r="AC616" s="26">
        <f>IF(T616="","Chưa quyết định",IF(OR(Z616="",AA616=""),"⚠ Thiếu lý do/người duyệt",IF(AND(X616&lt;&gt;"",N(X616)+N(R616)+N(S616)&gt;M616*1.001,R616&lt;&gt;""),"⚠ Vượt mục tiêu P90",IF(AND(Y616&lt;&gt;"",ABS(N(Y616))&gt;0.3),"⚠ Lệch &gt; 30% so với nhu cầu",IF(Q616="Có","ℹ Kiểm tra ngoại suy KM","✓ Hợp lệ")))))</f>
        <v/>
      </c>
    </row>
    <row r="617">
      <c r="A617" s="16" t="n">
        <v>613</v>
      </c>
      <c r="B617" s="17" t="inlineStr">
        <is>
          <t>DEC-S23-BEAUTY</t>
        </is>
      </c>
      <c r="C617" s="16" t="n">
        <v>23</v>
      </c>
      <c r="D617" s="17" t="inlineStr">
        <is>
          <t>BEAUTY</t>
        </is>
      </c>
      <c r="E617" s="17" t="inlineStr">
        <is>
          <t>HIGH</t>
        </is>
      </c>
      <c r="F617" s="17" t="inlineStr">
        <is>
          <t>TRUNG BÌNH</t>
        </is>
      </c>
      <c r="G617" s="18" t="inlineStr">
        <is>
          <t>RISK_HIGH · PROMO_EXTRAPOLATION</t>
        </is>
      </c>
      <c r="H617" s="19" t="n">
        <v>64.17653632164001</v>
      </c>
      <c r="I617" s="19" t="n">
        <v>181.5403611660004</v>
      </c>
      <c r="J617" s="19" t="n">
        <v>353.9179060459137</v>
      </c>
      <c r="K617" s="19" t="n">
        <v>181.5403611660004</v>
      </c>
      <c r="L617" s="19" t="n">
        <v>289.2763267159462</v>
      </c>
      <c r="M617" s="19" t="n">
        <v>353.9179060459137</v>
      </c>
      <c r="N617" s="17" t="inlineStr">
        <is>
          <t>B</t>
        </is>
      </c>
      <c r="O617" s="19" t="n">
        <v>144.0440377831459</v>
      </c>
      <c r="P617" s="18" t="inlineStr">
        <is>
          <t>CÂN NHẮC THỬ NGHIỆM</t>
        </is>
      </c>
      <c r="Q617" s="17" t="inlineStr">
        <is>
          <t>Có</t>
        </is>
      </c>
      <c r="R617" s="20" t="n"/>
      <c r="S617" s="20" t="n"/>
      <c r="T617" s="21" t="n"/>
      <c r="U617" s="21" t="n"/>
      <c r="V617" s="22">
        <f>IF(U617="A",K617,IF(U617="B",L617,IF(U617="C",M617,IF(N617="A",K617,IF(N617="B",L617,M617)))))</f>
        <v/>
      </c>
      <c r="W617" s="22">
        <f>IF(R617="",O617,MAX(V617-R617-N(S617),0))</f>
        <v/>
      </c>
      <c r="X617" s="20" t="n"/>
      <c r="Y617" s="23">
        <f>IF(OR(X617="",W617=0),"",X617/W617-1)</f>
        <v/>
      </c>
      <c r="Z617" s="24" t="n"/>
      <c r="AA617" s="21" t="n"/>
      <c r="AB617" s="25" t="n"/>
      <c r="AC617" s="26">
        <f>IF(T617="","Chưa quyết định",IF(OR(Z617="",AA617=""),"⚠ Thiếu lý do/người duyệt",IF(AND(X617&lt;&gt;"",N(X617)+N(R617)+N(S617)&gt;M617*1.001,R617&lt;&gt;""),"⚠ Vượt mục tiêu P90",IF(AND(Y617&lt;&gt;"",ABS(N(Y617))&gt;0.3),"⚠ Lệch &gt; 30% so với nhu cầu",IF(Q617="Có","ℹ Kiểm tra ngoại suy KM","✓ Hợp lệ")))))</f>
        <v/>
      </c>
    </row>
    <row r="618">
      <c r="A618" s="16" t="n">
        <v>614</v>
      </c>
      <c r="B618" s="17" t="inlineStr">
        <is>
          <t>DEC-S41-PET_SUPPLIES</t>
        </is>
      </c>
      <c r="C618" s="16" t="n">
        <v>41</v>
      </c>
      <c r="D618" s="17" t="inlineStr">
        <is>
          <t>PET SUPPLIES</t>
        </is>
      </c>
      <c r="E618" s="17" t="inlineStr">
        <is>
          <t>HIGH</t>
        </is>
      </c>
      <c r="F618" s="17" t="inlineStr">
        <is>
          <t>TRUNG BÌNH</t>
        </is>
      </c>
      <c r="G618" s="18" t="inlineStr">
        <is>
          <t>RISK_HIGH · PROMO_EXTRAPOLATION</t>
        </is>
      </c>
      <c r="H618" s="19" t="n">
        <v>72.60424566268921</v>
      </c>
      <c r="I618" s="19" t="n">
        <v>181.329375743866</v>
      </c>
      <c r="J618" s="19" t="n">
        <v>333.9633173942566</v>
      </c>
      <c r="K618" s="19" t="n">
        <v>181.329375743866</v>
      </c>
      <c r="L618" s="19" t="n">
        <v>276.7255892753601</v>
      </c>
      <c r="M618" s="19" t="n">
        <v>333.9633173942566</v>
      </c>
      <c r="N618" s="17" t="inlineStr">
        <is>
          <t>B</t>
        </is>
      </c>
      <c r="O618" s="19" t="n">
        <v>131.6620886802673</v>
      </c>
      <c r="P618" s="18" t="inlineStr">
        <is>
          <t>KHÔNG ĐỀ XUẤT TĂNG</t>
        </is>
      </c>
      <c r="Q618" s="17" t="inlineStr">
        <is>
          <t>Có</t>
        </is>
      </c>
      <c r="R618" s="20" t="n"/>
      <c r="S618" s="20" t="n"/>
      <c r="T618" s="21" t="n"/>
      <c r="U618" s="21" t="n"/>
      <c r="V618" s="22">
        <f>IF(U618="A",K618,IF(U618="B",L618,IF(U618="C",M618,IF(N618="A",K618,IF(N618="B",L618,M618)))))</f>
        <v/>
      </c>
      <c r="W618" s="22">
        <f>IF(R618="",O618,MAX(V618-R618-N(S618),0))</f>
        <v/>
      </c>
      <c r="X618" s="20" t="n"/>
      <c r="Y618" s="23">
        <f>IF(OR(X618="",W618=0),"",X618/W618-1)</f>
        <v/>
      </c>
      <c r="Z618" s="24" t="n"/>
      <c r="AA618" s="21" t="n"/>
      <c r="AB618" s="25" t="n"/>
      <c r="AC618" s="26">
        <f>IF(T618="","Chưa quyết định",IF(OR(Z618="",AA618=""),"⚠ Thiếu lý do/người duyệt",IF(AND(X618&lt;&gt;"",N(X618)+N(R618)+N(S618)&gt;M618*1.001,R618&lt;&gt;""),"⚠ Vượt mục tiêu P90",IF(AND(Y618&lt;&gt;"",ABS(N(Y618))&gt;0.3),"⚠ Lệch &gt; 30% so với nhu cầu",IF(Q618="Có","ℹ Kiểm tra ngoại suy KM","✓ Hợp lệ")))))</f>
        <v/>
      </c>
    </row>
    <row r="619">
      <c r="A619" s="16" t="n">
        <v>615</v>
      </c>
      <c r="B619" s="17" t="inlineStr">
        <is>
          <t>DEC-S49-AUTOMOTIVE</t>
        </is>
      </c>
      <c r="C619" s="16" t="n">
        <v>49</v>
      </c>
      <c r="D619" s="17" t="inlineStr">
        <is>
          <t>AUTOMOTIVE</t>
        </is>
      </c>
      <c r="E619" s="17" t="inlineStr">
        <is>
          <t>HIGH</t>
        </is>
      </c>
      <c r="F619" s="17" t="inlineStr">
        <is>
          <t>TRUNG BÌNH</t>
        </is>
      </c>
      <c r="G619" s="18" t="inlineStr">
        <is>
          <t>RISK_HIGH · PROMO_EXTRAPOLATION</t>
        </is>
      </c>
      <c r="H619" s="19" t="n">
        <v>76.46808338165283</v>
      </c>
      <c r="I619" s="19" t="n">
        <v>181.2782897949219</v>
      </c>
      <c r="J619" s="19" t="n">
        <v>325.738395690918</v>
      </c>
      <c r="K619" s="19" t="n">
        <v>181.2782897949219</v>
      </c>
      <c r="L619" s="19" t="n">
        <v>271.5658559799194</v>
      </c>
      <c r="M619" s="19" t="n">
        <v>325.738395690918</v>
      </c>
      <c r="N619" s="17" t="inlineStr">
        <is>
          <t>B</t>
        </is>
      </c>
      <c r="O619" s="19" t="n">
        <v>126.5432241439819</v>
      </c>
      <c r="P619" s="18" t="inlineStr">
        <is>
          <t>CÂN NHẮC THỬ NGHIỆM</t>
        </is>
      </c>
      <c r="Q619" s="17" t="inlineStr">
        <is>
          <t>Có</t>
        </is>
      </c>
      <c r="R619" s="20" t="n"/>
      <c r="S619" s="20" t="n"/>
      <c r="T619" s="21" t="n"/>
      <c r="U619" s="21" t="n"/>
      <c r="V619" s="22">
        <f>IF(U619="A",K619,IF(U619="B",L619,IF(U619="C",M619,IF(N619="A",K619,IF(N619="B",L619,M619)))))</f>
        <v/>
      </c>
      <c r="W619" s="22">
        <f>IF(R619="",O619,MAX(V619-R619-N(S619),0))</f>
        <v/>
      </c>
      <c r="X619" s="20" t="n"/>
      <c r="Y619" s="23">
        <f>IF(OR(X619="",W619=0),"",X619/W619-1)</f>
        <v/>
      </c>
      <c r="Z619" s="24" t="n"/>
      <c r="AA619" s="21" t="n"/>
      <c r="AB619" s="25" t="n"/>
      <c r="AC619" s="26">
        <f>IF(T619="","Chưa quyết định",IF(OR(Z619="",AA619=""),"⚠ Thiếu lý do/người duyệt",IF(AND(X619&lt;&gt;"",N(X619)+N(R619)+N(S619)&gt;M619*1.001,R619&lt;&gt;""),"⚠ Vượt mục tiêu P90",IF(AND(Y619&lt;&gt;"",ABS(N(Y619))&gt;0.3),"⚠ Lệch &gt; 30% so với nhu cầu",IF(Q619="Có","ℹ Kiểm tra ngoại suy KM","✓ Hợp lệ")))))</f>
        <v/>
      </c>
    </row>
    <row r="620">
      <c r="A620" s="16" t="n">
        <v>616</v>
      </c>
      <c r="B620" s="17" t="inlineStr">
        <is>
          <t>DEC-S52-AUTOMOTIVE</t>
        </is>
      </c>
      <c r="C620" s="16" t="n">
        <v>52</v>
      </c>
      <c r="D620" s="17" t="inlineStr">
        <is>
          <t>AUTOMOTIVE</t>
        </is>
      </c>
      <c r="E620" s="17" t="inlineStr">
        <is>
          <t>HIGH</t>
        </is>
      </c>
      <c r="F620" s="17" t="inlineStr">
        <is>
          <t>TRUNG BÌNH</t>
        </is>
      </c>
      <c r="G620" s="18" t="inlineStr">
        <is>
          <t>RISK_HIGH · PROMO_EXTRAPOLATION</t>
        </is>
      </c>
      <c r="H620" s="19" t="n">
        <v>66.51199865341187</v>
      </c>
      <c r="I620" s="19" t="n">
        <v>180.8122773170471</v>
      </c>
      <c r="J620" s="19" t="n">
        <v>341.6200547218323</v>
      </c>
      <c r="K620" s="19" t="n">
        <v>180.8122773170471</v>
      </c>
      <c r="L620" s="19" t="n">
        <v>281.3171381950378</v>
      </c>
      <c r="M620" s="19" t="n">
        <v>341.6200547218323</v>
      </c>
      <c r="N620" s="17" t="inlineStr">
        <is>
          <t>B</t>
        </is>
      </c>
      <c r="O620" s="19" t="n">
        <v>136.6673163414002</v>
      </c>
      <c r="P620" s="18" t="inlineStr">
        <is>
          <t>CÂN NHẮC THỬ NGHIỆM</t>
        </is>
      </c>
      <c r="Q620" s="17" t="inlineStr">
        <is>
          <t>Có</t>
        </is>
      </c>
      <c r="R620" s="20" t="n"/>
      <c r="S620" s="20" t="n"/>
      <c r="T620" s="21" t="n"/>
      <c r="U620" s="21" t="n"/>
      <c r="V620" s="22">
        <f>IF(U620="A",K620,IF(U620="B",L620,IF(U620="C",M620,IF(N620="A",K620,IF(N620="B",L620,M620)))))</f>
        <v/>
      </c>
      <c r="W620" s="22">
        <f>IF(R620="",O620,MAX(V620-R620-N(S620),0))</f>
        <v/>
      </c>
      <c r="X620" s="20" t="n"/>
      <c r="Y620" s="23">
        <f>IF(OR(X620="",W620=0),"",X620/W620-1)</f>
        <v/>
      </c>
      <c r="Z620" s="24" t="n"/>
      <c r="AA620" s="21" t="n"/>
      <c r="AB620" s="25" t="n"/>
      <c r="AC620" s="26">
        <f>IF(T620="","Chưa quyết định",IF(OR(Z620="",AA620=""),"⚠ Thiếu lý do/người duyệt",IF(AND(X620&lt;&gt;"",N(X620)+N(R620)+N(S620)&gt;M620*1.001,R620&lt;&gt;""),"⚠ Vượt mục tiêu P90",IF(AND(Y620&lt;&gt;"",ABS(N(Y620))&gt;0.3),"⚠ Lệch &gt; 30% so với nhu cầu",IF(Q620="Có","ℹ Kiểm tra ngoại suy KM","✓ Hợp lệ")))))</f>
        <v/>
      </c>
    </row>
    <row r="621">
      <c r="A621" s="16" t="n">
        <v>617</v>
      </c>
      <c r="B621" s="17" t="inlineStr">
        <is>
          <t>DEC-S07-PLAYERS_AND_ELECTRONICS</t>
        </is>
      </c>
      <c r="C621" s="16" t="n">
        <v>7</v>
      </c>
      <c r="D621" s="17" t="inlineStr">
        <is>
          <t>PLAYERS AND ELECTRONICS</t>
        </is>
      </c>
      <c r="E621" s="17" t="inlineStr">
        <is>
          <t>HIGH</t>
        </is>
      </c>
      <c r="F621" s="17" t="inlineStr">
        <is>
          <t>TRUNG BÌNH</t>
        </is>
      </c>
      <c r="G621" s="18" t="inlineStr">
        <is>
          <t>RISK_HIGH · PROMO_EXTRAPOLATION</t>
        </is>
      </c>
      <c r="H621" s="19" t="n">
        <v>73.97394037246704</v>
      </c>
      <c r="I621" s="19" t="n">
        <v>180.786461353302</v>
      </c>
      <c r="J621" s="19" t="n">
        <v>325.2465672492981</v>
      </c>
      <c r="K621" s="19" t="n">
        <v>180.786461353302</v>
      </c>
      <c r="L621" s="19" t="n">
        <v>271.0740275382996</v>
      </c>
      <c r="M621" s="19" t="n">
        <v>325.2465672492981</v>
      </c>
      <c r="N621" s="17" t="inlineStr">
        <is>
          <t>B</t>
        </is>
      </c>
      <c r="O621" s="19" t="n">
        <v>126.444858455658</v>
      </c>
      <c r="P621" s="18" t="inlineStr">
        <is>
          <t>CÂN NHẮC THỬ NGHIỆM</t>
        </is>
      </c>
      <c r="Q621" s="17" t="inlineStr">
        <is>
          <t>Có</t>
        </is>
      </c>
      <c r="R621" s="20" t="n"/>
      <c r="S621" s="20" t="n"/>
      <c r="T621" s="21" t="n"/>
      <c r="U621" s="21" t="n"/>
      <c r="V621" s="22">
        <f>IF(U621="A",K621,IF(U621="B",L621,IF(U621="C",M621,IF(N621="A",K621,IF(N621="B",L621,M621)))))</f>
        <v/>
      </c>
      <c r="W621" s="22">
        <f>IF(R621="",O621,MAX(V621-R621-N(S621),0))</f>
        <v/>
      </c>
      <c r="X621" s="20" t="n"/>
      <c r="Y621" s="23">
        <f>IF(OR(X621="",W621=0),"",X621/W621-1)</f>
        <v/>
      </c>
      <c r="Z621" s="24" t="n"/>
      <c r="AA621" s="21" t="n"/>
      <c r="AB621" s="25" t="n"/>
      <c r="AC621" s="26">
        <f>IF(T621="","Chưa quyết định",IF(OR(Z621="",AA621=""),"⚠ Thiếu lý do/người duyệt",IF(AND(X621&lt;&gt;"",N(X621)+N(R621)+N(S621)&gt;M621*1.001,R621&lt;&gt;""),"⚠ Vượt mục tiêu P90",IF(AND(Y621&lt;&gt;"",ABS(N(Y621))&gt;0.3),"⚠ Lệch &gt; 30% so với nhu cầu",IF(Q621="Có","ℹ Kiểm tra ngoại suy KM","✓ Hợp lệ")))))</f>
        <v/>
      </c>
    </row>
    <row r="622">
      <c r="A622" s="16" t="n">
        <v>618</v>
      </c>
      <c r="B622" s="17" t="inlineStr">
        <is>
          <t>DEC-S05-LADIESWEAR</t>
        </is>
      </c>
      <c r="C622" s="16" t="n">
        <v>5</v>
      </c>
      <c r="D622" s="17" t="inlineStr">
        <is>
          <t>LADIESWEAR</t>
        </is>
      </c>
      <c r="E622" s="17" t="inlineStr">
        <is>
          <t>HIGH</t>
        </is>
      </c>
      <c r="F622" s="17" t="inlineStr">
        <is>
          <t>TRUNG BÌNH</t>
        </is>
      </c>
      <c r="G622" s="18" t="inlineStr">
        <is>
          <t>RISK_HIGH · PROMO_EXTRAPOLATION</t>
        </is>
      </c>
      <c r="H622" s="19" t="n">
        <v>61.86766195297241</v>
      </c>
      <c r="I622" s="19" t="n">
        <v>180.6300377845764</v>
      </c>
      <c r="J622" s="19" t="n">
        <v>349.6116509437561</v>
      </c>
      <c r="K622" s="19" t="n">
        <v>180.6300377845764</v>
      </c>
      <c r="L622" s="19" t="n">
        <v>286.2435460090637</v>
      </c>
      <c r="M622" s="19" t="n">
        <v>349.6116509437561</v>
      </c>
      <c r="N622" s="17" t="inlineStr">
        <is>
          <t>B</t>
        </is>
      </c>
      <c r="O622" s="19" t="n">
        <v>141.7395157814026</v>
      </c>
      <c r="P622" s="18" t="inlineStr">
        <is>
          <t>CÂN NHẮC THỬ NGHIỆM</t>
        </is>
      </c>
      <c r="Q622" s="17" t="inlineStr">
        <is>
          <t>Có</t>
        </is>
      </c>
      <c r="R622" s="20" t="n"/>
      <c r="S622" s="20" t="n"/>
      <c r="T622" s="21" t="n"/>
      <c r="U622" s="21" t="n"/>
      <c r="V622" s="22">
        <f>IF(U622="A",K622,IF(U622="B",L622,IF(U622="C",M622,IF(N622="A",K622,IF(N622="B",L622,M622)))))</f>
        <v/>
      </c>
      <c r="W622" s="22">
        <f>IF(R622="",O622,MAX(V622-R622-N(S622),0))</f>
        <v/>
      </c>
      <c r="X622" s="20" t="n"/>
      <c r="Y622" s="23">
        <f>IF(OR(X622="",W622=0),"",X622/W622-1)</f>
        <v/>
      </c>
      <c r="Z622" s="24" t="n"/>
      <c r="AA622" s="21" t="n"/>
      <c r="AB622" s="25" t="n"/>
      <c r="AC622" s="26">
        <f>IF(T622="","Chưa quyết định",IF(OR(Z622="",AA622=""),"⚠ Thiếu lý do/người duyệt",IF(AND(X622&lt;&gt;"",N(X622)+N(R622)+N(S622)&gt;M622*1.001,R622&lt;&gt;""),"⚠ Vượt mục tiêu P90",IF(AND(Y622&lt;&gt;"",ABS(N(Y622))&gt;0.3),"⚠ Lệch &gt; 30% so với nhu cầu",IF(Q622="Có","ℹ Kiểm tra ngoại suy KM","✓ Hợp lệ")))))</f>
        <v/>
      </c>
    </row>
    <row r="623">
      <c r="A623" s="16" t="n">
        <v>619</v>
      </c>
      <c r="B623" s="17" t="inlineStr">
        <is>
          <t>DEC-S16-HOME_AND_KITCHEN_II</t>
        </is>
      </c>
      <c r="C623" s="16" t="n">
        <v>16</v>
      </c>
      <c r="D623" s="17" t="inlineStr">
        <is>
          <t>HOME AND KITCHEN II</t>
        </is>
      </c>
      <c r="E623" s="17" t="inlineStr">
        <is>
          <t>HIGH</t>
        </is>
      </c>
      <c r="F623" s="17" t="inlineStr">
        <is>
          <t>TRUNG BÌNH</t>
        </is>
      </c>
      <c r="G623" s="18" t="inlineStr">
        <is>
          <t>RISK_HIGH · PROMO_EXTRAPOLATION</t>
        </is>
      </c>
      <c r="H623" s="19" t="n">
        <v>73.69891738891602</v>
      </c>
      <c r="I623" s="19" t="n">
        <v>180.5114383697509</v>
      </c>
      <c r="J623" s="19" t="n">
        <v>324.9715442657471</v>
      </c>
      <c r="K623" s="19" t="n">
        <v>180.5114383697509</v>
      </c>
      <c r="L623" s="19" t="n">
        <v>270.7990045547485</v>
      </c>
      <c r="M623" s="19" t="n">
        <v>324.9715442657471</v>
      </c>
      <c r="N623" s="17" t="inlineStr">
        <is>
          <t>B</t>
        </is>
      </c>
      <c r="O623" s="19" t="n">
        <v>126.3898538589478</v>
      </c>
      <c r="P623" s="18" t="inlineStr">
        <is>
          <t>CÂN NHẮC THỬ NGHIỆM</t>
        </is>
      </c>
      <c r="Q623" s="17" t="inlineStr">
        <is>
          <t>Có</t>
        </is>
      </c>
      <c r="R623" s="20" t="n"/>
      <c r="S623" s="20" t="n"/>
      <c r="T623" s="21" t="n"/>
      <c r="U623" s="21" t="n"/>
      <c r="V623" s="22">
        <f>IF(U623="A",K623,IF(U623="B",L623,IF(U623="C",M623,IF(N623="A",K623,IF(N623="B",L623,M623)))))</f>
        <v/>
      </c>
      <c r="W623" s="22">
        <f>IF(R623="",O623,MAX(V623-R623-N(S623),0))</f>
        <v/>
      </c>
      <c r="X623" s="20" t="n"/>
      <c r="Y623" s="23">
        <f>IF(OR(X623="",W623=0),"",X623/W623-1)</f>
        <v/>
      </c>
      <c r="Z623" s="24" t="n"/>
      <c r="AA623" s="21" t="n"/>
      <c r="AB623" s="25" t="n"/>
      <c r="AC623" s="26">
        <f>IF(T623="","Chưa quyết định",IF(OR(Z623="",AA623=""),"⚠ Thiếu lý do/người duyệt",IF(AND(X623&lt;&gt;"",N(X623)+N(R623)+N(S623)&gt;M623*1.001,R623&lt;&gt;""),"⚠ Vượt mục tiêu P90",IF(AND(Y623&lt;&gt;"",ABS(N(Y623))&gt;0.3),"⚠ Lệch &gt; 30% so với nhu cầu",IF(Q623="Có","ℹ Kiểm tra ngoại suy KM","✓ Hợp lệ")))))</f>
        <v/>
      </c>
    </row>
    <row r="624">
      <c r="A624" s="16" t="n">
        <v>620</v>
      </c>
      <c r="B624" s="17" t="inlineStr">
        <is>
          <t>DEC-S16-HOME_AND_KITCHEN_I</t>
        </is>
      </c>
      <c r="C624" s="16" t="n">
        <v>16</v>
      </c>
      <c r="D624" s="17" t="inlineStr">
        <is>
          <t>HOME AND KITCHEN I</t>
        </is>
      </c>
      <c r="E624" s="17" t="inlineStr">
        <is>
          <t>HIGH</t>
        </is>
      </c>
      <c r="F624" s="17" t="inlineStr">
        <is>
          <t>TRUNG BÌNH</t>
        </is>
      </c>
      <c r="G624" s="18" t="inlineStr">
        <is>
          <t>RISK_HIGH · PROMO_EXTRAPOLATION</t>
        </is>
      </c>
      <c r="H624" s="19" t="n">
        <v>55.70648908615112</v>
      </c>
      <c r="I624" s="19" t="n">
        <v>180.4973292350769</v>
      </c>
      <c r="J624" s="19" t="n">
        <v>349.4789423942566</v>
      </c>
      <c r="K624" s="19" t="n">
        <v>180.4973292350769</v>
      </c>
      <c r="L624" s="19" t="n">
        <v>286.1108374595642</v>
      </c>
      <c r="M624" s="19" t="n">
        <v>349.4789423942566</v>
      </c>
      <c r="N624" s="17" t="inlineStr">
        <is>
          <t>B</t>
        </is>
      </c>
      <c r="O624" s="19" t="n">
        <v>141.7129740715027</v>
      </c>
      <c r="P624" s="18" t="inlineStr">
        <is>
          <t>CÂN NHẮC THỬ NGHIỆM</t>
        </is>
      </c>
      <c r="Q624" s="17" t="inlineStr">
        <is>
          <t>Có</t>
        </is>
      </c>
      <c r="R624" s="20" t="n"/>
      <c r="S624" s="20" t="n"/>
      <c r="T624" s="21" t="n"/>
      <c r="U624" s="21" t="n"/>
      <c r="V624" s="22">
        <f>IF(U624="A",K624,IF(U624="B",L624,IF(U624="C",M624,IF(N624="A",K624,IF(N624="B",L624,M624)))))</f>
        <v/>
      </c>
      <c r="W624" s="22">
        <f>IF(R624="",O624,MAX(V624-R624-N(S624),0))</f>
        <v/>
      </c>
      <c r="X624" s="20" t="n"/>
      <c r="Y624" s="23">
        <f>IF(OR(X624="",W624=0),"",X624/W624-1)</f>
        <v/>
      </c>
      <c r="Z624" s="24" t="n"/>
      <c r="AA624" s="21" t="n"/>
      <c r="AB624" s="25" t="n"/>
      <c r="AC624" s="26">
        <f>IF(T624="","Chưa quyết định",IF(OR(Z624="",AA624=""),"⚠ Thiếu lý do/người duyệt",IF(AND(X624&lt;&gt;"",N(X624)+N(R624)+N(S624)&gt;M624*1.001,R624&lt;&gt;""),"⚠ Vượt mục tiêu P90",IF(AND(Y624&lt;&gt;"",ABS(N(Y624))&gt;0.3),"⚠ Lệch &gt; 30% so với nhu cầu",IF(Q624="Có","ℹ Kiểm tra ngoại suy KM","✓ Hợp lệ")))))</f>
        <v/>
      </c>
    </row>
    <row r="625">
      <c r="A625" s="16" t="n">
        <v>621</v>
      </c>
      <c r="B625" s="17" t="inlineStr">
        <is>
          <t>DEC-S31-CELEBRATION</t>
        </is>
      </c>
      <c r="C625" s="16" t="n">
        <v>31</v>
      </c>
      <c r="D625" s="17" t="inlineStr">
        <is>
          <t>CELEBRATION</t>
        </is>
      </c>
      <c r="E625" s="17" t="inlineStr">
        <is>
          <t>HIGH</t>
        </is>
      </c>
      <c r="F625" s="17" t="inlineStr">
        <is>
          <t>TRUNG BÌNH</t>
        </is>
      </c>
      <c r="G625" s="18" t="inlineStr">
        <is>
          <t>RISK_HIGH · PROMO_EXTRAPOLATION</t>
        </is>
      </c>
      <c r="H625" s="19" t="n">
        <v>75.48549032211304</v>
      </c>
      <c r="I625" s="19" t="n">
        <v>179.8553061485291</v>
      </c>
      <c r="J625" s="19" t="n">
        <v>324.3154120445251</v>
      </c>
      <c r="K625" s="19" t="n">
        <v>179.8553061485291</v>
      </c>
      <c r="L625" s="19" t="n">
        <v>270.1428723335266</v>
      </c>
      <c r="M625" s="19" t="n">
        <v>324.3154120445251</v>
      </c>
      <c r="N625" s="17" t="inlineStr">
        <is>
          <t>B</t>
        </is>
      </c>
      <c r="O625" s="19" t="n">
        <v>126.2586274147034</v>
      </c>
      <c r="P625" s="18" t="inlineStr">
        <is>
          <t>KHÔNG ĐỀ XUẤT TĂNG</t>
        </is>
      </c>
      <c r="Q625" s="17" t="inlineStr">
        <is>
          <t>Có</t>
        </is>
      </c>
      <c r="R625" s="20" t="n"/>
      <c r="S625" s="20" t="n"/>
      <c r="T625" s="21" t="n"/>
      <c r="U625" s="21" t="n"/>
      <c r="V625" s="22">
        <f>IF(U625="A",K625,IF(U625="B",L625,IF(U625="C",M625,IF(N625="A",K625,IF(N625="B",L625,M625)))))</f>
        <v/>
      </c>
      <c r="W625" s="22">
        <f>IF(R625="",O625,MAX(V625-R625-N(S625),0))</f>
        <v/>
      </c>
      <c r="X625" s="20" t="n"/>
      <c r="Y625" s="23">
        <f>IF(OR(X625="",W625=0),"",X625/W625-1)</f>
        <v/>
      </c>
      <c r="Z625" s="24" t="n"/>
      <c r="AA625" s="21" t="n"/>
      <c r="AB625" s="25" t="n"/>
      <c r="AC625" s="26">
        <f>IF(T625="","Chưa quyết định",IF(OR(Z625="",AA625=""),"⚠ Thiếu lý do/người duyệt",IF(AND(X625&lt;&gt;"",N(X625)+N(R625)+N(S625)&gt;M625*1.001,R625&lt;&gt;""),"⚠ Vượt mục tiêu P90",IF(AND(Y625&lt;&gt;"",ABS(N(Y625))&gt;0.3),"⚠ Lệch &gt; 30% so với nhu cầu",IF(Q625="Có","ℹ Kiểm tra ngoại suy KM","✓ Hợp lệ")))))</f>
        <v/>
      </c>
    </row>
    <row r="626">
      <c r="A626" s="16" t="n">
        <v>622</v>
      </c>
      <c r="B626" s="17" t="inlineStr">
        <is>
          <t>DEC-S37-PLAYERS_AND_ELECTRONICS</t>
        </is>
      </c>
      <c r="C626" s="16" t="n">
        <v>37</v>
      </c>
      <c r="D626" s="17" t="inlineStr">
        <is>
          <t>PLAYERS AND ELECTRONICS</t>
        </is>
      </c>
      <c r="E626" s="17" t="inlineStr">
        <is>
          <t>HIGH</t>
        </is>
      </c>
      <c r="F626" s="17" t="inlineStr">
        <is>
          <t>TRUNG BÌNH</t>
        </is>
      </c>
      <c r="G626" s="18" t="inlineStr">
        <is>
          <t>RISK_HIGH · PROMO_EXTRAPOLATION</t>
        </is>
      </c>
      <c r="H626" s="19" t="n">
        <v>78.30644655227661</v>
      </c>
      <c r="I626" s="19" t="n">
        <v>179.1261944770813</v>
      </c>
      <c r="J626" s="19" t="n">
        <v>315.4124646186829</v>
      </c>
      <c r="K626" s="19" t="n">
        <v>179.1261944770813</v>
      </c>
      <c r="L626" s="19" t="n">
        <v>264.3051133155823</v>
      </c>
      <c r="M626" s="19" t="n">
        <v>315.4124646186829</v>
      </c>
      <c r="N626" s="17" t="inlineStr">
        <is>
          <t>B</t>
        </is>
      </c>
      <c r="O626" s="19" t="n">
        <v>121.0041577339172</v>
      </c>
      <c r="P626" s="18" t="inlineStr">
        <is>
          <t>KHÔNG ĐỀ XUẤT TĂNG</t>
        </is>
      </c>
      <c r="Q626" s="17" t="inlineStr">
        <is>
          <t>Có</t>
        </is>
      </c>
      <c r="R626" s="20" t="n"/>
      <c r="S626" s="20" t="n"/>
      <c r="T626" s="21" t="n"/>
      <c r="U626" s="21" t="n"/>
      <c r="V626" s="22">
        <f>IF(U626="A",K626,IF(U626="B",L626,IF(U626="C",M626,IF(N626="A",K626,IF(N626="B",L626,M626)))))</f>
        <v/>
      </c>
      <c r="W626" s="22">
        <f>IF(R626="",O626,MAX(V626-R626-N(S626),0))</f>
        <v/>
      </c>
      <c r="X626" s="20" t="n"/>
      <c r="Y626" s="23">
        <f>IF(OR(X626="",W626=0),"",X626/W626-1)</f>
        <v/>
      </c>
      <c r="Z626" s="24" t="n"/>
      <c r="AA626" s="21" t="n"/>
      <c r="AB626" s="25" t="n"/>
      <c r="AC626" s="26">
        <f>IF(T626="","Chưa quyết định",IF(OR(Z626="",AA626=""),"⚠ Thiếu lý do/người duyệt",IF(AND(X626&lt;&gt;"",N(X626)+N(R626)+N(S626)&gt;M626*1.001,R626&lt;&gt;""),"⚠ Vượt mục tiêu P90",IF(AND(Y626&lt;&gt;"",ABS(N(Y626))&gt;0.3),"⚠ Lệch &gt; 30% so với nhu cầu",IF(Q626="Có","ℹ Kiểm tra ngoại suy KM","✓ Hợp lệ")))))</f>
        <v/>
      </c>
    </row>
    <row r="627">
      <c r="A627" s="16" t="n">
        <v>623</v>
      </c>
      <c r="B627" s="17" t="inlineStr">
        <is>
          <t>DEC-S23-LADIESWEAR</t>
        </is>
      </c>
      <c r="C627" s="16" t="n">
        <v>23</v>
      </c>
      <c r="D627" s="17" t="inlineStr">
        <is>
          <t>LADIESWEAR</t>
        </is>
      </c>
      <c r="E627" s="17" t="inlineStr">
        <is>
          <t>HIGH</t>
        </is>
      </c>
      <c r="F627" s="17" t="inlineStr">
        <is>
          <t>TRUNG BÌNH</t>
        </is>
      </c>
      <c r="G627" s="18" t="inlineStr">
        <is>
          <t>RISK_HIGH · PROMO_EXTRAPOLATION</t>
        </is>
      </c>
      <c r="H627" s="19" t="n">
        <v>76.82351684570312</v>
      </c>
      <c r="I627" s="19" t="n">
        <v>177.6432647705078</v>
      </c>
      <c r="J627" s="19" t="n">
        <v>313.9295349121094</v>
      </c>
      <c r="K627" s="19" t="n">
        <v>177.6432647705078</v>
      </c>
      <c r="L627" s="19" t="n">
        <v>262.8221836090088</v>
      </c>
      <c r="M627" s="19" t="n">
        <v>313.9295349121094</v>
      </c>
      <c r="N627" s="17" t="inlineStr">
        <is>
          <t>B</t>
        </is>
      </c>
      <c r="O627" s="19" t="n">
        <v>120.7075717926025</v>
      </c>
      <c r="P627" s="18" t="inlineStr">
        <is>
          <t>KHÔNG ĐỀ XUẤT TĂNG</t>
        </is>
      </c>
      <c r="Q627" s="17" t="inlineStr">
        <is>
          <t>Có</t>
        </is>
      </c>
      <c r="R627" s="20" t="n"/>
      <c r="S627" s="20" t="n"/>
      <c r="T627" s="21" t="n"/>
      <c r="U627" s="21" t="n"/>
      <c r="V627" s="22">
        <f>IF(U627="A",K627,IF(U627="B",L627,IF(U627="C",M627,IF(N627="A",K627,IF(N627="B",L627,M627)))))</f>
        <v/>
      </c>
      <c r="W627" s="22">
        <f>IF(R627="",O627,MAX(V627-R627-N(S627),0))</f>
        <v/>
      </c>
      <c r="X627" s="20" t="n"/>
      <c r="Y627" s="23">
        <f>IF(OR(X627="",W627=0),"",X627/W627-1)</f>
        <v/>
      </c>
      <c r="Z627" s="24" t="n"/>
      <c r="AA627" s="21" t="n"/>
      <c r="AB627" s="25" t="n"/>
      <c r="AC627" s="26">
        <f>IF(T627="","Chưa quyết định",IF(OR(Z627="",AA627=""),"⚠ Thiếu lý do/người duyệt",IF(AND(X627&lt;&gt;"",N(X627)+N(R627)+N(S627)&gt;M627*1.001,R627&lt;&gt;""),"⚠ Vượt mục tiêu P90",IF(AND(Y627&lt;&gt;"",ABS(N(Y627))&gt;0.3),"⚠ Lệch &gt; 30% so với nhu cầu",IF(Q627="Có","ℹ Kiểm tra ngoại suy KM","✓ Hợp lệ")))))</f>
        <v/>
      </c>
    </row>
    <row r="628">
      <c r="A628" s="16" t="n">
        <v>624</v>
      </c>
      <c r="B628" s="17" t="inlineStr">
        <is>
          <t>DEC-S47-LINGERIE</t>
        </is>
      </c>
      <c r="C628" s="16" t="n">
        <v>47</v>
      </c>
      <c r="D628" s="17" t="inlineStr">
        <is>
          <t>LINGERIE</t>
        </is>
      </c>
      <c r="E628" s="17" t="inlineStr">
        <is>
          <t>HIGH</t>
        </is>
      </c>
      <c r="F628" s="17" t="inlineStr">
        <is>
          <t>TRUNG BÌNH</t>
        </is>
      </c>
      <c r="G628" s="18" t="inlineStr">
        <is>
          <t>RISK_HIGH · PROMO_EXTRAPOLATION</t>
        </is>
      </c>
      <c r="H628" s="19" t="n">
        <v>53.52897254228592</v>
      </c>
      <c r="I628" s="19" t="n">
        <v>175.880179643631</v>
      </c>
      <c r="J628" s="19" t="n">
        <v>362.9196811676026</v>
      </c>
      <c r="K628" s="19" t="n">
        <v>175.880179643631</v>
      </c>
      <c r="L628" s="19" t="n">
        <v>292.7798680961132</v>
      </c>
      <c r="M628" s="19" t="n">
        <v>362.9196811676026</v>
      </c>
      <c r="N628" s="17" t="inlineStr">
        <is>
          <t>B</t>
        </is>
      </c>
      <c r="O628" s="19" t="n">
        <v>152.0757243812084</v>
      </c>
      <c r="P628" s="18" t="inlineStr">
        <is>
          <t>CÂN NHẮC THỬ NGHIỆM</t>
        </is>
      </c>
      <c r="Q628" s="17" t="inlineStr">
        <is>
          <t>Có</t>
        </is>
      </c>
      <c r="R628" s="20" t="n"/>
      <c r="S628" s="20" t="n"/>
      <c r="T628" s="21" t="n"/>
      <c r="U628" s="21" t="n"/>
      <c r="V628" s="22">
        <f>IF(U628="A",K628,IF(U628="B",L628,IF(U628="C",M628,IF(N628="A",K628,IF(N628="B",L628,M628)))))</f>
        <v/>
      </c>
      <c r="W628" s="22">
        <f>IF(R628="",O628,MAX(V628-R628-N(S628),0))</f>
        <v/>
      </c>
      <c r="X628" s="20" t="n"/>
      <c r="Y628" s="23">
        <f>IF(OR(X628="",W628=0),"",X628/W628-1)</f>
        <v/>
      </c>
      <c r="Z628" s="24" t="n"/>
      <c r="AA628" s="21" t="n"/>
      <c r="AB628" s="25" t="n"/>
      <c r="AC628" s="26">
        <f>IF(T628="","Chưa quyết định",IF(OR(Z628="",AA628=""),"⚠ Thiếu lý do/người duyệt",IF(AND(X628&lt;&gt;"",N(X628)+N(R628)+N(S628)&gt;M628*1.001,R628&lt;&gt;""),"⚠ Vượt mục tiêu P90",IF(AND(Y628&lt;&gt;"",ABS(N(Y628))&gt;0.3),"⚠ Lệch &gt; 30% so với nhu cầu",IF(Q628="Có","ℹ Kiểm tra ngoại suy KM","✓ Hợp lệ")))))</f>
        <v/>
      </c>
    </row>
    <row r="629">
      <c r="A629" s="16" t="n">
        <v>625</v>
      </c>
      <c r="B629" s="17" t="inlineStr">
        <is>
          <t>DEC-S29-CELEBRATION</t>
        </is>
      </c>
      <c r="C629" s="16" t="n">
        <v>29</v>
      </c>
      <c r="D629" s="17" t="inlineStr">
        <is>
          <t>CELEBRATION</t>
        </is>
      </c>
      <c r="E629" s="17" t="inlineStr">
        <is>
          <t>HIGH</t>
        </is>
      </c>
      <c r="F629" s="17" t="inlineStr">
        <is>
          <t>TRUNG BÌNH</t>
        </is>
      </c>
      <c r="G629" s="18" t="inlineStr">
        <is>
          <t>RISK_HIGH · PROMO_EXTRAPOLATION</t>
        </is>
      </c>
      <c r="H629" s="19" t="n">
        <v>67.08993864059448</v>
      </c>
      <c r="I629" s="19" t="n">
        <v>175.1789889335632</v>
      </c>
      <c r="J629" s="19" t="n">
        <v>327.8129305839539</v>
      </c>
      <c r="K629" s="19" t="n">
        <v>175.1789889335632</v>
      </c>
      <c r="L629" s="19" t="n">
        <v>270.5752024650574</v>
      </c>
      <c r="M629" s="19" t="n">
        <v>327.8129305839539</v>
      </c>
      <c r="N629" s="17" t="inlineStr">
        <is>
          <t>B</t>
        </is>
      </c>
      <c r="O629" s="19" t="n">
        <v>130.4320113182068</v>
      </c>
      <c r="P629" s="18" t="inlineStr">
        <is>
          <t>KHÔNG ĐỀ XUẤT TĂNG</t>
        </is>
      </c>
      <c r="Q629" s="17" t="inlineStr">
        <is>
          <t>Có</t>
        </is>
      </c>
      <c r="R629" s="20" t="n"/>
      <c r="S629" s="20" t="n"/>
      <c r="T629" s="21" t="n"/>
      <c r="U629" s="21" t="n"/>
      <c r="V629" s="22">
        <f>IF(U629="A",K629,IF(U629="B",L629,IF(U629="C",M629,IF(N629="A",K629,IF(N629="B",L629,M629)))))</f>
        <v/>
      </c>
      <c r="W629" s="22">
        <f>IF(R629="",O629,MAX(V629-R629-N(S629),0))</f>
        <v/>
      </c>
      <c r="X629" s="20" t="n"/>
      <c r="Y629" s="23">
        <f>IF(OR(X629="",W629=0),"",X629/W629-1)</f>
        <v/>
      </c>
      <c r="Z629" s="24" t="n"/>
      <c r="AA629" s="21" t="n"/>
      <c r="AB629" s="25" t="n"/>
      <c r="AC629" s="26">
        <f>IF(T629="","Chưa quyết định",IF(OR(Z629="",AA629=""),"⚠ Thiếu lý do/người duyệt",IF(AND(X629&lt;&gt;"",N(X629)+N(R629)+N(S629)&gt;M629*1.001,R629&lt;&gt;""),"⚠ Vượt mục tiêu P90",IF(AND(Y629&lt;&gt;"",ABS(N(Y629))&gt;0.3),"⚠ Lệch &gt; 30% so với nhu cầu",IF(Q629="Có","ℹ Kiểm tra ngoại suy KM","✓ Hợp lệ")))))</f>
        <v/>
      </c>
    </row>
    <row r="630">
      <c r="A630" s="16" t="n">
        <v>626</v>
      </c>
      <c r="B630" s="17" t="inlineStr">
        <is>
          <t>DEC-S51-MAGAZINES</t>
        </is>
      </c>
      <c r="C630" s="16" t="n">
        <v>51</v>
      </c>
      <c r="D630" s="17" t="inlineStr">
        <is>
          <t>MAGAZINES</t>
        </is>
      </c>
      <c r="E630" s="17" t="inlineStr">
        <is>
          <t>HIGH</t>
        </is>
      </c>
      <c r="F630" s="17" t="inlineStr">
        <is>
          <t>TRUNG BÌNH</t>
        </is>
      </c>
      <c r="G630" s="18" t="inlineStr">
        <is>
          <t>RISK_HIGH · PROMO_EXTRAPOLATION</t>
        </is>
      </c>
      <c r="H630" s="19" t="n">
        <v>68.06587171554565</v>
      </c>
      <c r="I630" s="19" t="n">
        <v>174.8783926963806</v>
      </c>
      <c r="J630" s="19" t="n">
        <v>319.3384985923767</v>
      </c>
      <c r="K630" s="19" t="n">
        <v>174.8783926963806</v>
      </c>
      <c r="L630" s="19" t="n">
        <v>265.1659588813782</v>
      </c>
      <c r="M630" s="19" t="n">
        <v>319.3384985923767</v>
      </c>
      <c r="N630" s="17" t="inlineStr">
        <is>
          <t>B</t>
        </is>
      </c>
      <c r="O630" s="19" t="n">
        <v>125.2632447242737</v>
      </c>
      <c r="P630" s="18" t="inlineStr">
        <is>
          <t>KHÔNG ĐỀ XUẤT TĂNG</t>
        </is>
      </c>
      <c r="Q630" s="17" t="inlineStr">
        <is>
          <t>Có</t>
        </is>
      </c>
      <c r="R630" s="20" t="n"/>
      <c r="S630" s="20" t="n"/>
      <c r="T630" s="21" t="n"/>
      <c r="U630" s="21" t="n"/>
      <c r="V630" s="22">
        <f>IF(U630="A",K630,IF(U630="B",L630,IF(U630="C",M630,IF(N630="A",K630,IF(N630="B",L630,M630)))))</f>
        <v/>
      </c>
      <c r="W630" s="22">
        <f>IF(R630="",O630,MAX(V630-R630-N(S630),0))</f>
        <v/>
      </c>
      <c r="X630" s="20" t="n"/>
      <c r="Y630" s="23">
        <f>IF(OR(X630="",W630=0),"",X630/W630-1)</f>
        <v/>
      </c>
      <c r="Z630" s="24" t="n"/>
      <c r="AA630" s="21" t="n"/>
      <c r="AB630" s="25" t="n"/>
      <c r="AC630" s="26">
        <f>IF(T630="","Chưa quyết định",IF(OR(Z630="",AA630=""),"⚠ Thiếu lý do/người duyệt",IF(AND(X630&lt;&gt;"",N(X630)+N(R630)+N(S630)&gt;M630*1.001,R630&lt;&gt;""),"⚠ Vượt mục tiêu P90",IF(AND(Y630&lt;&gt;"",ABS(N(Y630))&gt;0.3),"⚠ Lệch &gt; 30% so với nhu cầu",IF(Q630="Có","ℹ Kiểm tra ngoại suy KM","✓ Hợp lệ")))))</f>
        <v/>
      </c>
    </row>
    <row r="631">
      <c r="A631" s="16" t="n">
        <v>627</v>
      </c>
      <c r="B631" s="17" t="inlineStr">
        <is>
          <t>DEC-S24-BEAUTY</t>
        </is>
      </c>
      <c r="C631" s="16" t="n">
        <v>24</v>
      </c>
      <c r="D631" s="17" t="inlineStr">
        <is>
          <t>BEAUTY</t>
        </is>
      </c>
      <c r="E631" s="17" t="inlineStr">
        <is>
          <t>HIGH</t>
        </is>
      </c>
      <c r="F631" s="17" t="inlineStr">
        <is>
          <t>TRUNG BÌNH</t>
        </is>
      </c>
      <c r="G631" s="18" t="inlineStr">
        <is>
          <t>RISK_HIGH · PROMO_EXTRAPOLATION</t>
        </is>
      </c>
      <c r="H631" s="19" t="n">
        <v>46.4625301361084</v>
      </c>
      <c r="I631" s="19" t="n">
        <v>173.8169622421265</v>
      </c>
      <c r="J631" s="19" t="n">
        <v>362.5421786308289</v>
      </c>
      <c r="K631" s="19" t="n">
        <v>173.8169622421265</v>
      </c>
      <c r="L631" s="19" t="n">
        <v>291.7702224850655</v>
      </c>
      <c r="M631" s="19" t="n">
        <v>362.5421786308289</v>
      </c>
      <c r="N631" s="17" t="inlineStr">
        <is>
          <t>B</t>
        </is>
      </c>
      <c r="O631" s="19" t="n">
        <v>152.7166526913643</v>
      </c>
      <c r="P631" s="18" t="inlineStr">
        <is>
          <t>CÂN NHẮC THỬ NGHIỆM</t>
        </is>
      </c>
      <c r="Q631" s="17" t="inlineStr">
        <is>
          <t>Có</t>
        </is>
      </c>
      <c r="R631" s="20" t="n"/>
      <c r="S631" s="20" t="n"/>
      <c r="T631" s="21" t="n"/>
      <c r="U631" s="21" t="n"/>
      <c r="V631" s="22">
        <f>IF(U631="A",K631,IF(U631="B",L631,IF(U631="C",M631,IF(N631="A",K631,IF(N631="B",L631,M631)))))</f>
        <v/>
      </c>
      <c r="W631" s="22">
        <f>IF(R631="",O631,MAX(V631-R631-N(S631),0))</f>
        <v/>
      </c>
      <c r="X631" s="20" t="n"/>
      <c r="Y631" s="23">
        <f>IF(OR(X631="",W631=0),"",X631/W631-1)</f>
        <v/>
      </c>
      <c r="Z631" s="24" t="n"/>
      <c r="AA631" s="21" t="n"/>
      <c r="AB631" s="25" t="n"/>
      <c r="AC631" s="26">
        <f>IF(T631="","Chưa quyết định",IF(OR(Z631="",AA631=""),"⚠ Thiếu lý do/người duyệt",IF(AND(X631&lt;&gt;"",N(X631)+N(R631)+N(S631)&gt;M631*1.001,R631&lt;&gt;""),"⚠ Vượt mục tiêu P90",IF(AND(Y631&lt;&gt;"",ABS(N(Y631))&gt;0.3),"⚠ Lệch &gt; 30% so với nhu cầu",IF(Q631="Có","ℹ Kiểm tra ngoại suy KM","✓ Hợp lệ")))))</f>
        <v/>
      </c>
    </row>
    <row r="632">
      <c r="A632" s="16" t="n">
        <v>628</v>
      </c>
      <c r="B632" s="17" t="inlineStr">
        <is>
          <t>DEC-S39-LADIESWEAR</t>
        </is>
      </c>
      <c r="C632" s="16" t="n">
        <v>39</v>
      </c>
      <c r="D632" s="17" t="inlineStr">
        <is>
          <t>LADIESWEAR</t>
        </is>
      </c>
      <c r="E632" s="17" t="inlineStr">
        <is>
          <t>HIGH</t>
        </is>
      </c>
      <c r="F632" s="17" t="inlineStr">
        <is>
          <t>TRUNG BÌNH</t>
        </is>
      </c>
      <c r="G632" s="18" t="inlineStr">
        <is>
          <t>RISK_HIGH · PROMO_EXTRAPOLATION</t>
        </is>
      </c>
      <c r="H632" s="19" t="n">
        <v>60.64778566360474</v>
      </c>
      <c r="I632" s="19" t="n">
        <v>173.45307970047</v>
      </c>
      <c r="J632" s="19" t="n">
        <v>326.0870213508606</v>
      </c>
      <c r="K632" s="19" t="n">
        <v>173.45307970047</v>
      </c>
      <c r="L632" s="19" t="n">
        <v>268.8492932319641</v>
      </c>
      <c r="M632" s="19" t="n">
        <v>326.0870213508606</v>
      </c>
      <c r="N632" s="17" t="inlineStr">
        <is>
          <t>B</t>
        </is>
      </c>
      <c r="O632" s="19" t="n">
        <v>130.0868294715881</v>
      </c>
      <c r="P632" s="18" t="inlineStr">
        <is>
          <t>KHÔNG ĐỀ XUẤT TĂNG</t>
        </is>
      </c>
      <c r="Q632" s="17" t="inlineStr">
        <is>
          <t>Có</t>
        </is>
      </c>
      <c r="R632" s="20" t="n"/>
      <c r="S632" s="20" t="n"/>
      <c r="T632" s="21" t="n"/>
      <c r="U632" s="21" t="n"/>
      <c r="V632" s="22">
        <f>IF(U632="A",K632,IF(U632="B",L632,IF(U632="C",M632,IF(N632="A",K632,IF(N632="B",L632,M632)))))</f>
        <v/>
      </c>
      <c r="W632" s="22">
        <f>IF(R632="",O632,MAX(V632-R632-N(S632),0))</f>
        <v/>
      </c>
      <c r="X632" s="20" t="n"/>
      <c r="Y632" s="23">
        <f>IF(OR(X632="",W632=0),"",X632/W632-1)</f>
        <v/>
      </c>
      <c r="Z632" s="24" t="n"/>
      <c r="AA632" s="21" t="n"/>
      <c r="AB632" s="25" t="n"/>
      <c r="AC632" s="26">
        <f>IF(T632="","Chưa quyết định",IF(OR(Z632="",AA632=""),"⚠ Thiếu lý do/người duyệt",IF(AND(X632&lt;&gt;"",N(X632)+N(R632)+N(S632)&gt;M632*1.001,R632&lt;&gt;""),"⚠ Vượt mục tiêu P90",IF(AND(Y632&lt;&gt;"",ABS(N(Y632))&gt;0.3),"⚠ Lệch &gt; 30% so với nhu cầu",IF(Q632="Có","ℹ Kiểm tra ngoại suy KM","✓ Hợp lệ")))))</f>
        <v/>
      </c>
    </row>
    <row r="633">
      <c r="A633" s="16" t="n">
        <v>629</v>
      </c>
      <c r="B633" s="17" t="inlineStr">
        <is>
          <t>DEC-S52-MAGAZINES</t>
        </is>
      </c>
      <c r="C633" s="16" t="n">
        <v>52</v>
      </c>
      <c r="D633" s="17" t="inlineStr">
        <is>
          <t>MAGAZINES</t>
        </is>
      </c>
      <c r="E633" s="17" t="inlineStr">
        <is>
          <t>HIGH</t>
        </is>
      </c>
      <c r="F633" s="17" t="inlineStr">
        <is>
          <t>TRUNG BÌNH</t>
        </is>
      </c>
      <c r="G633" s="18" t="inlineStr">
        <is>
          <t>RISK_HIGH · PROMO_EXTRAPOLATION</t>
        </is>
      </c>
      <c r="H633" s="19" t="n">
        <v>72.19394063949585</v>
      </c>
      <c r="I633" s="19" t="n">
        <v>173.0136885643005</v>
      </c>
      <c r="J633" s="19" t="n">
        <v>309.2999587059021</v>
      </c>
      <c r="K633" s="19" t="n">
        <v>173.0136885643005</v>
      </c>
      <c r="L633" s="19" t="n">
        <v>258.1926074028015</v>
      </c>
      <c r="M633" s="19" t="n">
        <v>309.2999587059021</v>
      </c>
      <c r="N633" s="17" t="inlineStr">
        <is>
          <t>B</t>
        </is>
      </c>
      <c r="O633" s="19" t="n">
        <v>119.7816565513611</v>
      </c>
      <c r="P633" s="18" t="inlineStr">
        <is>
          <t>KHÔNG ĐỀ XUẤT TĂNG</t>
        </is>
      </c>
      <c r="Q633" s="17" t="inlineStr">
        <is>
          <t>Có</t>
        </is>
      </c>
      <c r="R633" s="20" t="n"/>
      <c r="S633" s="20" t="n"/>
      <c r="T633" s="21" t="n"/>
      <c r="U633" s="21" t="n"/>
      <c r="V633" s="22">
        <f>IF(U633="A",K633,IF(U633="B",L633,IF(U633="C",M633,IF(N633="A",K633,IF(N633="B",L633,M633)))))</f>
        <v/>
      </c>
      <c r="W633" s="22">
        <f>IF(R633="",O633,MAX(V633-R633-N(S633),0))</f>
        <v/>
      </c>
      <c r="X633" s="20" t="n"/>
      <c r="Y633" s="23">
        <f>IF(OR(X633="",W633=0),"",X633/W633-1)</f>
        <v/>
      </c>
      <c r="Z633" s="24" t="n"/>
      <c r="AA633" s="21" t="n"/>
      <c r="AB633" s="25" t="n"/>
      <c r="AC633" s="26">
        <f>IF(T633="","Chưa quyết định",IF(OR(Z633="",AA633=""),"⚠ Thiếu lý do/người duyệt",IF(AND(X633&lt;&gt;"",N(X633)+N(R633)+N(S633)&gt;M633*1.001,R633&lt;&gt;""),"⚠ Vượt mục tiêu P90",IF(AND(Y633&lt;&gt;"",ABS(N(Y633))&gt;0.3),"⚠ Lệch &gt; 30% so với nhu cầu",IF(Q633="Có","ℹ Kiểm tra ngoại suy KM","✓ Hợp lệ")))))</f>
        <v/>
      </c>
    </row>
    <row r="634">
      <c r="A634" s="16" t="n">
        <v>630</v>
      </c>
      <c r="B634" s="17" t="inlineStr">
        <is>
          <t>DEC-S11-SEAFOOD</t>
        </is>
      </c>
      <c r="C634" s="16" t="n">
        <v>11</v>
      </c>
      <c r="D634" s="17" t="inlineStr">
        <is>
          <t>SEAFOOD</t>
        </is>
      </c>
      <c r="E634" s="17" t="inlineStr">
        <is>
          <t>HIGH</t>
        </is>
      </c>
      <c r="F634" s="17" t="inlineStr">
        <is>
          <t>TRUNG BÌNH</t>
        </is>
      </c>
      <c r="G634" s="18" t="inlineStr">
        <is>
          <t>RISK_HIGH · PROMO_EXTRAPOLATION</t>
        </is>
      </c>
      <c r="H634" s="19" t="n">
        <v>61.23796391487122</v>
      </c>
      <c r="I634" s="19" t="n">
        <v>172.8448975086212</v>
      </c>
      <c r="J634" s="19" t="n">
        <v>328.8747708797455</v>
      </c>
      <c r="K634" s="19" t="n">
        <v>172.8448975086212</v>
      </c>
      <c r="L634" s="19" t="n">
        <v>270.3635683655739</v>
      </c>
      <c r="M634" s="19" t="n">
        <v>328.8747708797455</v>
      </c>
      <c r="N634" s="17" t="inlineStr">
        <is>
          <t>B</t>
        </is>
      </c>
      <c r="O634" s="19" t="n">
        <v>132.0876503586769</v>
      </c>
      <c r="P634" s="18" t="inlineStr">
        <is>
          <t>CÂN NHẮC THỬ NGHIỆM</t>
        </is>
      </c>
      <c r="Q634" s="17" t="inlineStr">
        <is>
          <t>Có</t>
        </is>
      </c>
      <c r="R634" s="20" t="n"/>
      <c r="S634" s="20" t="n"/>
      <c r="T634" s="21" t="n"/>
      <c r="U634" s="21" t="n"/>
      <c r="V634" s="22">
        <f>IF(U634="A",K634,IF(U634="B",L634,IF(U634="C",M634,IF(N634="A",K634,IF(N634="B",L634,M634)))))</f>
        <v/>
      </c>
      <c r="W634" s="22">
        <f>IF(R634="",O634,MAX(V634-R634-N(S634),0))</f>
        <v/>
      </c>
      <c r="X634" s="20" t="n"/>
      <c r="Y634" s="23">
        <f>IF(OR(X634="",W634=0),"",X634/W634-1)</f>
        <v/>
      </c>
      <c r="Z634" s="24" t="n"/>
      <c r="AA634" s="21" t="n"/>
      <c r="AB634" s="25" t="n"/>
      <c r="AC634" s="26">
        <f>IF(T634="","Chưa quyết định",IF(OR(Z634="",AA634=""),"⚠ Thiếu lý do/người duyệt",IF(AND(X634&lt;&gt;"",N(X634)+N(R634)+N(S634)&gt;M634*1.001,R634&lt;&gt;""),"⚠ Vượt mục tiêu P90",IF(AND(Y634&lt;&gt;"",ABS(N(Y634))&gt;0.3),"⚠ Lệch &gt; 30% so với nhu cầu",IF(Q634="Có","ℹ Kiểm tra ngoại suy KM","✓ Hợp lệ")))))</f>
        <v/>
      </c>
    </row>
    <row r="635">
      <c r="A635" s="16" t="n">
        <v>631</v>
      </c>
      <c r="B635" s="17" t="inlineStr">
        <is>
          <t>DEC-S20-BEAUTY</t>
        </is>
      </c>
      <c r="C635" s="16" t="n">
        <v>20</v>
      </c>
      <c r="D635" s="17" t="inlineStr">
        <is>
          <t>BEAUTY</t>
        </is>
      </c>
      <c r="E635" s="17" t="inlineStr">
        <is>
          <t>HIGH</t>
        </is>
      </c>
      <c r="F635" s="17" t="inlineStr">
        <is>
          <t>TRUNG BÌNH</t>
        </is>
      </c>
      <c r="G635" s="18" t="inlineStr">
        <is>
          <t>RISK_HIGH · PROMO_EXTRAPOLATION</t>
        </is>
      </c>
      <c r="H635" s="19" t="n">
        <v>46.7516496181488</v>
      </c>
      <c r="I635" s="19" t="n">
        <v>171.9969947338104</v>
      </c>
      <c r="J635" s="19" t="n">
        <v>346.7634916305542</v>
      </c>
      <c r="K635" s="19" t="n">
        <v>171.9969947338104</v>
      </c>
      <c r="L635" s="19" t="n">
        <v>281.2260552942753</v>
      </c>
      <c r="M635" s="19" t="n">
        <v>346.7634916305542</v>
      </c>
      <c r="N635" s="17" t="inlineStr">
        <is>
          <t>B</t>
        </is>
      </c>
      <c r="O635" s="19" t="n">
        <v>143.6284595072269</v>
      </c>
      <c r="P635" s="18" t="inlineStr">
        <is>
          <t>CÂN NHẮC THỬ NGHIỆM</t>
        </is>
      </c>
      <c r="Q635" s="17" t="inlineStr">
        <is>
          <t>Có</t>
        </is>
      </c>
      <c r="R635" s="20" t="n"/>
      <c r="S635" s="20" t="n"/>
      <c r="T635" s="21" t="n"/>
      <c r="U635" s="21" t="n"/>
      <c r="V635" s="22">
        <f>IF(U635="A",K635,IF(U635="B",L635,IF(U635="C",M635,IF(N635="A",K635,IF(N635="B",L635,M635)))))</f>
        <v/>
      </c>
      <c r="W635" s="22">
        <f>IF(R635="",O635,MAX(V635-R635-N(S635),0))</f>
        <v/>
      </c>
      <c r="X635" s="20" t="n"/>
      <c r="Y635" s="23">
        <f>IF(OR(X635="",W635=0),"",X635/W635-1)</f>
        <v/>
      </c>
      <c r="Z635" s="24" t="n"/>
      <c r="AA635" s="21" t="n"/>
      <c r="AB635" s="25" t="n"/>
      <c r="AC635" s="26">
        <f>IF(T635="","Chưa quyết định",IF(OR(Z635="",AA635=""),"⚠ Thiếu lý do/người duyệt",IF(AND(X635&lt;&gt;"",N(X635)+N(R635)+N(S635)&gt;M635*1.001,R635&lt;&gt;""),"⚠ Vượt mục tiêu P90",IF(AND(Y635&lt;&gt;"",ABS(N(Y635))&gt;0.3),"⚠ Lệch &gt; 30% so với nhu cầu",IF(Q635="Có","ℹ Kiểm tra ngoại suy KM","✓ Hợp lệ")))))</f>
        <v/>
      </c>
    </row>
    <row r="636">
      <c r="A636" s="16" t="n">
        <v>632</v>
      </c>
      <c r="B636" s="17" t="inlineStr">
        <is>
          <t>DEC-S07-MAGAZINES</t>
        </is>
      </c>
      <c r="C636" s="16" t="n">
        <v>7</v>
      </c>
      <c r="D636" s="17" t="inlineStr">
        <is>
          <t>MAGAZINES</t>
        </is>
      </c>
      <c r="E636" s="17" t="inlineStr">
        <is>
          <t>HIGH</t>
        </is>
      </c>
      <c r="F636" s="17" t="inlineStr">
        <is>
          <t>TRUNG BÌNH</t>
        </is>
      </c>
      <c r="G636" s="18" t="inlineStr">
        <is>
          <t>RISK_HIGH · PROMO_EXTRAPOLATION</t>
        </is>
      </c>
      <c r="H636" s="19" t="n">
        <v>70.00000905990601</v>
      </c>
      <c r="I636" s="19" t="n">
        <v>170.8197569847107</v>
      </c>
      <c r="J636" s="19" t="n">
        <v>307.1060271263123</v>
      </c>
      <c r="K636" s="19" t="n">
        <v>170.8197569847107</v>
      </c>
      <c r="L636" s="19" t="n">
        <v>255.9986758232117</v>
      </c>
      <c r="M636" s="19" t="n">
        <v>307.1060271263123</v>
      </c>
      <c r="N636" s="17" t="inlineStr">
        <is>
          <t>B</t>
        </is>
      </c>
      <c r="O636" s="19" t="n">
        <v>119.3428702354431</v>
      </c>
      <c r="P636" s="18" t="inlineStr">
        <is>
          <t>KHÔNG ĐỀ XUẤT TĂNG</t>
        </is>
      </c>
      <c r="Q636" s="17" t="inlineStr">
        <is>
          <t>Có</t>
        </is>
      </c>
      <c r="R636" s="20" t="n"/>
      <c r="S636" s="20" t="n"/>
      <c r="T636" s="21" t="n"/>
      <c r="U636" s="21" t="n"/>
      <c r="V636" s="22">
        <f>IF(U636="A",K636,IF(U636="B",L636,IF(U636="C",M636,IF(N636="A",K636,IF(N636="B",L636,M636)))))</f>
        <v/>
      </c>
      <c r="W636" s="22">
        <f>IF(R636="",O636,MAX(V636-R636-N(S636),0))</f>
        <v/>
      </c>
      <c r="X636" s="20" t="n"/>
      <c r="Y636" s="23">
        <f>IF(OR(X636="",W636=0),"",X636/W636-1)</f>
        <v/>
      </c>
      <c r="Z636" s="24" t="n"/>
      <c r="AA636" s="21" t="n"/>
      <c r="AB636" s="25" t="n"/>
      <c r="AC636" s="26">
        <f>IF(T636="","Chưa quyết định",IF(OR(Z636="",AA636=""),"⚠ Thiếu lý do/người duyệt",IF(AND(X636&lt;&gt;"",N(X636)+N(R636)+N(S636)&gt;M636*1.001,R636&lt;&gt;""),"⚠ Vượt mục tiêu P90",IF(AND(Y636&lt;&gt;"",ABS(N(Y636))&gt;0.3),"⚠ Lệch &gt; 30% so với nhu cầu",IF(Q636="Có","ℹ Kiểm tra ngoại suy KM","✓ Hợp lệ")))))</f>
        <v/>
      </c>
    </row>
    <row r="637">
      <c r="A637" s="16" t="n">
        <v>633</v>
      </c>
      <c r="B637" s="17" t="inlineStr">
        <is>
          <t>DEC-S09-LAWN_AND_GARDEN</t>
        </is>
      </c>
      <c r="C637" s="16" t="n">
        <v>9</v>
      </c>
      <c r="D637" s="17" t="inlineStr">
        <is>
          <t>LAWN AND GARDEN</t>
        </is>
      </c>
      <c r="E637" s="17" t="inlineStr">
        <is>
          <t>HIGH</t>
        </is>
      </c>
      <c r="F637" s="17" t="inlineStr">
        <is>
          <t>TRUNG BÌNH</t>
        </is>
      </c>
      <c r="G637" s="18" t="inlineStr">
        <is>
          <t>RISK_HIGH · PROMO_EXTRAPOLATION</t>
        </is>
      </c>
      <c r="H637" s="19" t="n">
        <v>49.39595651626587</v>
      </c>
      <c r="I637" s="19" t="n">
        <v>169.9955449104309</v>
      </c>
      <c r="J637" s="19" t="n">
        <v>338.4135491847992</v>
      </c>
      <c r="K637" s="19" t="n">
        <v>169.9955449104309</v>
      </c>
      <c r="L637" s="19" t="n">
        <v>275.2567975819111</v>
      </c>
      <c r="M637" s="19" t="n">
        <v>338.4135491847992</v>
      </c>
      <c r="N637" s="17" t="inlineStr">
        <is>
          <t>B</t>
        </is>
      </c>
      <c r="O637" s="19" t="n">
        <v>139.2603616535663</v>
      </c>
      <c r="P637" s="18" t="inlineStr">
        <is>
          <t>CÂN NHẮC THỬ NGHIỆM</t>
        </is>
      </c>
      <c r="Q637" s="17" t="inlineStr">
        <is>
          <t>Có</t>
        </is>
      </c>
      <c r="R637" s="20" t="n"/>
      <c r="S637" s="20" t="n"/>
      <c r="T637" s="21" t="n"/>
      <c r="U637" s="21" t="n"/>
      <c r="V637" s="22">
        <f>IF(U637="A",K637,IF(U637="B",L637,IF(U637="C",M637,IF(N637="A",K637,IF(N637="B",L637,M637)))))</f>
        <v/>
      </c>
      <c r="W637" s="22">
        <f>IF(R637="",O637,MAX(V637-R637-N(S637),0))</f>
        <v/>
      </c>
      <c r="X637" s="20" t="n"/>
      <c r="Y637" s="23">
        <f>IF(OR(X637="",W637=0),"",X637/W637-1)</f>
        <v/>
      </c>
      <c r="Z637" s="24" t="n"/>
      <c r="AA637" s="21" t="n"/>
      <c r="AB637" s="25" t="n"/>
      <c r="AC637" s="26">
        <f>IF(T637="","Chưa quyết định",IF(OR(Z637="",AA637=""),"⚠ Thiếu lý do/người duyệt",IF(AND(X637&lt;&gt;"",N(X637)+N(R637)+N(S637)&gt;M637*1.001,R637&lt;&gt;""),"⚠ Vượt mục tiêu P90",IF(AND(Y637&lt;&gt;"",ABS(N(Y637))&gt;0.3),"⚠ Lệch &gt; 30% so với nhu cầu",IF(Q637="Có","ℹ Kiểm tra ngoại suy KM","✓ Hợp lệ")))))</f>
        <v/>
      </c>
    </row>
    <row r="638">
      <c r="A638" s="16" t="n">
        <v>634</v>
      </c>
      <c r="B638" s="17" t="inlineStr">
        <is>
          <t>DEC-S36-CELEBRATION</t>
        </is>
      </c>
      <c r="C638" s="16" t="n">
        <v>36</v>
      </c>
      <c r="D638" s="17" t="inlineStr">
        <is>
          <t>CELEBRATION</t>
        </is>
      </c>
      <c r="E638" s="17" t="inlineStr">
        <is>
          <t>HIGH</t>
        </is>
      </c>
      <c r="F638" s="17" t="inlineStr">
        <is>
          <t>TRUNG BÌNH</t>
        </is>
      </c>
      <c r="G638" s="18" t="inlineStr">
        <is>
          <t>RISK_HIGH · PROMO_EXTRAPOLATION</t>
        </is>
      </c>
      <c r="H638" s="19" t="n">
        <v>68.8945484161377</v>
      </c>
      <c r="I638" s="19" t="n">
        <v>169.7142963409424</v>
      </c>
      <c r="J638" s="19" t="n">
        <v>306.0005664825439</v>
      </c>
      <c r="K638" s="19" t="n">
        <v>169.7142963409424</v>
      </c>
      <c r="L638" s="19" t="n">
        <v>254.8932151794434</v>
      </c>
      <c r="M638" s="19" t="n">
        <v>306.0005664825439</v>
      </c>
      <c r="N638" s="17" t="inlineStr">
        <is>
          <t>B</t>
        </is>
      </c>
      <c r="O638" s="19" t="n">
        <v>119.1217781066894</v>
      </c>
      <c r="P638" s="18" t="inlineStr">
        <is>
          <t>KHÔNG ĐỀ XUẤT TĂNG</t>
        </is>
      </c>
      <c r="Q638" s="17" t="inlineStr">
        <is>
          <t>Có</t>
        </is>
      </c>
      <c r="R638" s="20" t="n"/>
      <c r="S638" s="20" t="n"/>
      <c r="T638" s="21" t="n"/>
      <c r="U638" s="21" t="n"/>
      <c r="V638" s="22">
        <f>IF(U638="A",K638,IF(U638="B",L638,IF(U638="C",M638,IF(N638="A",K638,IF(N638="B",L638,M638)))))</f>
        <v/>
      </c>
      <c r="W638" s="22">
        <f>IF(R638="",O638,MAX(V638-R638-N(S638),0))</f>
        <v/>
      </c>
      <c r="X638" s="20" t="n"/>
      <c r="Y638" s="23">
        <f>IF(OR(X638="",W638=0),"",X638/W638-1)</f>
        <v/>
      </c>
      <c r="Z638" s="24" t="n"/>
      <c r="AA638" s="21" t="n"/>
      <c r="AB638" s="25" t="n"/>
      <c r="AC638" s="26">
        <f>IF(T638="","Chưa quyết định",IF(OR(Z638="",AA638=""),"⚠ Thiếu lý do/người duyệt",IF(AND(X638&lt;&gt;"",N(X638)+N(R638)+N(S638)&gt;M638*1.001,R638&lt;&gt;""),"⚠ Vượt mục tiêu P90",IF(AND(Y638&lt;&gt;"",ABS(N(Y638))&gt;0.3),"⚠ Lệch &gt; 30% so với nhu cầu",IF(Q638="Có","ℹ Kiểm tra ngoại suy KM","✓ Hợp lệ")))))</f>
        <v/>
      </c>
    </row>
    <row r="639">
      <c r="A639" s="16" t="n">
        <v>635</v>
      </c>
      <c r="B639" s="17" t="inlineStr">
        <is>
          <t>DEC-S38-PLAYERS_AND_ELECTRONICS</t>
        </is>
      </c>
      <c r="C639" s="16" t="n">
        <v>38</v>
      </c>
      <c r="D639" s="17" t="inlineStr">
        <is>
          <t>PLAYERS AND ELECTRONICS</t>
        </is>
      </c>
      <c r="E639" s="17" t="inlineStr">
        <is>
          <t>HIGH</t>
        </is>
      </c>
      <c r="F639" s="17" t="inlineStr">
        <is>
          <t>TRUNG BÌNH</t>
        </is>
      </c>
      <c r="G639" s="18" t="inlineStr">
        <is>
          <t>RISK_HIGH · PROMO_EXTRAPOLATION</t>
        </is>
      </c>
      <c r="H639" s="19" t="n">
        <v>67.62320423126221</v>
      </c>
      <c r="I639" s="19" t="n">
        <v>168.4429521560669</v>
      </c>
      <c r="J639" s="19" t="n">
        <v>304.7292222976685</v>
      </c>
      <c r="K639" s="19" t="n">
        <v>168.4429521560669</v>
      </c>
      <c r="L639" s="19" t="n">
        <v>253.6218709945679</v>
      </c>
      <c r="M639" s="19" t="n">
        <v>304.7292222976685</v>
      </c>
      <c r="N639" s="17" t="inlineStr">
        <is>
          <t>B</t>
        </is>
      </c>
      <c r="O639" s="19" t="n">
        <v>118.8675092697144</v>
      </c>
      <c r="P639" s="18" t="inlineStr">
        <is>
          <t>KHÔNG ĐỀ XUẤT TĂNG</t>
        </is>
      </c>
      <c r="Q639" s="17" t="inlineStr">
        <is>
          <t>Có</t>
        </is>
      </c>
      <c r="R639" s="20" t="n"/>
      <c r="S639" s="20" t="n"/>
      <c r="T639" s="21" t="n"/>
      <c r="U639" s="21" t="n"/>
      <c r="V639" s="22">
        <f>IF(U639="A",K639,IF(U639="B",L639,IF(U639="C",M639,IF(N639="A",K639,IF(N639="B",L639,M639)))))</f>
        <v/>
      </c>
      <c r="W639" s="22">
        <f>IF(R639="",O639,MAX(V639-R639-N(S639),0))</f>
        <v/>
      </c>
      <c r="X639" s="20" t="n"/>
      <c r="Y639" s="23">
        <f>IF(OR(X639="",W639=0),"",X639/W639-1)</f>
        <v/>
      </c>
      <c r="Z639" s="24" t="n"/>
      <c r="AA639" s="21" t="n"/>
      <c r="AB639" s="25" t="n"/>
      <c r="AC639" s="26">
        <f>IF(T639="","Chưa quyết định",IF(OR(Z639="",AA639=""),"⚠ Thiếu lý do/người duyệt",IF(AND(X639&lt;&gt;"",N(X639)+N(R639)+N(S639)&gt;M639*1.001,R639&lt;&gt;""),"⚠ Vượt mục tiêu P90",IF(AND(Y639&lt;&gt;"",ABS(N(Y639))&gt;0.3),"⚠ Lệch &gt; 30% so với nhu cầu",IF(Q639="Có","ℹ Kiểm tra ngoại suy KM","✓ Hợp lệ")))))</f>
        <v/>
      </c>
    </row>
    <row r="640">
      <c r="A640" s="16" t="n">
        <v>636</v>
      </c>
      <c r="B640" s="17" t="inlineStr">
        <is>
          <t>DEC-S42-LINGERIE</t>
        </is>
      </c>
      <c r="C640" s="16" t="n">
        <v>42</v>
      </c>
      <c r="D640" s="17" t="inlineStr">
        <is>
          <t>LINGERIE</t>
        </is>
      </c>
      <c r="E640" s="17" t="inlineStr">
        <is>
          <t>HIGH</t>
        </is>
      </c>
      <c r="F640" s="17" t="inlineStr">
        <is>
          <t>TRUNG BÌNH</t>
        </is>
      </c>
      <c r="G640" s="18" t="inlineStr">
        <is>
          <t>RISK_HIGH · PROMO_EXTRAPOLATION</t>
        </is>
      </c>
      <c r="H640" s="19" t="n">
        <v>55.63265312314034</v>
      </c>
      <c r="I640" s="19" t="n">
        <v>167.1514674127102</v>
      </c>
      <c r="J640" s="19" t="n">
        <v>326.8371388375759</v>
      </c>
      <c r="K640" s="19" t="n">
        <v>167.1514674127102</v>
      </c>
      <c r="L640" s="19" t="n">
        <v>266.9550120532513</v>
      </c>
      <c r="M640" s="19" t="n">
        <v>326.8371388375759</v>
      </c>
      <c r="N640" s="17" t="inlineStr">
        <is>
          <t>B</t>
        </is>
      </c>
      <c r="O640" s="19" t="n">
        <v>133.2338381230831</v>
      </c>
      <c r="P640" s="18" t="inlineStr">
        <is>
          <t>CÂN NHẮC THỬ NGHIỆM</t>
        </is>
      </c>
      <c r="Q640" s="17" t="inlineStr">
        <is>
          <t>Có</t>
        </is>
      </c>
      <c r="R640" s="20" t="n"/>
      <c r="S640" s="20" t="n"/>
      <c r="T640" s="21" t="n"/>
      <c r="U640" s="21" t="n"/>
      <c r="V640" s="22">
        <f>IF(U640="A",K640,IF(U640="B",L640,IF(U640="C",M640,IF(N640="A",K640,IF(N640="B",L640,M640)))))</f>
        <v/>
      </c>
      <c r="W640" s="22">
        <f>IF(R640="",O640,MAX(V640-R640-N(S640),0))</f>
        <v/>
      </c>
      <c r="X640" s="20" t="n"/>
      <c r="Y640" s="23">
        <f>IF(OR(X640="",W640=0),"",X640/W640-1)</f>
        <v/>
      </c>
      <c r="Z640" s="24" t="n"/>
      <c r="AA640" s="21" t="n"/>
      <c r="AB640" s="25" t="n"/>
      <c r="AC640" s="26">
        <f>IF(T640="","Chưa quyết định",IF(OR(Z640="",AA640=""),"⚠ Thiếu lý do/người duyệt",IF(AND(X640&lt;&gt;"",N(X640)+N(R640)+N(S640)&gt;M640*1.001,R640&lt;&gt;""),"⚠ Vượt mục tiêu P90",IF(AND(Y640&lt;&gt;"",ABS(N(Y640))&gt;0.3),"⚠ Lệch &gt; 30% so với nhu cầu",IF(Q640="Có","ℹ Kiểm tra ngoại suy KM","✓ Hợp lệ")))))</f>
        <v/>
      </c>
    </row>
    <row r="641">
      <c r="A641" s="16" t="n">
        <v>637</v>
      </c>
      <c r="B641" s="17" t="inlineStr">
        <is>
          <t>DEC-S27-BEAUTY</t>
        </is>
      </c>
      <c r="C641" s="16" t="n">
        <v>27</v>
      </c>
      <c r="D641" s="17" t="inlineStr">
        <is>
          <t>BEAUTY</t>
        </is>
      </c>
      <c r="E641" s="17" t="inlineStr">
        <is>
          <t>HIGH</t>
        </is>
      </c>
      <c r="F641" s="17" t="inlineStr">
        <is>
          <t>TRUNG BÌNH</t>
        </is>
      </c>
      <c r="G641" s="18" t="inlineStr">
        <is>
          <t>RISK_HIGH · PROMO_EXTRAPOLATION</t>
        </is>
      </c>
      <c r="H641" s="19" t="n">
        <v>46.76442674398422</v>
      </c>
      <c r="I641" s="19" t="n">
        <v>165.7614963054657</v>
      </c>
      <c r="J641" s="19" t="n">
        <v>347.5797229766846</v>
      </c>
      <c r="K641" s="19" t="n">
        <v>165.7614963054657</v>
      </c>
      <c r="L641" s="19" t="n">
        <v>279.3978879749775</v>
      </c>
      <c r="M641" s="19" t="n">
        <v>347.5797229766846</v>
      </c>
      <c r="N641" s="17" t="inlineStr">
        <is>
          <t>B</t>
        </is>
      </c>
      <c r="O641" s="19" t="n">
        <v>146.7886909306049</v>
      </c>
      <c r="P641" s="18" t="inlineStr">
        <is>
          <t>CÂN NHẮC THỬ NGHIỆM</t>
        </is>
      </c>
      <c r="Q641" s="17" t="inlineStr">
        <is>
          <t>Có</t>
        </is>
      </c>
      <c r="R641" s="20" t="n"/>
      <c r="S641" s="20" t="n"/>
      <c r="T641" s="21" t="n"/>
      <c r="U641" s="21" t="n"/>
      <c r="V641" s="22">
        <f>IF(U641="A",K641,IF(U641="B",L641,IF(U641="C",M641,IF(N641="A",K641,IF(N641="B",L641,M641)))))</f>
        <v/>
      </c>
      <c r="W641" s="22">
        <f>IF(R641="",O641,MAX(V641-R641-N(S641),0))</f>
        <v/>
      </c>
      <c r="X641" s="20" t="n"/>
      <c r="Y641" s="23">
        <f>IF(OR(X641="",W641=0),"",X641/W641-1)</f>
        <v/>
      </c>
      <c r="Z641" s="24" t="n"/>
      <c r="AA641" s="21" t="n"/>
      <c r="AB641" s="25" t="n"/>
      <c r="AC641" s="26">
        <f>IF(T641="","Chưa quyết định",IF(OR(Z641="",AA641=""),"⚠ Thiếu lý do/người duyệt",IF(AND(X641&lt;&gt;"",N(X641)+N(R641)+N(S641)&gt;M641*1.001,R641&lt;&gt;""),"⚠ Vượt mục tiêu P90",IF(AND(Y641&lt;&gt;"",ABS(N(Y641))&gt;0.3),"⚠ Lệch &gt; 30% so với nhu cầu",IF(Q641="Có","ℹ Kiểm tra ngoại suy KM","✓ Hợp lệ")))))</f>
        <v/>
      </c>
    </row>
    <row r="642">
      <c r="A642" s="16" t="n">
        <v>638</v>
      </c>
      <c r="B642" s="17" t="inlineStr">
        <is>
          <t>DEC-S03-AUTOMOTIVE</t>
        </is>
      </c>
      <c r="C642" s="16" t="n">
        <v>3</v>
      </c>
      <c r="D642" s="17" t="inlineStr">
        <is>
          <t>AUTOMOTIVE</t>
        </is>
      </c>
      <c r="E642" s="17" t="inlineStr">
        <is>
          <t>HIGH</t>
        </is>
      </c>
      <c r="F642" s="17" t="inlineStr">
        <is>
          <t>TRUNG BÌNH</t>
        </is>
      </c>
      <c r="G642" s="18" t="inlineStr">
        <is>
          <t>RISK_HIGH · PROMO_EXTRAPOLATION</t>
        </is>
      </c>
      <c r="H642" s="19" t="n">
        <v>55.0677056312561</v>
      </c>
      <c r="I642" s="19" t="n">
        <v>165.1504645347595</v>
      </c>
      <c r="J642" s="19" t="n">
        <v>317.7844061851501</v>
      </c>
      <c r="K642" s="19" t="n">
        <v>165.1504645347595</v>
      </c>
      <c r="L642" s="19" t="n">
        <v>260.5466780662537</v>
      </c>
      <c r="M642" s="19" t="n">
        <v>317.7844061851501</v>
      </c>
      <c r="N642" s="17" t="inlineStr">
        <is>
          <t>B</t>
        </is>
      </c>
      <c r="O642" s="19" t="n">
        <v>128.426306438446</v>
      </c>
      <c r="P642" s="18" t="inlineStr">
        <is>
          <t>CÂN NHẮC THỬ NGHIỆM</t>
        </is>
      </c>
      <c r="Q642" s="17" t="inlineStr">
        <is>
          <t>Có</t>
        </is>
      </c>
      <c r="R642" s="20" t="n"/>
      <c r="S642" s="20" t="n"/>
      <c r="T642" s="21" t="n"/>
      <c r="U642" s="21" t="n"/>
      <c r="V642" s="22">
        <f>IF(U642="A",K642,IF(U642="B",L642,IF(U642="C",M642,IF(N642="A",K642,IF(N642="B",L642,M642)))))</f>
        <v/>
      </c>
      <c r="W642" s="22">
        <f>IF(R642="",O642,MAX(V642-R642-N(S642),0))</f>
        <v/>
      </c>
      <c r="X642" s="20" t="n"/>
      <c r="Y642" s="23">
        <f>IF(OR(X642="",W642=0),"",X642/W642-1)</f>
        <v/>
      </c>
      <c r="Z642" s="24" t="n"/>
      <c r="AA642" s="21" t="n"/>
      <c r="AB642" s="25" t="n"/>
      <c r="AC642" s="26">
        <f>IF(T642="","Chưa quyết định",IF(OR(Z642="",AA642=""),"⚠ Thiếu lý do/người duyệt",IF(AND(X642&lt;&gt;"",N(X642)+N(R642)+N(S642)&gt;M642*1.001,R642&lt;&gt;""),"⚠ Vượt mục tiêu P90",IF(AND(Y642&lt;&gt;"",ABS(N(Y642))&gt;0.3),"⚠ Lệch &gt; 30% so với nhu cầu",IF(Q642="Có","ℹ Kiểm tra ngoại suy KM","✓ Hợp lệ")))))</f>
        <v/>
      </c>
    </row>
    <row r="643">
      <c r="A643" s="16" t="n">
        <v>639</v>
      </c>
      <c r="B643" s="17" t="inlineStr">
        <is>
          <t>DEC-S52-LADIESWEAR</t>
        </is>
      </c>
      <c r="C643" s="16" t="n">
        <v>52</v>
      </c>
      <c r="D643" s="17" t="inlineStr">
        <is>
          <t>LADIESWEAR</t>
        </is>
      </c>
      <c r="E643" s="17" t="inlineStr">
        <is>
          <t>HIGH</t>
        </is>
      </c>
      <c r="F643" s="17" t="inlineStr">
        <is>
          <t>TRUNG BÌNH</t>
        </is>
      </c>
      <c r="G643" s="18" t="inlineStr">
        <is>
          <t>RISK_HIGH · PROMO_EXTRAPOLATION</t>
        </is>
      </c>
      <c r="H643" s="19" t="n">
        <v>63.75043988227844</v>
      </c>
      <c r="I643" s="19" t="n">
        <v>164.5701878070831</v>
      </c>
      <c r="J643" s="19" t="n">
        <v>300.8564579486847</v>
      </c>
      <c r="K643" s="19" t="n">
        <v>164.5701878070831</v>
      </c>
      <c r="L643" s="19" t="n">
        <v>249.7491066455841</v>
      </c>
      <c r="M643" s="19" t="n">
        <v>300.8564579486847</v>
      </c>
      <c r="N643" s="17" t="inlineStr">
        <is>
          <t>B</t>
        </is>
      </c>
      <c r="O643" s="19" t="n">
        <v>118.0929563999176</v>
      </c>
      <c r="P643" s="18" t="inlineStr">
        <is>
          <t>KHÔNG ĐỀ XUẤT TĂNG</t>
        </is>
      </c>
      <c r="Q643" s="17" t="inlineStr">
        <is>
          <t>Có</t>
        </is>
      </c>
      <c r="R643" s="20" t="n"/>
      <c r="S643" s="20" t="n"/>
      <c r="T643" s="21" t="n"/>
      <c r="U643" s="21" t="n"/>
      <c r="V643" s="22">
        <f>IF(U643="A",K643,IF(U643="B",L643,IF(U643="C",M643,IF(N643="A",K643,IF(N643="B",L643,M643)))))</f>
        <v/>
      </c>
      <c r="W643" s="22">
        <f>IF(R643="",O643,MAX(V643-R643-N(S643),0))</f>
        <v/>
      </c>
      <c r="X643" s="20" t="n"/>
      <c r="Y643" s="23">
        <f>IF(OR(X643="",W643=0),"",X643/W643-1)</f>
        <v/>
      </c>
      <c r="Z643" s="24" t="n"/>
      <c r="AA643" s="21" t="n"/>
      <c r="AB643" s="25" t="n"/>
      <c r="AC643" s="26">
        <f>IF(T643="","Chưa quyết định",IF(OR(Z643="",AA643=""),"⚠ Thiếu lý do/người duyệt",IF(AND(X643&lt;&gt;"",N(X643)+N(R643)+N(S643)&gt;M643*1.001,R643&lt;&gt;""),"⚠ Vượt mục tiêu P90",IF(AND(Y643&lt;&gt;"",ABS(N(Y643))&gt;0.3),"⚠ Lệch &gt; 30% so với nhu cầu",IF(Q643="Có","ℹ Kiểm tra ngoại suy KM","✓ Hợp lệ")))))</f>
        <v/>
      </c>
    </row>
    <row r="644">
      <c r="A644" s="16" t="n">
        <v>640</v>
      </c>
      <c r="B644" s="17" t="inlineStr">
        <is>
          <t>DEC-S28-LAWN_AND_GARDEN</t>
        </is>
      </c>
      <c r="C644" s="16" t="n">
        <v>28</v>
      </c>
      <c r="D644" s="17" t="inlineStr">
        <is>
          <t>LAWN AND GARDEN</t>
        </is>
      </c>
      <c r="E644" s="17" t="inlineStr">
        <is>
          <t>HIGH</t>
        </is>
      </c>
      <c r="F644" s="17" t="inlineStr">
        <is>
          <t>TRUNG BÌNH</t>
        </is>
      </c>
      <c r="G644" s="18" t="inlineStr">
        <is>
          <t>RISK_HIGH · PROMO_EXTRAPOLATION</t>
        </is>
      </c>
      <c r="H644" s="19" t="n">
        <v>50.48682975769043</v>
      </c>
      <c r="I644" s="19" t="n">
        <v>163.2921237945557</v>
      </c>
      <c r="J644" s="19" t="n">
        <v>315.9260654449463</v>
      </c>
      <c r="K644" s="19" t="n">
        <v>163.2921237945557</v>
      </c>
      <c r="L644" s="19" t="n">
        <v>258.6883373260498</v>
      </c>
      <c r="M644" s="19" t="n">
        <v>315.9260654449463</v>
      </c>
      <c r="N644" s="17" t="inlineStr">
        <is>
          <t>B</t>
        </is>
      </c>
      <c r="O644" s="19" t="n">
        <v>128.0546382904053</v>
      </c>
      <c r="P644" s="18" t="inlineStr">
        <is>
          <t>CÂN NHẮC THỬ NGHIỆM</t>
        </is>
      </c>
      <c r="Q644" s="17" t="inlineStr">
        <is>
          <t>Có</t>
        </is>
      </c>
      <c r="R644" s="20" t="n"/>
      <c r="S644" s="20" t="n"/>
      <c r="T644" s="21" t="n"/>
      <c r="U644" s="21" t="n"/>
      <c r="V644" s="22">
        <f>IF(U644="A",K644,IF(U644="B",L644,IF(U644="C",M644,IF(N644="A",K644,IF(N644="B",L644,M644)))))</f>
        <v/>
      </c>
      <c r="W644" s="22">
        <f>IF(R644="",O644,MAX(V644-R644-N(S644),0))</f>
        <v/>
      </c>
      <c r="X644" s="20" t="n"/>
      <c r="Y644" s="23">
        <f>IF(OR(X644="",W644=0),"",X644/W644-1)</f>
        <v/>
      </c>
      <c r="Z644" s="24" t="n"/>
      <c r="AA644" s="21" t="n"/>
      <c r="AB644" s="25" t="n"/>
      <c r="AC644" s="26">
        <f>IF(T644="","Chưa quyết định",IF(OR(Z644="",AA644=""),"⚠ Thiếu lý do/người duyệt",IF(AND(X644&lt;&gt;"",N(X644)+N(R644)+N(S644)&gt;M644*1.001,R644&lt;&gt;""),"⚠ Vượt mục tiêu P90",IF(AND(Y644&lt;&gt;"",ABS(N(Y644))&gt;0.3),"⚠ Lệch &gt; 30% so với nhu cầu",IF(Q644="Có","ℹ Kiểm tra ngoại suy KM","✓ Hợp lệ")))))</f>
        <v/>
      </c>
    </row>
    <row r="645">
      <c r="A645" s="16" t="n">
        <v>641</v>
      </c>
      <c r="B645" s="17" t="inlineStr">
        <is>
          <t>DEC-S27-LADIESWEAR</t>
        </is>
      </c>
      <c r="C645" s="16" t="n">
        <v>27</v>
      </c>
      <c r="D645" s="17" t="inlineStr">
        <is>
          <t>LADIESWEAR</t>
        </is>
      </c>
      <c r="E645" s="17" t="inlineStr">
        <is>
          <t>HIGH</t>
        </is>
      </c>
      <c r="F645" s="17" t="inlineStr">
        <is>
          <t>TRUNG BÌNH</t>
        </is>
      </c>
      <c r="G645" s="18" t="inlineStr">
        <is>
          <t>RISK_HIGH · PROMO_EXTRAPOLATION</t>
        </is>
      </c>
      <c r="H645" s="19" t="n">
        <v>65.61675453186035</v>
      </c>
      <c r="I645" s="19" t="n">
        <v>162.8409357070923</v>
      </c>
      <c r="J645" s="19" t="n">
        <v>296.7382538318634</v>
      </c>
      <c r="K645" s="19" t="n">
        <v>162.8409357070923</v>
      </c>
      <c r="L645" s="19" t="n">
        <v>246.5267595350742</v>
      </c>
      <c r="M645" s="19" t="n">
        <v>296.7382538318634</v>
      </c>
      <c r="N645" s="17" t="inlineStr">
        <is>
          <t>B</t>
        </is>
      </c>
      <c r="O645" s="19" t="n">
        <v>116.2540109694004</v>
      </c>
      <c r="P645" s="18" t="inlineStr">
        <is>
          <t>KHÔNG ĐỀ XUẤT TĂNG</t>
        </is>
      </c>
      <c r="Q645" s="17" t="inlineStr">
        <is>
          <t>Có</t>
        </is>
      </c>
      <c r="R645" s="20" t="n"/>
      <c r="S645" s="20" t="n"/>
      <c r="T645" s="21" t="n"/>
      <c r="U645" s="21" t="n"/>
      <c r="V645" s="22">
        <f>IF(U645="A",K645,IF(U645="B",L645,IF(U645="C",M645,IF(N645="A",K645,IF(N645="B",L645,M645)))))</f>
        <v/>
      </c>
      <c r="W645" s="22">
        <f>IF(R645="",O645,MAX(V645-R645-N(S645),0))</f>
        <v/>
      </c>
      <c r="X645" s="20" t="n"/>
      <c r="Y645" s="23">
        <f>IF(OR(X645="",W645=0),"",X645/W645-1)</f>
        <v/>
      </c>
      <c r="Z645" s="24" t="n"/>
      <c r="AA645" s="21" t="n"/>
      <c r="AB645" s="25" t="n"/>
      <c r="AC645" s="26">
        <f>IF(T645="","Chưa quyết định",IF(OR(Z645="",AA645=""),"⚠ Thiếu lý do/người duyệt",IF(AND(X645&lt;&gt;"",N(X645)+N(R645)+N(S645)&gt;M645*1.001,R645&lt;&gt;""),"⚠ Vượt mục tiêu P90",IF(AND(Y645&lt;&gt;"",ABS(N(Y645))&gt;0.3),"⚠ Lệch &gt; 30% so với nhu cầu",IF(Q645="Có","ℹ Kiểm tra ngoại suy KM","✓ Hợp lệ")))))</f>
        <v/>
      </c>
    </row>
    <row r="646">
      <c r="A646" s="16" t="n">
        <v>642</v>
      </c>
      <c r="B646" s="17" t="inlineStr">
        <is>
          <t>DEC-S51-PLAYERS_AND_ELECTRONICS</t>
        </is>
      </c>
      <c r="C646" s="16" t="n">
        <v>51</v>
      </c>
      <c r="D646" s="17" t="inlineStr">
        <is>
          <t>PLAYERS AND ELECTRONICS</t>
        </is>
      </c>
      <c r="E646" s="17" t="inlineStr">
        <is>
          <t>HIGH</t>
        </is>
      </c>
      <c r="F646" s="17" t="inlineStr">
        <is>
          <t>TRUNG BÌNH</t>
        </is>
      </c>
      <c r="G646" s="18" t="inlineStr">
        <is>
          <t>RISK_HIGH · PROMO_EXTRAPOLATION</t>
        </is>
      </c>
      <c r="H646" s="19" t="n">
        <v>48.24424600601196</v>
      </c>
      <c r="I646" s="19" t="n">
        <v>162.5098147392273</v>
      </c>
      <c r="J646" s="19" t="n">
        <v>323.3175921440125</v>
      </c>
      <c r="K646" s="19" t="n">
        <v>162.5098147392273</v>
      </c>
      <c r="L646" s="19" t="n">
        <v>263.014675617218</v>
      </c>
      <c r="M646" s="19" t="n">
        <v>323.3175921440125</v>
      </c>
      <c r="N646" s="17" t="inlineStr">
        <is>
          <t>B</t>
        </is>
      </c>
      <c r="O646" s="19" t="n">
        <v>133.0068238258362</v>
      </c>
      <c r="P646" s="18" t="inlineStr">
        <is>
          <t>KHÔNG ĐỀ XUẤT TĂNG</t>
        </is>
      </c>
      <c r="Q646" s="17" t="inlineStr">
        <is>
          <t>Có</t>
        </is>
      </c>
      <c r="R646" s="20" t="n"/>
      <c r="S646" s="20" t="n"/>
      <c r="T646" s="21" t="n"/>
      <c r="U646" s="21" t="n"/>
      <c r="V646" s="22">
        <f>IF(U646="A",K646,IF(U646="B",L646,IF(U646="C",M646,IF(N646="A",K646,IF(N646="B",L646,M646)))))</f>
        <v/>
      </c>
      <c r="W646" s="22">
        <f>IF(R646="",O646,MAX(V646-R646-N(S646),0))</f>
        <v/>
      </c>
      <c r="X646" s="20" t="n"/>
      <c r="Y646" s="23">
        <f>IF(OR(X646="",W646=0),"",X646/W646-1)</f>
        <v/>
      </c>
      <c r="Z646" s="24" t="n"/>
      <c r="AA646" s="21" t="n"/>
      <c r="AB646" s="25" t="n"/>
      <c r="AC646" s="26">
        <f>IF(T646="","Chưa quyết định",IF(OR(Z646="",AA646=""),"⚠ Thiếu lý do/người duyệt",IF(AND(X646&lt;&gt;"",N(X646)+N(R646)+N(S646)&gt;M646*1.001,R646&lt;&gt;""),"⚠ Vượt mục tiêu P90",IF(AND(Y646&lt;&gt;"",ABS(N(Y646))&gt;0.3),"⚠ Lệch &gt; 30% so với nhu cầu",IF(Q646="Có","ℹ Kiểm tra ngoại suy KM","✓ Hợp lệ")))))</f>
        <v/>
      </c>
    </row>
    <row r="647">
      <c r="A647" s="16" t="n">
        <v>643</v>
      </c>
      <c r="B647" s="17" t="inlineStr">
        <is>
          <t>DEC-S24-PLAYERS_AND_ELECTRONICS</t>
        </is>
      </c>
      <c r="C647" s="16" t="n">
        <v>24</v>
      </c>
      <c r="D647" s="17" t="inlineStr">
        <is>
          <t>PLAYERS AND ELECTRONICS</t>
        </is>
      </c>
      <c r="E647" s="17" t="inlineStr">
        <is>
          <t>HIGH</t>
        </is>
      </c>
      <c r="F647" s="17" t="inlineStr">
        <is>
          <t>TRUNG BÌNH</t>
        </is>
      </c>
      <c r="G647" s="18" t="inlineStr">
        <is>
          <t>RISK_HIGH · PROMO_EXTRAPOLATION</t>
        </is>
      </c>
      <c r="H647" s="19" t="n">
        <v>60.06236886978149</v>
      </c>
      <c r="I647" s="19" t="n">
        <v>160.8821167945862</v>
      </c>
      <c r="J647" s="19" t="n">
        <v>297.1683869361877</v>
      </c>
      <c r="K647" s="19" t="n">
        <v>160.8821167945862</v>
      </c>
      <c r="L647" s="19" t="n">
        <v>246.0610356330872</v>
      </c>
      <c r="M647" s="19" t="n">
        <v>297.1683869361877</v>
      </c>
      <c r="N647" s="17" t="inlineStr">
        <is>
          <t>B</t>
        </is>
      </c>
      <c r="O647" s="19" t="n">
        <v>117.3553421974182</v>
      </c>
      <c r="P647" s="18" t="inlineStr">
        <is>
          <t>KHÔNG ĐỀ XUẤT TĂNG</t>
        </is>
      </c>
      <c r="Q647" s="17" t="inlineStr">
        <is>
          <t>Có</t>
        </is>
      </c>
      <c r="R647" s="20" t="n"/>
      <c r="S647" s="20" t="n"/>
      <c r="T647" s="21" t="n"/>
      <c r="U647" s="21" t="n"/>
      <c r="V647" s="22">
        <f>IF(U647="A",K647,IF(U647="B",L647,IF(U647="C",M647,IF(N647="A",K647,IF(N647="B",L647,M647)))))</f>
        <v/>
      </c>
      <c r="W647" s="22">
        <f>IF(R647="",O647,MAX(V647-R647-N(S647),0))</f>
        <v/>
      </c>
      <c r="X647" s="20" t="n"/>
      <c r="Y647" s="23">
        <f>IF(OR(X647="",W647=0),"",X647/W647-1)</f>
        <v/>
      </c>
      <c r="Z647" s="24" t="n"/>
      <c r="AA647" s="21" t="n"/>
      <c r="AB647" s="25" t="n"/>
      <c r="AC647" s="26">
        <f>IF(T647="","Chưa quyết định",IF(OR(Z647="",AA647=""),"⚠ Thiếu lý do/người duyệt",IF(AND(X647&lt;&gt;"",N(X647)+N(R647)+N(S647)&gt;M647*1.001,R647&lt;&gt;""),"⚠ Vượt mục tiêu P90",IF(AND(Y647&lt;&gt;"",ABS(N(Y647))&gt;0.3),"⚠ Lệch &gt; 30% so với nhu cầu",IF(Q647="Có","ℹ Kiểm tra ngoại suy KM","✓ Hợp lệ")))))</f>
        <v/>
      </c>
    </row>
    <row r="648">
      <c r="A648" s="16" t="n">
        <v>644</v>
      </c>
      <c r="B648" s="17" t="inlineStr">
        <is>
          <t>DEC-S50-AUTOMOTIVE</t>
        </is>
      </c>
      <c r="C648" s="16" t="n">
        <v>50</v>
      </c>
      <c r="D648" s="17" t="inlineStr">
        <is>
          <t>AUTOMOTIVE</t>
        </is>
      </c>
      <c r="E648" s="17" t="inlineStr">
        <is>
          <t>HIGH</t>
        </is>
      </c>
      <c r="F648" s="17" t="inlineStr">
        <is>
          <t>TRUNG BÌNH</t>
        </is>
      </c>
      <c r="G648" s="18" t="inlineStr">
        <is>
          <t>RISK_HIGH · PROMO_EXTRAPOLATION</t>
        </is>
      </c>
      <c r="H648" s="19" t="n">
        <v>55.71523571014404</v>
      </c>
      <c r="I648" s="19" t="n">
        <v>159.8044776916504</v>
      </c>
      <c r="J648" s="19" t="n">
        <v>307.6605153083801</v>
      </c>
      <c r="K648" s="19" t="n">
        <v>159.8044776916504</v>
      </c>
      <c r="L648" s="19" t="n">
        <v>252.2145012021065</v>
      </c>
      <c r="M648" s="19" t="n">
        <v>307.6605153083801</v>
      </c>
      <c r="N648" s="17" t="inlineStr">
        <is>
          <t>B</t>
        </is>
      </c>
      <c r="O648" s="19" t="n">
        <v>124.3709190487862</v>
      </c>
      <c r="P648" s="18" t="inlineStr">
        <is>
          <t>CÂN NHẮC THỬ NGHIỆM</t>
        </is>
      </c>
      <c r="Q648" s="17" t="inlineStr">
        <is>
          <t>Có</t>
        </is>
      </c>
      <c r="R648" s="20" t="n"/>
      <c r="S648" s="20" t="n"/>
      <c r="T648" s="21" t="n"/>
      <c r="U648" s="21" t="n"/>
      <c r="V648" s="22">
        <f>IF(U648="A",K648,IF(U648="B",L648,IF(U648="C",M648,IF(N648="A",K648,IF(N648="B",L648,M648)))))</f>
        <v/>
      </c>
      <c r="W648" s="22">
        <f>IF(R648="",O648,MAX(V648-R648-N(S648),0))</f>
        <v/>
      </c>
      <c r="X648" s="20" t="n"/>
      <c r="Y648" s="23">
        <f>IF(OR(X648="",W648=0),"",X648/W648-1)</f>
        <v/>
      </c>
      <c r="Z648" s="24" t="n"/>
      <c r="AA648" s="21" t="n"/>
      <c r="AB648" s="25" t="n"/>
      <c r="AC648" s="26">
        <f>IF(T648="","Chưa quyết định",IF(OR(Z648="",AA648=""),"⚠ Thiếu lý do/người duyệt",IF(AND(X648&lt;&gt;"",N(X648)+N(R648)+N(S648)&gt;M648*1.001,R648&lt;&gt;""),"⚠ Vượt mục tiêu P90",IF(AND(Y648&lt;&gt;"",ABS(N(Y648))&gt;0.3),"⚠ Lệch &gt; 30% so với nhu cầu",IF(Q648="Có","ℹ Kiểm tra ngoại suy KM","✓ Hợp lệ")))))</f>
        <v/>
      </c>
    </row>
    <row r="649">
      <c r="A649" s="16" t="n">
        <v>645</v>
      </c>
      <c r="B649" s="17" t="inlineStr">
        <is>
          <t>DEC-S41-LINGERIE</t>
        </is>
      </c>
      <c r="C649" s="16" t="n">
        <v>41</v>
      </c>
      <c r="D649" s="17" t="inlineStr">
        <is>
          <t>LINGERIE</t>
        </is>
      </c>
      <c r="E649" s="17" t="inlineStr">
        <is>
          <t>HIGH</t>
        </is>
      </c>
      <c r="F649" s="17" t="inlineStr">
        <is>
          <t>TRUNG BÌNH</t>
        </is>
      </c>
      <c r="G649" s="18" t="inlineStr">
        <is>
          <t>RISK_HIGH · PROMO_EXTRAPOLATION</t>
        </is>
      </c>
      <c r="H649" s="19" t="n">
        <v>57.62607479095459</v>
      </c>
      <c r="I649" s="19" t="n">
        <v>158.4458227157593</v>
      </c>
      <c r="J649" s="19" t="n">
        <v>294.7320928573608</v>
      </c>
      <c r="K649" s="19" t="n">
        <v>158.4458227157593</v>
      </c>
      <c r="L649" s="19" t="n">
        <v>243.6247415542603</v>
      </c>
      <c r="M649" s="19" t="n">
        <v>294.7320928573608</v>
      </c>
      <c r="N649" s="17" t="inlineStr">
        <is>
          <t>B</t>
        </is>
      </c>
      <c r="O649" s="19" t="n">
        <v>116.8680833816528</v>
      </c>
      <c r="P649" s="18" t="inlineStr">
        <is>
          <t>KHÔNG ĐỀ XUẤT TĂNG</t>
        </is>
      </c>
      <c r="Q649" s="17" t="inlineStr">
        <is>
          <t>Có</t>
        </is>
      </c>
      <c r="R649" s="20" t="n"/>
      <c r="S649" s="20" t="n"/>
      <c r="T649" s="21" t="n"/>
      <c r="U649" s="21" t="n"/>
      <c r="V649" s="22">
        <f>IF(U649="A",K649,IF(U649="B",L649,IF(U649="C",M649,IF(N649="A",K649,IF(N649="B",L649,M649)))))</f>
        <v/>
      </c>
      <c r="W649" s="22">
        <f>IF(R649="",O649,MAX(V649-R649-N(S649),0))</f>
        <v/>
      </c>
      <c r="X649" s="20" t="n"/>
      <c r="Y649" s="23">
        <f>IF(OR(X649="",W649=0),"",X649/W649-1)</f>
        <v/>
      </c>
      <c r="Z649" s="24" t="n"/>
      <c r="AA649" s="21" t="n"/>
      <c r="AB649" s="25" t="n"/>
      <c r="AC649" s="26">
        <f>IF(T649="","Chưa quyết định",IF(OR(Z649="",AA649=""),"⚠ Thiếu lý do/người duyệt",IF(AND(X649&lt;&gt;"",N(X649)+N(R649)+N(S649)&gt;M649*1.001,R649&lt;&gt;""),"⚠ Vượt mục tiêu P90",IF(AND(Y649&lt;&gt;"",ABS(N(Y649))&gt;0.3),"⚠ Lệch &gt; 30% so với nhu cầu",IF(Q649="Có","ℹ Kiểm tra ngoại suy KM","✓ Hợp lệ")))))</f>
        <v/>
      </c>
    </row>
    <row r="650">
      <c r="A650" s="16" t="n">
        <v>646</v>
      </c>
      <c r="B650" s="17" t="inlineStr">
        <is>
          <t>DEC-S40-LINGERIE</t>
        </is>
      </c>
      <c r="C650" s="16" t="n">
        <v>40</v>
      </c>
      <c r="D650" s="17" t="inlineStr">
        <is>
          <t>LINGERIE</t>
        </is>
      </c>
      <c r="E650" s="17" t="inlineStr">
        <is>
          <t>HIGH</t>
        </is>
      </c>
      <c r="F650" s="17" t="inlineStr">
        <is>
          <t>TRUNG BÌNH</t>
        </is>
      </c>
      <c r="G650" s="18" t="inlineStr">
        <is>
          <t>RISK_HIGH · PROMO_EXTRAPOLATION</t>
        </is>
      </c>
      <c r="H650" s="19" t="n">
        <v>50.68940210342407</v>
      </c>
      <c r="I650" s="19" t="n">
        <v>157.501923084259</v>
      </c>
      <c r="J650" s="19" t="n">
        <v>301.9620289802551</v>
      </c>
      <c r="K650" s="19" t="n">
        <v>157.501923084259</v>
      </c>
      <c r="L650" s="19" t="n">
        <v>247.7894892692566</v>
      </c>
      <c r="M650" s="19" t="n">
        <v>301.9620289802551</v>
      </c>
      <c r="N650" s="17" t="inlineStr">
        <is>
          <t>B</t>
        </is>
      </c>
      <c r="O650" s="19" t="n">
        <v>121.7879508018494</v>
      </c>
      <c r="P650" s="18" t="inlineStr">
        <is>
          <t>KHÔNG ĐỀ XUẤT TĂNG</t>
        </is>
      </c>
      <c r="Q650" s="17" t="inlineStr">
        <is>
          <t>Có</t>
        </is>
      </c>
      <c r="R650" s="20" t="n"/>
      <c r="S650" s="20" t="n"/>
      <c r="T650" s="21" t="n"/>
      <c r="U650" s="21" t="n"/>
      <c r="V650" s="22">
        <f>IF(U650="A",K650,IF(U650="B",L650,IF(U650="C",M650,IF(N650="A",K650,IF(N650="B",L650,M650)))))</f>
        <v/>
      </c>
      <c r="W650" s="22">
        <f>IF(R650="",O650,MAX(V650-R650-N(S650),0))</f>
        <v/>
      </c>
      <c r="X650" s="20" t="n"/>
      <c r="Y650" s="23">
        <f>IF(OR(X650="",W650=0),"",X650/W650-1)</f>
        <v/>
      </c>
      <c r="Z650" s="24" t="n"/>
      <c r="AA650" s="21" t="n"/>
      <c r="AB650" s="25" t="n"/>
      <c r="AC650" s="26">
        <f>IF(T650="","Chưa quyết định",IF(OR(Z650="",AA650=""),"⚠ Thiếu lý do/người duyệt",IF(AND(X650&lt;&gt;"",N(X650)+N(R650)+N(S650)&gt;M650*1.001,R650&lt;&gt;""),"⚠ Vượt mục tiêu P90",IF(AND(Y650&lt;&gt;"",ABS(N(Y650))&gt;0.3),"⚠ Lệch &gt; 30% so với nhu cầu",IF(Q650="Có","ℹ Kiểm tra ngoại suy KM","✓ Hợp lệ")))))</f>
        <v/>
      </c>
    </row>
    <row r="651">
      <c r="A651" s="16" t="n">
        <v>647</v>
      </c>
      <c r="B651" s="17" t="inlineStr">
        <is>
          <t>DEC-S24-LINGERIE</t>
        </is>
      </c>
      <c r="C651" s="16" t="n">
        <v>24</v>
      </c>
      <c r="D651" s="17" t="inlineStr">
        <is>
          <t>LINGERIE</t>
        </is>
      </c>
      <c r="E651" s="17" t="inlineStr">
        <is>
          <t>HIGH</t>
        </is>
      </c>
      <c r="F651" s="17" t="inlineStr">
        <is>
          <t>TRUNG BÌNH</t>
        </is>
      </c>
      <c r="G651" s="18" t="inlineStr">
        <is>
          <t>RISK_HIGH · PROMO_EXTRAPOLATION</t>
        </is>
      </c>
      <c r="H651" s="19" t="n">
        <v>56.62419605255127</v>
      </c>
      <c r="I651" s="19" t="n">
        <v>157.443943977356</v>
      </c>
      <c r="J651" s="19" t="n">
        <v>293.7302141189575</v>
      </c>
      <c r="K651" s="19" t="n">
        <v>157.443943977356</v>
      </c>
      <c r="L651" s="19" t="n">
        <v>242.6228628158569</v>
      </c>
      <c r="M651" s="19" t="n">
        <v>293.7302141189575</v>
      </c>
      <c r="N651" s="17" t="inlineStr">
        <is>
          <t>B</t>
        </is>
      </c>
      <c r="O651" s="19" t="n">
        <v>116.6677076339722</v>
      </c>
      <c r="P651" s="18" t="inlineStr">
        <is>
          <t>KHÔNG ĐỀ XUẤT TĂNG</t>
        </is>
      </c>
      <c r="Q651" s="17" t="inlineStr">
        <is>
          <t>Có</t>
        </is>
      </c>
      <c r="R651" s="20" t="n"/>
      <c r="S651" s="20" t="n"/>
      <c r="T651" s="21" t="n"/>
      <c r="U651" s="21" t="n"/>
      <c r="V651" s="22">
        <f>IF(U651="A",K651,IF(U651="B",L651,IF(U651="C",M651,IF(N651="A",K651,IF(N651="B",L651,M651)))))</f>
        <v/>
      </c>
      <c r="W651" s="22">
        <f>IF(R651="",O651,MAX(V651-R651-N(S651),0))</f>
        <v/>
      </c>
      <c r="X651" s="20" t="n"/>
      <c r="Y651" s="23">
        <f>IF(OR(X651="",W651=0),"",X651/W651-1)</f>
        <v/>
      </c>
      <c r="Z651" s="24" t="n"/>
      <c r="AA651" s="21" t="n"/>
      <c r="AB651" s="25" t="n"/>
      <c r="AC651" s="26">
        <f>IF(T651="","Chưa quyết định",IF(OR(Z651="",AA651=""),"⚠ Thiếu lý do/người duyệt",IF(AND(X651&lt;&gt;"",N(X651)+N(R651)+N(S651)&gt;M651*1.001,R651&lt;&gt;""),"⚠ Vượt mục tiêu P90",IF(AND(Y651&lt;&gt;"",ABS(N(Y651))&gt;0.3),"⚠ Lệch &gt; 30% so với nhu cầu",IF(Q651="Có","ℹ Kiểm tra ngoại suy KM","✓ Hợp lệ")))))</f>
        <v/>
      </c>
    </row>
    <row r="652">
      <c r="A652" s="16" t="n">
        <v>648</v>
      </c>
      <c r="B652" s="17" t="inlineStr">
        <is>
          <t>DEC-S18-LADIESWEAR</t>
        </is>
      </c>
      <c r="C652" s="16" t="n">
        <v>18</v>
      </c>
      <c r="D652" s="17" t="inlineStr">
        <is>
          <t>LADIESWEAR</t>
        </is>
      </c>
      <c r="E652" s="17" t="inlineStr">
        <is>
          <t>HIGH</t>
        </is>
      </c>
      <c r="F652" s="17" t="inlineStr">
        <is>
          <t>TRUNG BÌNH</t>
        </is>
      </c>
      <c r="G652" s="18" t="inlineStr">
        <is>
          <t>RISK_HIGH · PROMO_EXTRAPOLATION</t>
        </is>
      </c>
      <c r="H652" s="19" t="n">
        <v>59.32667016983032</v>
      </c>
      <c r="I652" s="19" t="n">
        <v>156.5508513450623</v>
      </c>
      <c r="J652" s="19" t="n">
        <v>290.4481694698334</v>
      </c>
      <c r="K652" s="19" t="n">
        <v>156.5508513450623</v>
      </c>
      <c r="L652" s="19" t="n">
        <v>240.2366751730442</v>
      </c>
      <c r="M652" s="19" t="n">
        <v>290.4481694698334</v>
      </c>
      <c r="N652" s="17" t="inlineStr">
        <is>
          <t>B</t>
        </is>
      </c>
      <c r="O652" s="19" t="n">
        <v>114.9959940969944</v>
      </c>
      <c r="P652" s="18" t="inlineStr">
        <is>
          <t>KHÔNG ĐỀ XUẤT TĂNG</t>
        </is>
      </c>
      <c r="Q652" s="17" t="inlineStr">
        <is>
          <t>Có</t>
        </is>
      </c>
      <c r="R652" s="20" t="n"/>
      <c r="S652" s="20" t="n"/>
      <c r="T652" s="21" t="n"/>
      <c r="U652" s="21" t="n"/>
      <c r="V652" s="22">
        <f>IF(U652="A",K652,IF(U652="B",L652,IF(U652="C",M652,IF(N652="A",K652,IF(N652="B",L652,M652)))))</f>
        <v/>
      </c>
      <c r="W652" s="22">
        <f>IF(R652="",O652,MAX(V652-R652-N(S652),0))</f>
        <v/>
      </c>
      <c r="X652" s="20" t="n"/>
      <c r="Y652" s="23">
        <f>IF(OR(X652="",W652=0),"",X652/W652-1)</f>
        <v/>
      </c>
      <c r="Z652" s="24" t="n"/>
      <c r="AA652" s="21" t="n"/>
      <c r="AB652" s="25" t="n"/>
      <c r="AC652" s="26">
        <f>IF(T652="","Chưa quyết định",IF(OR(Z652="",AA652=""),"⚠ Thiếu lý do/người duyệt",IF(AND(X652&lt;&gt;"",N(X652)+N(R652)+N(S652)&gt;M652*1.001,R652&lt;&gt;""),"⚠ Vượt mục tiêu P90",IF(AND(Y652&lt;&gt;"",ABS(N(Y652))&gt;0.3),"⚠ Lệch &gt; 30% so với nhu cầu",IF(Q652="Có","ℹ Kiểm tra ngoại suy KM","✓ Hợp lệ")))))</f>
        <v/>
      </c>
    </row>
    <row r="653">
      <c r="A653" s="16" t="n">
        <v>649</v>
      </c>
      <c r="B653" s="17" t="inlineStr">
        <is>
          <t>DEC-S22-SCHOOL_AND_OFFICE_SUPPLIES</t>
        </is>
      </c>
      <c r="C653" s="16" t="n">
        <v>22</v>
      </c>
      <c r="D653" s="17" t="inlineStr">
        <is>
          <t>SCHOOL AND OFFICE SUPPLIES</t>
        </is>
      </c>
      <c r="E653" s="17" t="inlineStr">
        <is>
          <t>HIGH</t>
        </is>
      </c>
      <c r="F653" s="17" t="inlineStr">
        <is>
          <t>TRUNG BÌNH</t>
        </is>
      </c>
      <c r="G653" s="18" t="inlineStr">
        <is>
          <t>RISK_HIGH · PROMO_EXTRAPOLATION</t>
        </is>
      </c>
      <c r="H653" s="19" t="n">
        <v>76.03630256652832</v>
      </c>
      <c r="I653" s="19" t="n">
        <v>156.5337934494019</v>
      </c>
      <c r="J653" s="19" t="n">
        <v>306.6818799972534</v>
      </c>
      <c r="K653" s="19" t="n">
        <v>156.5337934494019</v>
      </c>
      <c r="L653" s="19" t="n">
        <v>250.3763475418091</v>
      </c>
      <c r="M653" s="19" t="n">
        <v>306.6818799972534</v>
      </c>
      <c r="N653" s="17" t="inlineStr">
        <is>
          <t>B</t>
        </is>
      </c>
      <c r="O653" s="19" t="n">
        <v>125.1493127822876</v>
      </c>
      <c r="P653" s="18" t="inlineStr">
        <is>
          <t>KHÔNG ĐỀ XUẤT TĂNG</t>
        </is>
      </c>
      <c r="Q653" s="17" t="inlineStr">
        <is>
          <t>Có</t>
        </is>
      </c>
      <c r="R653" s="20" t="n"/>
      <c r="S653" s="20" t="n"/>
      <c r="T653" s="21" t="n"/>
      <c r="U653" s="21" t="n"/>
      <c r="V653" s="22">
        <f>IF(U653="A",K653,IF(U653="B",L653,IF(U653="C",M653,IF(N653="A",K653,IF(N653="B",L653,M653)))))</f>
        <v/>
      </c>
      <c r="W653" s="22">
        <f>IF(R653="",O653,MAX(V653-R653-N(S653),0))</f>
        <v/>
      </c>
      <c r="X653" s="20" t="n"/>
      <c r="Y653" s="23">
        <f>IF(OR(X653="",W653=0),"",X653/W653-1)</f>
        <v/>
      </c>
      <c r="Z653" s="24" t="n"/>
      <c r="AA653" s="21" t="n"/>
      <c r="AB653" s="25" t="n"/>
      <c r="AC653" s="26">
        <f>IF(T653="","Chưa quyết định",IF(OR(Z653="",AA653=""),"⚠ Thiếu lý do/người duyệt",IF(AND(X653&lt;&gt;"",N(X653)+N(R653)+N(S653)&gt;M653*1.001,R653&lt;&gt;""),"⚠ Vượt mục tiêu P90",IF(AND(Y653&lt;&gt;"",ABS(N(Y653))&gt;0.3),"⚠ Lệch &gt; 30% so với nhu cầu",IF(Q653="Có","ℹ Kiểm tra ngoại suy KM","✓ Hợp lệ")))))</f>
        <v/>
      </c>
    </row>
    <row r="654">
      <c r="A654" s="16" t="n">
        <v>650</v>
      </c>
      <c r="B654" s="17" t="inlineStr">
        <is>
          <t>DEC-S39-CELEBRATION</t>
        </is>
      </c>
      <c r="C654" s="16" t="n">
        <v>39</v>
      </c>
      <c r="D654" s="17" t="inlineStr">
        <is>
          <t>CELEBRATION</t>
        </is>
      </c>
      <c r="E654" s="17" t="inlineStr">
        <is>
          <t>HIGH</t>
        </is>
      </c>
      <c r="F654" s="17" t="inlineStr">
        <is>
          <t>TRUNG BÌNH</t>
        </is>
      </c>
      <c r="G654" s="18" t="inlineStr">
        <is>
          <t>RISK_HIGH · PROMO_EXTRAPOLATION</t>
        </is>
      </c>
      <c r="H654" s="19" t="n">
        <v>55.4147424697876</v>
      </c>
      <c r="I654" s="19" t="n">
        <v>156.2344903945923</v>
      </c>
      <c r="J654" s="19" t="n">
        <v>292.5207605361938</v>
      </c>
      <c r="K654" s="19" t="n">
        <v>156.2344903945923</v>
      </c>
      <c r="L654" s="19" t="n">
        <v>241.4134092330933</v>
      </c>
      <c r="M654" s="19" t="n">
        <v>292.5207605361938</v>
      </c>
      <c r="N654" s="17" t="inlineStr">
        <is>
          <t>B</t>
        </is>
      </c>
      <c r="O654" s="19" t="n">
        <v>116.4258169174194</v>
      </c>
      <c r="P654" s="18" t="inlineStr">
        <is>
          <t>KHÔNG ĐỀ XUẤT TĂNG</t>
        </is>
      </c>
      <c r="Q654" s="17" t="inlineStr">
        <is>
          <t>Có</t>
        </is>
      </c>
      <c r="R654" s="20" t="n"/>
      <c r="S654" s="20" t="n"/>
      <c r="T654" s="21" t="n"/>
      <c r="U654" s="21" t="n"/>
      <c r="V654" s="22">
        <f>IF(U654="A",K654,IF(U654="B",L654,IF(U654="C",M654,IF(N654="A",K654,IF(N654="B",L654,M654)))))</f>
        <v/>
      </c>
      <c r="W654" s="22">
        <f>IF(R654="",O654,MAX(V654-R654-N(S654),0))</f>
        <v/>
      </c>
      <c r="X654" s="20" t="n"/>
      <c r="Y654" s="23">
        <f>IF(OR(X654="",W654=0),"",X654/W654-1)</f>
        <v/>
      </c>
      <c r="Z654" s="24" t="n"/>
      <c r="AA654" s="21" t="n"/>
      <c r="AB654" s="25" t="n"/>
      <c r="AC654" s="26">
        <f>IF(T654="","Chưa quyết định",IF(OR(Z654="",AA654=""),"⚠ Thiếu lý do/người duyệt",IF(AND(X654&lt;&gt;"",N(X654)+N(R654)+N(S654)&gt;M654*1.001,R654&lt;&gt;""),"⚠ Vượt mục tiêu P90",IF(AND(Y654&lt;&gt;"",ABS(N(Y654))&gt;0.3),"⚠ Lệch &gt; 30% so với nhu cầu",IF(Q654="Có","ℹ Kiểm tra ngoại suy KM","✓ Hợp lệ")))))</f>
        <v/>
      </c>
    </row>
    <row r="655">
      <c r="A655" s="16" t="n">
        <v>651</v>
      </c>
      <c r="B655" s="17" t="inlineStr">
        <is>
          <t>DEC-S14-CELEBRATION</t>
        </is>
      </c>
      <c r="C655" s="16" t="n">
        <v>14</v>
      </c>
      <c r="D655" s="17" t="inlineStr">
        <is>
          <t>CELEBRATION</t>
        </is>
      </c>
      <c r="E655" s="17" t="inlineStr">
        <is>
          <t>HIGH</t>
        </is>
      </c>
      <c r="F655" s="17" t="inlineStr">
        <is>
          <t>TRUNG BÌNH</t>
        </is>
      </c>
      <c r="G655" s="18" t="inlineStr">
        <is>
          <t>RISK_HIGH · PROMO_EXTRAPOLATION</t>
        </is>
      </c>
      <c r="H655" s="19" t="n">
        <v>54.34087228775024</v>
      </c>
      <c r="I655" s="19" t="n">
        <v>155.1606202125549</v>
      </c>
      <c r="J655" s="19" t="n">
        <v>291.4468903541565</v>
      </c>
      <c r="K655" s="19" t="n">
        <v>155.1606202125549</v>
      </c>
      <c r="L655" s="19" t="n">
        <v>240.3395390510559</v>
      </c>
      <c r="M655" s="19" t="n">
        <v>291.4468903541565</v>
      </c>
      <c r="N655" s="17" t="inlineStr">
        <is>
          <t>B</t>
        </is>
      </c>
      <c r="O655" s="19" t="n">
        <v>116.211042881012</v>
      </c>
      <c r="P655" s="18" t="inlineStr">
        <is>
          <t>KHÔNG ĐỀ XUẤT TĂNG</t>
        </is>
      </c>
      <c r="Q655" s="17" t="inlineStr">
        <is>
          <t>Có</t>
        </is>
      </c>
      <c r="R655" s="20" t="n"/>
      <c r="S655" s="20" t="n"/>
      <c r="T655" s="21" t="n"/>
      <c r="U655" s="21" t="n"/>
      <c r="V655" s="22">
        <f>IF(U655="A",K655,IF(U655="B",L655,IF(U655="C",M655,IF(N655="A",K655,IF(N655="B",L655,M655)))))</f>
        <v/>
      </c>
      <c r="W655" s="22">
        <f>IF(R655="",O655,MAX(V655-R655-N(S655),0))</f>
        <v/>
      </c>
      <c r="X655" s="20" t="n"/>
      <c r="Y655" s="23">
        <f>IF(OR(X655="",W655=0),"",X655/W655-1)</f>
        <v/>
      </c>
      <c r="Z655" s="24" t="n"/>
      <c r="AA655" s="21" t="n"/>
      <c r="AB655" s="25" t="n"/>
      <c r="AC655" s="26">
        <f>IF(T655="","Chưa quyết định",IF(OR(Z655="",AA655=""),"⚠ Thiếu lý do/người duyệt",IF(AND(X655&lt;&gt;"",N(X655)+N(R655)+N(S655)&gt;M655*1.001,R655&lt;&gt;""),"⚠ Vượt mục tiêu P90",IF(AND(Y655&lt;&gt;"",ABS(N(Y655))&gt;0.3),"⚠ Lệch &gt; 30% so với nhu cầu",IF(Q655="Có","ℹ Kiểm tra ngoại suy KM","✓ Hợp lệ")))))</f>
        <v/>
      </c>
    </row>
    <row r="656">
      <c r="A656" s="16" t="n">
        <v>652</v>
      </c>
      <c r="B656" s="17" t="inlineStr">
        <is>
          <t>DEC-S50-MAGAZINES</t>
        </is>
      </c>
      <c r="C656" s="16" t="n">
        <v>50</v>
      </c>
      <c r="D656" s="17" t="inlineStr">
        <is>
          <t>MAGAZINES</t>
        </is>
      </c>
      <c r="E656" s="17" t="inlineStr">
        <is>
          <t>HIGH</t>
        </is>
      </c>
      <c r="F656" s="17" t="inlineStr">
        <is>
          <t>TRUNG BÌNH</t>
        </is>
      </c>
      <c r="G656" s="18" t="inlineStr">
        <is>
          <t>RISK_HIGH · PROMO_EXTRAPOLATION</t>
        </is>
      </c>
      <c r="H656" s="19" t="n">
        <v>47.18606519699097</v>
      </c>
      <c r="I656" s="19" t="n">
        <v>154.8972172737122</v>
      </c>
      <c r="J656" s="19" t="n">
        <v>307.5311589241028</v>
      </c>
      <c r="K656" s="19" t="n">
        <v>154.8972172737122</v>
      </c>
      <c r="L656" s="19" t="n">
        <v>250.2934308052063</v>
      </c>
      <c r="M656" s="19" t="n">
        <v>307.5311589241028</v>
      </c>
      <c r="N656" s="17" t="inlineStr">
        <is>
          <t>B</t>
        </is>
      </c>
      <c r="O656" s="19" t="n">
        <v>126.3756569862366</v>
      </c>
      <c r="P656" s="18" t="inlineStr">
        <is>
          <t>KHÔNG ĐỀ XUẤT TĂNG</t>
        </is>
      </c>
      <c r="Q656" s="17" t="inlineStr">
        <is>
          <t>Có</t>
        </is>
      </c>
      <c r="R656" s="20" t="n"/>
      <c r="S656" s="20" t="n"/>
      <c r="T656" s="21" t="n"/>
      <c r="U656" s="21" t="n"/>
      <c r="V656" s="22">
        <f>IF(U656="A",K656,IF(U656="B",L656,IF(U656="C",M656,IF(N656="A",K656,IF(N656="B",L656,M656)))))</f>
        <v/>
      </c>
      <c r="W656" s="22">
        <f>IF(R656="",O656,MAX(V656-R656-N(S656),0))</f>
        <v/>
      </c>
      <c r="X656" s="20" t="n"/>
      <c r="Y656" s="23">
        <f>IF(OR(X656="",W656=0),"",X656/W656-1)</f>
        <v/>
      </c>
      <c r="Z656" s="24" t="n"/>
      <c r="AA656" s="21" t="n"/>
      <c r="AB656" s="25" t="n"/>
      <c r="AC656" s="26">
        <f>IF(T656="","Chưa quyết định",IF(OR(Z656="",AA656=""),"⚠ Thiếu lý do/người duyệt",IF(AND(X656&lt;&gt;"",N(X656)+N(R656)+N(S656)&gt;M656*1.001,R656&lt;&gt;""),"⚠ Vượt mục tiêu P90",IF(AND(Y656&lt;&gt;"",ABS(N(Y656))&gt;0.3),"⚠ Lệch &gt; 30% so với nhu cầu",IF(Q656="Có","ℹ Kiểm tra ngoại suy KM","✓ Hợp lệ")))))</f>
        <v/>
      </c>
    </row>
    <row r="657">
      <c r="A657" s="16" t="n">
        <v>653</v>
      </c>
      <c r="B657" s="17" t="inlineStr">
        <is>
          <t>DEC-S18-BEAUTY</t>
        </is>
      </c>
      <c r="C657" s="16" t="n">
        <v>18</v>
      </c>
      <c r="D657" s="17" t="inlineStr">
        <is>
          <t>BEAUTY</t>
        </is>
      </c>
      <c r="E657" s="17" t="inlineStr">
        <is>
          <t>HIGH</t>
        </is>
      </c>
      <c r="F657" s="17" t="inlineStr">
        <is>
          <t>TRUNG BÌNH</t>
        </is>
      </c>
      <c r="G657" s="18" t="inlineStr">
        <is>
          <t>RISK_HIGH · PROMO_EXTRAPOLATION</t>
        </is>
      </c>
      <c r="H657" s="19" t="n">
        <v>38.38344597816467</v>
      </c>
      <c r="I657" s="19" t="n">
        <v>154.0616641044617</v>
      </c>
      <c r="J657" s="19" t="n">
        <v>327.4461886882782</v>
      </c>
      <c r="K657" s="19" t="n">
        <v>154.0616641044617</v>
      </c>
      <c r="L657" s="19" t="n">
        <v>262.426991969347</v>
      </c>
      <c r="M657" s="19" t="n">
        <v>327.4461886882782</v>
      </c>
      <c r="N657" s="17" t="inlineStr">
        <is>
          <t>B</t>
        </is>
      </c>
      <c r="O657" s="19" t="n">
        <v>139.1776606857777</v>
      </c>
      <c r="P657" s="18" t="inlineStr">
        <is>
          <t>CÂN NHẮC THỬ NGHIỆM</t>
        </is>
      </c>
      <c r="Q657" s="17" t="inlineStr">
        <is>
          <t>Có</t>
        </is>
      </c>
      <c r="R657" s="20" t="n"/>
      <c r="S657" s="20" t="n"/>
      <c r="T657" s="21" t="n"/>
      <c r="U657" s="21" t="n"/>
      <c r="V657" s="22">
        <f>IF(U657="A",K657,IF(U657="B",L657,IF(U657="C",M657,IF(N657="A",K657,IF(N657="B",L657,M657)))))</f>
        <v/>
      </c>
      <c r="W657" s="22">
        <f>IF(R657="",O657,MAX(V657-R657-N(S657),0))</f>
        <v/>
      </c>
      <c r="X657" s="20" t="n"/>
      <c r="Y657" s="23">
        <f>IF(OR(X657="",W657=0),"",X657/W657-1)</f>
        <v/>
      </c>
      <c r="Z657" s="24" t="n"/>
      <c r="AA657" s="21" t="n"/>
      <c r="AB657" s="25" t="n"/>
      <c r="AC657" s="26">
        <f>IF(T657="","Chưa quyết định",IF(OR(Z657="",AA657=""),"⚠ Thiếu lý do/người duyệt",IF(AND(X657&lt;&gt;"",N(X657)+N(R657)+N(S657)&gt;M657*1.001,R657&lt;&gt;""),"⚠ Vượt mục tiêu P90",IF(AND(Y657&lt;&gt;"",ABS(N(Y657))&gt;0.3),"⚠ Lệch &gt; 30% so với nhu cầu",IF(Q657="Có","ℹ Kiểm tra ngoại suy KM","✓ Hợp lệ")))))</f>
        <v/>
      </c>
    </row>
    <row r="658">
      <c r="A658" s="16" t="n">
        <v>654</v>
      </c>
      <c r="B658" s="17" t="inlineStr">
        <is>
          <t>DEC-S52-LINGERIE</t>
        </is>
      </c>
      <c r="C658" s="16" t="n">
        <v>52</v>
      </c>
      <c r="D658" s="17" t="inlineStr">
        <is>
          <t>LINGERIE</t>
        </is>
      </c>
      <c r="E658" s="17" t="inlineStr">
        <is>
          <t>HIGH</t>
        </is>
      </c>
      <c r="F658" s="17" t="inlineStr">
        <is>
          <t>TRUNG BÌNH</t>
        </is>
      </c>
      <c r="G658" s="18" t="inlineStr">
        <is>
          <t>RISK_HIGH · PROMO_EXTRAPOLATION</t>
        </is>
      </c>
      <c r="H658" s="19" t="n">
        <v>53.20779585838318</v>
      </c>
      <c r="I658" s="19" t="n">
        <v>154.0275437831879</v>
      </c>
      <c r="J658" s="19" t="n">
        <v>290.3138139247894</v>
      </c>
      <c r="K658" s="19" t="n">
        <v>154.0275437831879</v>
      </c>
      <c r="L658" s="19" t="n">
        <v>239.2064626216888</v>
      </c>
      <c r="M658" s="19" t="n">
        <v>290.3138139247894</v>
      </c>
      <c r="N658" s="17" t="inlineStr">
        <is>
          <t>B</t>
        </is>
      </c>
      <c r="O658" s="19" t="n">
        <v>115.9844275951385</v>
      </c>
      <c r="P658" s="18" t="inlineStr">
        <is>
          <t>KHÔNG ĐỀ XUẤT TĂNG</t>
        </is>
      </c>
      <c r="Q658" s="17" t="inlineStr">
        <is>
          <t>Có</t>
        </is>
      </c>
      <c r="R658" s="20" t="n"/>
      <c r="S658" s="20" t="n"/>
      <c r="T658" s="21" t="n"/>
      <c r="U658" s="21" t="n"/>
      <c r="V658" s="22">
        <f>IF(U658="A",K658,IF(U658="B",L658,IF(U658="C",M658,IF(N658="A",K658,IF(N658="B",L658,M658)))))</f>
        <v/>
      </c>
      <c r="W658" s="22">
        <f>IF(R658="",O658,MAX(V658-R658-N(S658),0))</f>
        <v/>
      </c>
      <c r="X658" s="20" t="n"/>
      <c r="Y658" s="23">
        <f>IF(OR(X658="",W658=0),"",X658/W658-1)</f>
        <v/>
      </c>
      <c r="Z658" s="24" t="n"/>
      <c r="AA658" s="21" t="n"/>
      <c r="AB658" s="25" t="n"/>
      <c r="AC658" s="26">
        <f>IF(T658="","Chưa quyết định",IF(OR(Z658="",AA658=""),"⚠ Thiếu lý do/người duyệt",IF(AND(X658&lt;&gt;"",N(X658)+N(R658)+N(S658)&gt;M658*1.001,R658&lt;&gt;""),"⚠ Vượt mục tiêu P90",IF(AND(Y658&lt;&gt;"",ABS(N(Y658))&gt;0.3),"⚠ Lệch &gt; 30% so với nhu cầu",IF(Q658="Có","ℹ Kiểm tra ngoại suy KM","✓ Hợp lệ")))))</f>
        <v/>
      </c>
    </row>
    <row r="659">
      <c r="A659" s="16" t="n">
        <v>655</v>
      </c>
      <c r="B659" s="17" t="inlineStr">
        <is>
          <t>DEC-S32-PREPARED_FOODS</t>
        </is>
      </c>
      <c r="C659" s="16" t="n">
        <v>32</v>
      </c>
      <c r="D659" s="17" t="inlineStr">
        <is>
          <t>PREPARED FOODS</t>
        </is>
      </c>
      <c r="E659" s="17" t="inlineStr">
        <is>
          <t>HIGH</t>
        </is>
      </c>
      <c r="F659" s="17" t="inlineStr">
        <is>
          <t>TRUNG BÌNH</t>
        </is>
      </c>
      <c r="G659" s="18" t="inlineStr">
        <is>
          <t>RISK_HIGH · PROMO_EXTRAPOLATION</t>
        </is>
      </c>
      <c r="H659" s="19" t="n">
        <v>42.75750494003296</v>
      </c>
      <c r="I659" s="19" t="n">
        <v>153.7443653345108</v>
      </c>
      <c r="J659" s="19" t="n">
        <v>317.9480744600296</v>
      </c>
      <c r="K659" s="19" t="n">
        <v>153.7443653345108</v>
      </c>
      <c r="L659" s="19" t="n">
        <v>256.3716835379601</v>
      </c>
      <c r="M659" s="19" t="n">
        <v>317.9480744600296</v>
      </c>
      <c r="N659" s="17" t="inlineStr">
        <is>
          <t>B</t>
        </is>
      </c>
      <c r="O659" s="19" t="n">
        <v>133.3761912703514</v>
      </c>
      <c r="P659" s="18" t="inlineStr">
        <is>
          <t>KHÔNG ĐỀ XUẤT TĂNG</t>
        </is>
      </c>
      <c r="Q659" s="17" t="inlineStr">
        <is>
          <t>Có</t>
        </is>
      </c>
      <c r="R659" s="20" t="n"/>
      <c r="S659" s="20" t="n"/>
      <c r="T659" s="21" t="n"/>
      <c r="U659" s="21" t="n"/>
      <c r="V659" s="22">
        <f>IF(U659="A",K659,IF(U659="B",L659,IF(U659="C",M659,IF(N659="A",K659,IF(N659="B",L659,M659)))))</f>
        <v/>
      </c>
      <c r="W659" s="22">
        <f>IF(R659="",O659,MAX(V659-R659-N(S659),0))</f>
        <v/>
      </c>
      <c r="X659" s="20" t="n"/>
      <c r="Y659" s="23">
        <f>IF(OR(X659="",W659=0),"",X659/W659-1)</f>
        <v/>
      </c>
      <c r="Z659" s="24" t="n"/>
      <c r="AA659" s="21" t="n"/>
      <c r="AB659" s="25" t="n"/>
      <c r="AC659" s="26">
        <f>IF(T659="","Chưa quyết định",IF(OR(Z659="",AA659=""),"⚠ Thiếu lý do/người duyệt",IF(AND(X659&lt;&gt;"",N(X659)+N(R659)+N(S659)&gt;M659*1.001,R659&lt;&gt;""),"⚠ Vượt mục tiêu P90",IF(AND(Y659&lt;&gt;"",ABS(N(Y659))&gt;0.3),"⚠ Lệch &gt; 30% so với nhu cầu",IF(Q659="Có","ℹ Kiểm tra ngoại suy KM","✓ Hợp lệ")))))</f>
        <v/>
      </c>
    </row>
    <row r="660">
      <c r="A660" s="16" t="n">
        <v>656</v>
      </c>
      <c r="B660" s="17" t="inlineStr">
        <is>
          <t>DEC-S27-PET_SUPPLIES</t>
        </is>
      </c>
      <c r="C660" s="16" t="n">
        <v>27</v>
      </c>
      <c r="D660" s="17" t="inlineStr">
        <is>
          <t>PET SUPPLIES</t>
        </is>
      </c>
      <c r="E660" s="17" t="inlineStr">
        <is>
          <t>HIGH</t>
        </is>
      </c>
      <c r="F660" s="17" t="inlineStr">
        <is>
          <t>TRUNG BÌNH</t>
        </is>
      </c>
      <c r="G660" s="18" t="inlineStr">
        <is>
          <t>RISK_HIGH · PROMO_EXTRAPOLATION</t>
        </is>
      </c>
      <c r="H660" s="19" t="n">
        <v>52.90644598007202</v>
      </c>
      <c r="I660" s="19" t="n">
        <v>153.7261939048767</v>
      </c>
      <c r="J660" s="19" t="n">
        <v>290.0124640464783</v>
      </c>
      <c r="K660" s="19" t="n">
        <v>153.7261939048767</v>
      </c>
      <c r="L660" s="19" t="n">
        <v>238.9051127433777</v>
      </c>
      <c r="M660" s="19" t="n">
        <v>290.0124640464783</v>
      </c>
      <c r="N660" s="17" t="inlineStr">
        <is>
          <t>B</t>
        </is>
      </c>
      <c r="O660" s="19" t="n">
        <v>115.9241576194763</v>
      </c>
      <c r="P660" s="18" t="inlineStr">
        <is>
          <t>KHÔNG ĐỀ XUẤT TĂNG</t>
        </is>
      </c>
      <c r="Q660" s="17" t="inlineStr">
        <is>
          <t>Có</t>
        </is>
      </c>
      <c r="R660" s="20" t="n"/>
      <c r="S660" s="20" t="n"/>
      <c r="T660" s="21" t="n"/>
      <c r="U660" s="21" t="n"/>
      <c r="V660" s="22">
        <f>IF(U660="A",K660,IF(U660="B",L660,IF(U660="C",M660,IF(N660="A",K660,IF(N660="B",L660,M660)))))</f>
        <v/>
      </c>
      <c r="W660" s="22">
        <f>IF(R660="",O660,MAX(V660-R660-N(S660),0))</f>
        <v/>
      </c>
      <c r="X660" s="20" t="n"/>
      <c r="Y660" s="23">
        <f>IF(OR(X660="",W660=0),"",X660/W660-1)</f>
        <v/>
      </c>
      <c r="Z660" s="24" t="n"/>
      <c r="AA660" s="21" t="n"/>
      <c r="AB660" s="25" t="n"/>
      <c r="AC660" s="26">
        <f>IF(T660="","Chưa quyết định",IF(OR(Z660="",AA660=""),"⚠ Thiếu lý do/người duyệt",IF(AND(X660&lt;&gt;"",N(X660)+N(R660)+N(S660)&gt;M660*1.001,R660&lt;&gt;""),"⚠ Vượt mục tiêu P90",IF(AND(Y660&lt;&gt;"",ABS(N(Y660))&gt;0.3),"⚠ Lệch &gt; 30% so với nhu cầu",IF(Q660="Có","ℹ Kiểm tra ngoại suy KM","✓ Hợp lệ")))))</f>
        <v/>
      </c>
    </row>
    <row r="661">
      <c r="A661" s="16" t="n">
        <v>657</v>
      </c>
      <c r="B661" s="17" t="inlineStr">
        <is>
          <t>DEC-S21-LINGERIE</t>
        </is>
      </c>
      <c r="C661" s="16" t="n">
        <v>21</v>
      </c>
      <c r="D661" s="17" t="inlineStr">
        <is>
          <t>LINGERIE</t>
        </is>
      </c>
      <c r="E661" s="17" t="inlineStr">
        <is>
          <t>HIGH</t>
        </is>
      </c>
      <c r="F661" s="17" t="inlineStr">
        <is>
          <t>TRUNG BÌNH</t>
        </is>
      </c>
      <c r="G661" s="18" t="inlineStr">
        <is>
          <t>RISK_HIGH · PROMO_EXTRAPOLATION</t>
        </is>
      </c>
      <c r="H661" s="19" t="n">
        <v>55.88839793205261</v>
      </c>
      <c r="I661" s="19" t="n">
        <v>153.1125791072845</v>
      </c>
      <c r="J661" s="19" t="n">
        <v>287.0098972320557</v>
      </c>
      <c r="K661" s="19" t="n">
        <v>153.1125791072845</v>
      </c>
      <c r="L661" s="19" t="n">
        <v>236.7984029352665</v>
      </c>
      <c r="M661" s="19" t="n">
        <v>287.0098972320557</v>
      </c>
      <c r="N661" s="17" t="inlineStr">
        <is>
          <t>B</t>
        </is>
      </c>
      <c r="O661" s="19" t="n">
        <v>114.3083396494388</v>
      </c>
      <c r="P661" s="18" t="inlineStr">
        <is>
          <t>KHÔNG ĐỀ XUẤT TĂNG</t>
        </is>
      </c>
      <c r="Q661" s="17" t="inlineStr">
        <is>
          <t>Có</t>
        </is>
      </c>
      <c r="R661" s="20" t="n"/>
      <c r="S661" s="20" t="n"/>
      <c r="T661" s="21" t="n"/>
      <c r="U661" s="21" t="n"/>
      <c r="V661" s="22">
        <f>IF(U661="A",K661,IF(U661="B",L661,IF(U661="C",M661,IF(N661="A",K661,IF(N661="B",L661,M661)))))</f>
        <v/>
      </c>
      <c r="W661" s="22">
        <f>IF(R661="",O661,MAX(V661-R661-N(S661),0))</f>
        <v/>
      </c>
      <c r="X661" s="20" t="n"/>
      <c r="Y661" s="23">
        <f>IF(OR(X661="",W661=0),"",X661/W661-1)</f>
        <v/>
      </c>
      <c r="Z661" s="24" t="n"/>
      <c r="AA661" s="21" t="n"/>
      <c r="AB661" s="25" t="n"/>
      <c r="AC661" s="26">
        <f>IF(T661="","Chưa quyết định",IF(OR(Z661="",AA661=""),"⚠ Thiếu lý do/người duyệt",IF(AND(X661&lt;&gt;"",N(X661)+N(R661)+N(S661)&gt;M661*1.001,R661&lt;&gt;""),"⚠ Vượt mục tiêu P90",IF(AND(Y661&lt;&gt;"",ABS(N(Y661))&gt;0.3),"⚠ Lệch &gt; 30% so với nhu cầu",IF(Q661="Có","ℹ Kiểm tra ngoại suy KM","✓ Hợp lệ")))))</f>
        <v/>
      </c>
    </row>
    <row r="662">
      <c r="A662" s="16" t="n">
        <v>658</v>
      </c>
      <c r="B662" s="17" t="inlineStr">
        <is>
          <t>DEC-S01-BEAUTY</t>
        </is>
      </c>
      <c r="C662" s="16" t="n">
        <v>1</v>
      </c>
      <c r="D662" s="17" t="inlineStr">
        <is>
          <t>BEAUTY</t>
        </is>
      </c>
      <c r="E662" s="17" t="inlineStr">
        <is>
          <t>HIGH</t>
        </is>
      </c>
      <c r="F662" s="17" t="inlineStr">
        <is>
          <t>TRUNG BÌNH</t>
        </is>
      </c>
      <c r="G662" s="18" t="inlineStr">
        <is>
          <t>RISK_HIGH · PROMO_EXTRAPOLATION</t>
        </is>
      </c>
      <c r="H662" s="19" t="n">
        <v>65.51521701216697</v>
      </c>
      <c r="I662" s="19" t="n">
        <v>153.0629390776157</v>
      </c>
      <c r="J662" s="19" t="n">
        <v>280.0532674849034</v>
      </c>
      <c r="K662" s="19" t="n">
        <v>153.0629390776157</v>
      </c>
      <c r="L662" s="19" t="n">
        <v>232.4318943321705</v>
      </c>
      <c r="M662" s="19" t="n">
        <v>280.0532674849034</v>
      </c>
      <c r="N662" s="17" t="inlineStr">
        <is>
          <t>B</t>
        </is>
      </c>
      <c r="O662" s="19" t="n">
        <v>109.9815430700779</v>
      </c>
      <c r="P662" s="18" t="inlineStr">
        <is>
          <t>CÂN NHẮC THỬ NGHIỆM</t>
        </is>
      </c>
      <c r="Q662" s="17" t="inlineStr">
        <is>
          <t>Có</t>
        </is>
      </c>
      <c r="R662" s="20" t="n"/>
      <c r="S662" s="20" t="n"/>
      <c r="T662" s="21" t="n"/>
      <c r="U662" s="21" t="n"/>
      <c r="V662" s="22">
        <f>IF(U662="A",K662,IF(U662="B",L662,IF(U662="C",M662,IF(N662="A",K662,IF(N662="B",L662,M662)))))</f>
        <v/>
      </c>
      <c r="W662" s="22">
        <f>IF(R662="",O662,MAX(V662-R662-N(S662),0))</f>
        <v/>
      </c>
      <c r="X662" s="20" t="n"/>
      <c r="Y662" s="23">
        <f>IF(OR(X662="",W662=0),"",X662/W662-1)</f>
        <v/>
      </c>
      <c r="Z662" s="24" t="n"/>
      <c r="AA662" s="21" t="n"/>
      <c r="AB662" s="25" t="n"/>
      <c r="AC662" s="26">
        <f>IF(T662="","Chưa quyết định",IF(OR(Z662="",AA662=""),"⚠ Thiếu lý do/người duyệt",IF(AND(X662&lt;&gt;"",N(X662)+N(R662)+N(S662)&gt;M662*1.001,R662&lt;&gt;""),"⚠ Vượt mục tiêu P90",IF(AND(Y662&lt;&gt;"",ABS(N(Y662))&gt;0.3),"⚠ Lệch &gt; 30% so với nhu cầu",IF(Q662="Có","ℹ Kiểm tra ngoại suy KM","✓ Hợp lệ")))))</f>
        <v/>
      </c>
    </row>
    <row r="663">
      <c r="A663" s="16" t="n">
        <v>659</v>
      </c>
      <c r="B663" s="17" t="inlineStr">
        <is>
          <t>DEC-S42-CELEBRATION</t>
        </is>
      </c>
      <c r="C663" s="16" t="n">
        <v>42</v>
      </c>
      <c r="D663" s="17" t="inlineStr">
        <is>
          <t>CELEBRATION</t>
        </is>
      </c>
      <c r="E663" s="17" t="inlineStr">
        <is>
          <t>HIGH</t>
        </is>
      </c>
      <c r="F663" s="17" t="inlineStr">
        <is>
          <t>TRUNG BÌNH</t>
        </is>
      </c>
      <c r="G663" s="18" t="inlineStr">
        <is>
          <t>RISK_HIGH · PROMO_EXTRAPOLATION</t>
        </is>
      </c>
      <c r="H663" s="19" t="n">
        <v>49.46525287628174</v>
      </c>
      <c r="I663" s="19" t="n">
        <v>151.1863012313843</v>
      </c>
      <c r="J663" s="19" t="n">
        <v>293.2574551105499</v>
      </c>
      <c r="K663" s="19" t="n">
        <v>151.1863012313843</v>
      </c>
      <c r="L663" s="19" t="n">
        <v>239.9807724058628</v>
      </c>
      <c r="M663" s="19" t="n">
        <v>293.2574551105499</v>
      </c>
      <c r="N663" s="17" t="inlineStr">
        <is>
          <t>B</t>
        </is>
      </c>
      <c r="O663" s="19" t="n">
        <v>119.0317314207554</v>
      </c>
      <c r="P663" s="18" t="inlineStr">
        <is>
          <t>KHÔNG ĐỀ XUẤT TĂNG</t>
        </is>
      </c>
      <c r="Q663" s="17" t="inlineStr">
        <is>
          <t>Có</t>
        </is>
      </c>
      <c r="R663" s="20" t="n"/>
      <c r="S663" s="20" t="n"/>
      <c r="T663" s="21" t="n"/>
      <c r="U663" s="21" t="n"/>
      <c r="V663" s="22">
        <f>IF(U663="A",K663,IF(U663="B",L663,IF(U663="C",M663,IF(N663="A",K663,IF(N663="B",L663,M663)))))</f>
        <v/>
      </c>
      <c r="W663" s="22">
        <f>IF(R663="",O663,MAX(V663-R663-N(S663),0))</f>
        <v/>
      </c>
      <c r="X663" s="20" t="n"/>
      <c r="Y663" s="23">
        <f>IF(OR(X663="",W663=0),"",X663/W663-1)</f>
        <v/>
      </c>
      <c r="Z663" s="24" t="n"/>
      <c r="AA663" s="21" t="n"/>
      <c r="AB663" s="25" t="n"/>
      <c r="AC663" s="26">
        <f>IF(T663="","Chưa quyết định",IF(OR(Z663="",AA663=""),"⚠ Thiếu lý do/người duyệt",IF(AND(X663&lt;&gt;"",N(X663)+N(R663)+N(S663)&gt;M663*1.001,R663&lt;&gt;""),"⚠ Vượt mục tiêu P90",IF(AND(Y663&lt;&gt;"",ABS(N(Y663))&gt;0.3),"⚠ Lệch &gt; 30% so với nhu cầu",IF(Q663="Có","ℹ Kiểm tra ngoại suy KM","✓ Hợp lệ")))))</f>
        <v/>
      </c>
    </row>
    <row r="664">
      <c r="A664" s="16" t="n">
        <v>660</v>
      </c>
      <c r="B664" s="17" t="inlineStr">
        <is>
          <t>DEC-S01-LADIESWEAR</t>
        </is>
      </c>
      <c r="C664" s="16" t="n">
        <v>1</v>
      </c>
      <c r="D664" s="17" t="inlineStr">
        <is>
          <t>LADIESWEAR</t>
        </is>
      </c>
      <c r="E664" s="17" t="inlineStr">
        <is>
          <t>HIGH</t>
        </is>
      </c>
      <c r="F664" s="17" t="inlineStr">
        <is>
          <t>TRUNG BÌNH</t>
        </is>
      </c>
      <c r="G664" s="18" t="inlineStr">
        <is>
          <t>RISK_HIGH · PROMO_EXTRAPOLATION</t>
        </is>
      </c>
      <c r="H664" s="19" t="n">
        <v>50.02408409118652</v>
      </c>
      <c r="I664" s="19" t="n">
        <v>150.8438320159912</v>
      </c>
      <c r="J664" s="19" t="n">
        <v>287.1301021575928</v>
      </c>
      <c r="K664" s="19" t="n">
        <v>150.8438320159912</v>
      </c>
      <c r="L664" s="19" t="n">
        <v>236.0227508544922</v>
      </c>
      <c r="M664" s="19" t="n">
        <v>287.1301021575928</v>
      </c>
      <c r="N664" s="17" t="inlineStr">
        <is>
          <t>B</t>
        </is>
      </c>
      <c r="O664" s="19" t="n">
        <v>115.3476852416992</v>
      </c>
      <c r="P664" s="18" t="inlineStr">
        <is>
          <t>KHÔNG ĐỀ XUẤT TĂNG</t>
        </is>
      </c>
      <c r="Q664" s="17" t="inlineStr">
        <is>
          <t>Có</t>
        </is>
      </c>
      <c r="R664" s="20" t="n"/>
      <c r="S664" s="20" t="n"/>
      <c r="T664" s="21" t="n"/>
      <c r="U664" s="21" t="n"/>
      <c r="V664" s="22">
        <f>IF(U664="A",K664,IF(U664="B",L664,IF(U664="C",M664,IF(N664="A",K664,IF(N664="B",L664,M664)))))</f>
        <v/>
      </c>
      <c r="W664" s="22">
        <f>IF(R664="",O664,MAX(V664-R664-N(S664),0))</f>
        <v/>
      </c>
      <c r="X664" s="20" t="n"/>
      <c r="Y664" s="23">
        <f>IF(OR(X664="",W664=0),"",X664/W664-1)</f>
        <v/>
      </c>
      <c r="Z664" s="24" t="n"/>
      <c r="AA664" s="21" t="n"/>
      <c r="AB664" s="25" t="n"/>
      <c r="AC664" s="26">
        <f>IF(T664="","Chưa quyết định",IF(OR(Z664="",AA664=""),"⚠ Thiếu lý do/người duyệt",IF(AND(X664&lt;&gt;"",N(X664)+N(R664)+N(S664)&gt;M664*1.001,R664&lt;&gt;""),"⚠ Vượt mục tiêu P90",IF(AND(Y664&lt;&gt;"",ABS(N(Y664))&gt;0.3),"⚠ Lệch &gt; 30% so với nhu cầu",IF(Q664="Có","ℹ Kiểm tra ngoại suy KM","✓ Hợp lệ")))))</f>
        <v/>
      </c>
    </row>
    <row r="665">
      <c r="A665" s="16" t="n">
        <v>661</v>
      </c>
      <c r="B665" s="17" t="inlineStr">
        <is>
          <t>DEC-S11-BEAUTY</t>
        </is>
      </c>
      <c r="C665" s="16" t="n">
        <v>11</v>
      </c>
      <c r="D665" s="17" t="inlineStr">
        <is>
          <t>BEAUTY</t>
        </is>
      </c>
      <c r="E665" s="17" t="inlineStr">
        <is>
          <t>HIGH</t>
        </is>
      </c>
      <c r="F665" s="17" t="inlineStr">
        <is>
          <t>TRUNG BÌNH</t>
        </is>
      </c>
      <c r="G665" s="18" t="inlineStr">
        <is>
          <t>RISK_HIGH · PROMO_EXTRAPOLATION</t>
        </is>
      </c>
      <c r="H665" s="19" t="n">
        <v>34.73512101173401</v>
      </c>
      <c r="I665" s="19" t="n">
        <v>150.6936409473419</v>
      </c>
      <c r="J665" s="19" t="n">
        <v>320.6822338104248</v>
      </c>
      <c r="K665" s="19" t="n">
        <v>150.6936409473419</v>
      </c>
      <c r="L665" s="19" t="n">
        <v>256.9365114867687</v>
      </c>
      <c r="M665" s="19" t="n">
        <v>320.6822338104248</v>
      </c>
      <c r="N665" s="17" t="inlineStr">
        <is>
          <t>B</t>
        </is>
      </c>
      <c r="O665" s="19" t="n">
        <v>136.3815987288952</v>
      </c>
      <c r="P665" s="18" t="inlineStr">
        <is>
          <t>CÂN NHẮC THỬ NGHIỆM</t>
        </is>
      </c>
      <c r="Q665" s="17" t="inlineStr">
        <is>
          <t>Có</t>
        </is>
      </c>
      <c r="R665" s="20" t="n"/>
      <c r="S665" s="20" t="n"/>
      <c r="T665" s="21" t="n"/>
      <c r="U665" s="21" t="n"/>
      <c r="V665" s="22">
        <f>IF(U665="A",K665,IF(U665="B",L665,IF(U665="C",M665,IF(N665="A",K665,IF(N665="B",L665,M665)))))</f>
        <v/>
      </c>
      <c r="W665" s="22">
        <f>IF(R665="",O665,MAX(V665-R665-N(S665),0))</f>
        <v/>
      </c>
      <c r="X665" s="20" t="n"/>
      <c r="Y665" s="23">
        <f>IF(OR(X665="",W665=0),"",X665/W665-1)</f>
        <v/>
      </c>
      <c r="Z665" s="24" t="n"/>
      <c r="AA665" s="21" t="n"/>
      <c r="AB665" s="25" t="n"/>
      <c r="AC665" s="26">
        <f>IF(T665="","Chưa quyết định",IF(OR(Z665="",AA665=""),"⚠ Thiếu lý do/người duyệt",IF(AND(X665&lt;&gt;"",N(X665)+N(R665)+N(S665)&gt;M665*1.001,R665&lt;&gt;""),"⚠ Vượt mục tiêu P90",IF(AND(Y665&lt;&gt;"",ABS(N(Y665))&gt;0.3),"⚠ Lệch &gt; 30% so với nhu cầu",IF(Q665="Có","ℹ Kiểm tra ngoại suy KM","✓ Hợp lệ")))))</f>
        <v/>
      </c>
    </row>
    <row r="666">
      <c r="A666" s="16" t="n">
        <v>662</v>
      </c>
      <c r="B666" s="17" t="inlineStr">
        <is>
          <t>DEC-S38-MAGAZINES</t>
        </is>
      </c>
      <c r="C666" s="16" t="n">
        <v>38</v>
      </c>
      <c r="D666" s="17" t="inlineStr">
        <is>
          <t>MAGAZINES</t>
        </is>
      </c>
      <c r="E666" s="17" t="inlineStr">
        <is>
          <t>HIGH</t>
        </is>
      </c>
      <c r="F666" s="17" t="inlineStr">
        <is>
          <t>TRUNG BÌNH</t>
        </is>
      </c>
      <c r="G666" s="18" t="inlineStr">
        <is>
          <t>RISK_HIGH · PROMO_EXTRAPOLATION</t>
        </is>
      </c>
      <c r="H666" s="19" t="n">
        <v>48.17671585083008</v>
      </c>
      <c r="I666" s="19" t="n">
        <v>148.9964637756348</v>
      </c>
      <c r="J666" s="19" t="n">
        <v>285.2827339172363</v>
      </c>
      <c r="K666" s="19" t="n">
        <v>148.9964637756348</v>
      </c>
      <c r="L666" s="19" t="n">
        <v>234.1753826141357</v>
      </c>
      <c r="M666" s="19" t="n">
        <v>285.2827339172363</v>
      </c>
      <c r="N666" s="17" t="inlineStr">
        <is>
          <t>B</t>
        </is>
      </c>
      <c r="O666" s="19" t="n">
        <v>114.9782115936279</v>
      </c>
      <c r="P666" s="18" t="inlineStr">
        <is>
          <t>KHÔNG ĐỀ XUẤT TĂNG</t>
        </is>
      </c>
      <c r="Q666" s="17" t="inlineStr">
        <is>
          <t>Có</t>
        </is>
      </c>
      <c r="R666" s="20" t="n"/>
      <c r="S666" s="20" t="n"/>
      <c r="T666" s="21" t="n"/>
      <c r="U666" s="21" t="n"/>
      <c r="V666" s="22">
        <f>IF(U666="A",K666,IF(U666="B",L666,IF(U666="C",M666,IF(N666="A",K666,IF(N666="B",L666,M666)))))</f>
        <v/>
      </c>
      <c r="W666" s="22">
        <f>IF(R666="",O666,MAX(V666-R666-N(S666),0))</f>
        <v/>
      </c>
      <c r="X666" s="20" t="n"/>
      <c r="Y666" s="23">
        <f>IF(OR(X666="",W666=0),"",X666/W666-1)</f>
        <v/>
      </c>
      <c r="Z666" s="24" t="n"/>
      <c r="AA666" s="21" t="n"/>
      <c r="AB666" s="25" t="n"/>
      <c r="AC666" s="26">
        <f>IF(T666="","Chưa quyết định",IF(OR(Z666="",AA666=""),"⚠ Thiếu lý do/người duyệt",IF(AND(X666&lt;&gt;"",N(X666)+N(R666)+N(S666)&gt;M666*1.001,R666&lt;&gt;""),"⚠ Vượt mục tiêu P90",IF(AND(Y666&lt;&gt;"",ABS(N(Y666))&gt;0.3),"⚠ Lệch &gt; 30% so với nhu cầu",IF(Q666="Có","ℹ Kiểm tra ngoại suy KM","✓ Hợp lệ")))))</f>
        <v/>
      </c>
    </row>
    <row r="667">
      <c r="A667" s="16" t="n">
        <v>663</v>
      </c>
      <c r="B667" s="17" t="inlineStr">
        <is>
          <t>DEC-S15-GROCERY_II</t>
        </is>
      </c>
      <c r="C667" s="16" t="n">
        <v>15</v>
      </c>
      <c r="D667" s="17" t="inlineStr">
        <is>
          <t>GROCERY II</t>
        </is>
      </c>
      <c r="E667" s="17" t="inlineStr">
        <is>
          <t>HIGH</t>
        </is>
      </c>
      <c r="F667" s="17" t="inlineStr">
        <is>
          <t>TRUNG BÌNH</t>
        </is>
      </c>
      <c r="G667" s="18" t="inlineStr">
        <is>
          <t>RISK_HIGH · PROMO_EXTRAPOLATION</t>
        </is>
      </c>
      <c r="H667" s="19" t="n">
        <v>47.35838484764099</v>
      </c>
      <c r="I667" s="19" t="n">
        <v>148.9829246997833</v>
      </c>
      <c r="J667" s="19" t="n">
        <v>294.4500102996826</v>
      </c>
      <c r="K667" s="19" t="n">
        <v>148.9829246997833</v>
      </c>
      <c r="L667" s="19" t="n">
        <v>239.8998531997204</v>
      </c>
      <c r="M667" s="19" t="n">
        <v>294.4500102996826</v>
      </c>
      <c r="N667" s="17" t="inlineStr">
        <is>
          <t>B</t>
        </is>
      </c>
      <c r="O667" s="19" t="n">
        <v>120.7135134398937</v>
      </c>
      <c r="P667" s="18" t="inlineStr">
        <is>
          <t>KHÔNG ĐỀ XUẤT TĂNG</t>
        </is>
      </c>
      <c r="Q667" s="17" t="inlineStr">
        <is>
          <t>Có</t>
        </is>
      </c>
      <c r="R667" s="20" t="n"/>
      <c r="S667" s="20" t="n"/>
      <c r="T667" s="21" t="n"/>
      <c r="U667" s="21" t="n"/>
      <c r="V667" s="22">
        <f>IF(U667="A",K667,IF(U667="B",L667,IF(U667="C",M667,IF(N667="A",K667,IF(N667="B",L667,M667)))))</f>
        <v/>
      </c>
      <c r="W667" s="22">
        <f>IF(R667="",O667,MAX(V667-R667-N(S667),0))</f>
        <v/>
      </c>
      <c r="X667" s="20" t="n"/>
      <c r="Y667" s="23">
        <f>IF(OR(X667="",W667=0),"",X667/W667-1)</f>
        <v/>
      </c>
      <c r="Z667" s="24" t="n"/>
      <c r="AA667" s="21" t="n"/>
      <c r="AB667" s="25" t="n"/>
      <c r="AC667" s="26">
        <f>IF(T667="","Chưa quyết định",IF(OR(Z667="",AA667=""),"⚠ Thiếu lý do/người duyệt",IF(AND(X667&lt;&gt;"",N(X667)+N(R667)+N(S667)&gt;M667*1.001,R667&lt;&gt;""),"⚠ Vượt mục tiêu P90",IF(AND(Y667&lt;&gt;"",ABS(N(Y667))&gt;0.3),"⚠ Lệch &gt; 30% so với nhu cầu",IF(Q667="Có","ℹ Kiểm tra ngoại suy KM","✓ Hợp lệ")))))</f>
        <v/>
      </c>
    </row>
    <row r="668">
      <c r="A668" s="16" t="n">
        <v>664</v>
      </c>
      <c r="B668" s="17" t="inlineStr">
        <is>
          <t>DEC-S31-LINGERIE</t>
        </is>
      </c>
      <c r="C668" s="16" t="n">
        <v>31</v>
      </c>
      <c r="D668" s="17" t="inlineStr">
        <is>
          <t>LINGERIE</t>
        </is>
      </c>
      <c r="E668" s="17" t="inlineStr">
        <is>
          <t>HIGH</t>
        </is>
      </c>
      <c r="F668" s="17" t="inlineStr">
        <is>
          <t>TRUNG BÌNH</t>
        </is>
      </c>
      <c r="G668" s="18" t="inlineStr">
        <is>
          <t>RISK_HIGH · PROMO_EXTRAPOLATION</t>
        </is>
      </c>
      <c r="H668" s="19" t="n">
        <v>42.18192982673645</v>
      </c>
      <c r="I668" s="19" t="n">
        <v>147.4891817569733</v>
      </c>
      <c r="J668" s="19" t="n">
        <v>291.9492876529694</v>
      </c>
      <c r="K668" s="19" t="n">
        <v>147.4891817569733</v>
      </c>
      <c r="L668" s="19" t="n">
        <v>237.7767479419708</v>
      </c>
      <c r="M668" s="19" t="n">
        <v>291.9492876529694</v>
      </c>
      <c r="N668" s="17" t="inlineStr">
        <is>
          <t>B</t>
        </is>
      </c>
      <c r="O668" s="19" t="n">
        <v>119.7854025363922</v>
      </c>
      <c r="P668" s="18" t="inlineStr">
        <is>
          <t>KHÔNG ĐỀ XUẤT TĂNG</t>
        </is>
      </c>
      <c r="Q668" s="17" t="inlineStr">
        <is>
          <t>Có</t>
        </is>
      </c>
      <c r="R668" s="20" t="n"/>
      <c r="S668" s="20" t="n"/>
      <c r="T668" s="21" t="n"/>
      <c r="U668" s="21" t="n"/>
      <c r="V668" s="22">
        <f>IF(U668="A",K668,IF(U668="B",L668,IF(U668="C",M668,IF(N668="A",K668,IF(N668="B",L668,M668)))))</f>
        <v/>
      </c>
      <c r="W668" s="22">
        <f>IF(R668="",O668,MAX(V668-R668-N(S668),0))</f>
        <v/>
      </c>
      <c r="X668" s="20" t="n"/>
      <c r="Y668" s="23">
        <f>IF(OR(X668="",W668=0),"",X668/W668-1)</f>
        <v/>
      </c>
      <c r="Z668" s="24" t="n"/>
      <c r="AA668" s="21" t="n"/>
      <c r="AB668" s="25" t="n"/>
      <c r="AC668" s="26">
        <f>IF(T668="","Chưa quyết định",IF(OR(Z668="",AA668=""),"⚠ Thiếu lý do/người duyệt",IF(AND(X668&lt;&gt;"",N(X668)+N(R668)+N(S668)&gt;M668*1.001,R668&lt;&gt;""),"⚠ Vượt mục tiêu P90",IF(AND(Y668&lt;&gt;"",ABS(N(Y668))&gt;0.3),"⚠ Lệch &gt; 30% so với nhu cầu",IF(Q668="Có","ℹ Kiểm tra ngoại suy KM","✓ Hợp lệ")))))</f>
        <v/>
      </c>
    </row>
    <row r="669">
      <c r="A669" s="16" t="n">
        <v>665</v>
      </c>
      <c r="B669" s="17" t="inlineStr">
        <is>
          <t>DEC-S40-BEAUTY</t>
        </is>
      </c>
      <c r="C669" s="16" t="n">
        <v>40</v>
      </c>
      <c r="D669" s="17" t="inlineStr">
        <is>
          <t>BEAUTY</t>
        </is>
      </c>
      <c r="E669" s="17" t="inlineStr">
        <is>
          <t>HIGH</t>
        </is>
      </c>
      <c r="F669" s="17" t="inlineStr">
        <is>
          <t>TRUNG BÌNH</t>
        </is>
      </c>
      <c r="G669" s="18" t="inlineStr">
        <is>
          <t>RISK_HIGH · PROMO_EXTRAPOLATION</t>
        </is>
      </c>
      <c r="H669" s="19" t="n">
        <v>45.29606342315674</v>
      </c>
      <c r="I669" s="19" t="n">
        <v>146.6079788208008</v>
      </c>
      <c r="J669" s="19" t="n">
        <v>297.8599481582642</v>
      </c>
      <c r="K669" s="19" t="n">
        <v>146.6079788208008</v>
      </c>
      <c r="L669" s="19" t="n">
        <v>241.1404596567154</v>
      </c>
      <c r="M669" s="19" t="n">
        <v>297.8599481582642</v>
      </c>
      <c r="N669" s="17" t="inlineStr">
        <is>
          <t>B</t>
        </is>
      </c>
      <c r="O669" s="19" t="n">
        <v>123.8540766000748</v>
      </c>
      <c r="P669" s="18" t="inlineStr">
        <is>
          <t>CÂN NHẮC THỬ NGHIỆM</t>
        </is>
      </c>
      <c r="Q669" s="17" t="inlineStr">
        <is>
          <t>Có</t>
        </is>
      </c>
      <c r="R669" s="20" t="n"/>
      <c r="S669" s="20" t="n"/>
      <c r="T669" s="21" t="n"/>
      <c r="U669" s="21" t="n"/>
      <c r="V669" s="22">
        <f>IF(U669="A",K669,IF(U669="B",L669,IF(U669="C",M669,IF(N669="A",K669,IF(N669="B",L669,M669)))))</f>
        <v/>
      </c>
      <c r="W669" s="22">
        <f>IF(R669="",O669,MAX(V669-R669-N(S669),0))</f>
        <v/>
      </c>
      <c r="X669" s="20" t="n"/>
      <c r="Y669" s="23">
        <f>IF(OR(X669="",W669=0),"",X669/W669-1)</f>
        <v/>
      </c>
      <c r="Z669" s="24" t="n"/>
      <c r="AA669" s="21" t="n"/>
      <c r="AB669" s="25" t="n"/>
      <c r="AC669" s="26">
        <f>IF(T669="","Chưa quyết định",IF(OR(Z669="",AA669=""),"⚠ Thiếu lý do/người duyệt",IF(AND(X669&lt;&gt;"",N(X669)+N(R669)+N(S669)&gt;M669*1.001,R669&lt;&gt;""),"⚠ Vượt mục tiêu P90",IF(AND(Y669&lt;&gt;"",ABS(N(Y669))&gt;0.3),"⚠ Lệch &gt; 30% so với nhu cầu",IF(Q669="Có","ℹ Kiểm tra ngoại suy KM","✓ Hợp lệ")))))</f>
        <v/>
      </c>
    </row>
    <row r="670">
      <c r="A670" s="16" t="n">
        <v>666</v>
      </c>
      <c r="B670" s="17" t="inlineStr">
        <is>
          <t>DEC-S51-CELEBRATION</t>
        </is>
      </c>
      <c r="C670" s="16" t="n">
        <v>51</v>
      </c>
      <c r="D670" s="17" t="inlineStr">
        <is>
          <t>CELEBRATION</t>
        </is>
      </c>
      <c r="E670" s="17" t="inlineStr">
        <is>
          <t>HIGH</t>
        </is>
      </c>
      <c r="F670" s="17" t="inlineStr">
        <is>
          <t>TRUNG BÌNH</t>
        </is>
      </c>
      <c r="G670" s="18" t="inlineStr">
        <is>
          <t>RISK_HIGH · PROMO_EXTRAPOLATION</t>
        </is>
      </c>
      <c r="H670" s="19" t="n">
        <v>49.18385982513428</v>
      </c>
      <c r="I670" s="19" t="n">
        <v>146.4080410003662</v>
      </c>
      <c r="J670" s="19" t="n">
        <v>280.3053591251373</v>
      </c>
      <c r="K670" s="19" t="n">
        <v>146.4080410003662</v>
      </c>
      <c r="L670" s="19" t="n">
        <v>230.0938648283482</v>
      </c>
      <c r="M670" s="19" t="n">
        <v>280.3053591251373</v>
      </c>
      <c r="N670" s="17" t="inlineStr">
        <is>
          <t>B</t>
        </is>
      </c>
      <c r="O670" s="19" t="n">
        <v>112.9674320280552</v>
      </c>
      <c r="P670" s="18" t="inlineStr">
        <is>
          <t>KHÔNG ĐỀ XUẤT TĂNG</t>
        </is>
      </c>
      <c r="Q670" s="17" t="inlineStr">
        <is>
          <t>Có</t>
        </is>
      </c>
      <c r="R670" s="20" t="n"/>
      <c r="S670" s="20" t="n"/>
      <c r="T670" s="21" t="n"/>
      <c r="U670" s="21" t="n"/>
      <c r="V670" s="22">
        <f>IF(U670="A",K670,IF(U670="B",L670,IF(U670="C",M670,IF(N670="A",K670,IF(N670="B",L670,M670)))))</f>
        <v/>
      </c>
      <c r="W670" s="22">
        <f>IF(R670="",O670,MAX(V670-R670-N(S670),0))</f>
        <v/>
      </c>
      <c r="X670" s="20" t="n"/>
      <c r="Y670" s="23">
        <f>IF(OR(X670="",W670=0),"",X670/W670-1)</f>
        <v/>
      </c>
      <c r="Z670" s="24" t="n"/>
      <c r="AA670" s="21" t="n"/>
      <c r="AB670" s="25" t="n"/>
      <c r="AC670" s="26">
        <f>IF(T670="","Chưa quyết định",IF(OR(Z670="",AA670=""),"⚠ Thiếu lý do/người duyệt",IF(AND(X670&lt;&gt;"",N(X670)+N(R670)+N(S670)&gt;M670*1.001,R670&lt;&gt;""),"⚠ Vượt mục tiêu P90",IF(AND(Y670&lt;&gt;"",ABS(N(Y670))&gt;0.3),"⚠ Lệch &gt; 30% so với nhu cầu",IF(Q670="Có","ℹ Kiểm tra ngoại suy KM","✓ Hợp lệ")))))</f>
        <v/>
      </c>
    </row>
    <row r="671">
      <c r="A671" s="16" t="n">
        <v>667</v>
      </c>
      <c r="B671" s="17" t="inlineStr">
        <is>
          <t>DEC-S17-BEAUTY</t>
        </is>
      </c>
      <c r="C671" s="16" t="n">
        <v>17</v>
      </c>
      <c r="D671" s="17" t="inlineStr">
        <is>
          <t>BEAUTY</t>
        </is>
      </c>
      <c r="E671" s="17" t="inlineStr">
        <is>
          <t>HIGH</t>
        </is>
      </c>
      <c r="F671" s="17" t="inlineStr">
        <is>
          <t>TRUNG BÌNH</t>
        </is>
      </c>
      <c r="G671" s="18" t="inlineStr">
        <is>
          <t>RISK_HIGH · PROMO_EXTRAPOLATION</t>
        </is>
      </c>
      <c r="H671" s="19" t="n">
        <v>44.12761378288269</v>
      </c>
      <c r="I671" s="19" t="n">
        <v>145.6779353618622</v>
      </c>
      <c r="J671" s="19" t="n">
        <v>296.9299046993256</v>
      </c>
      <c r="K671" s="19" t="n">
        <v>145.6779353618622</v>
      </c>
      <c r="L671" s="19" t="n">
        <v>240.2104161977768</v>
      </c>
      <c r="M671" s="19" t="n">
        <v>296.9299046993256</v>
      </c>
      <c r="N671" s="17" t="inlineStr">
        <is>
          <t>B</t>
        </is>
      </c>
      <c r="O671" s="19" t="n">
        <v>123.6680679082871</v>
      </c>
      <c r="P671" s="18" t="inlineStr">
        <is>
          <t>CÂN NHẮC THỬ NGHIỆM</t>
        </is>
      </c>
      <c r="Q671" s="17" t="inlineStr">
        <is>
          <t>Có</t>
        </is>
      </c>
      <c r="R671" s="20" t="n"/>
      <c r="S671" s="20" t="n"/>
      <c r="T671" s="21" t="n"/>
      <c r="U671" s="21" t="n"/>
      <c r="V671" s="22">
        <f>IF(U671="A",K671,IF(U671="B",L671,IF(U671="C",M671,IF(N671="A",K671,IF(N671="B",L671,M671)))))</f>
        <v/>
      </c>
      <c r="W671" s="22">
        <f>IF(R671="",O671,MAX(V671-R671-N(S671),0))</f>
        <v/>
      </c>
      <c r="X671" s="20" t="n"/>
      <c r="Y671" s="23">
        <f>IF(OR(X671="",W671=0),"",X671/W671-1)</f>
        <v/>
      </c>
      <c r="Z671" s="24" t="n"/>
      <c r="AA671" s="21" t="n"/>
      <c r="AB671" s="25" t="n"/>
      <c r="AC671" s="26">
        <f>IF(T671="","Chưa quyết định",IF(OR(Z671="",AA671=""),"⚠ Thiếu lý do/người duyệt",IF(AND(X671&lt;&gt;"",N(X671)+N(R671)+N(S671)&gt;M671*1.001,R671&lt;&gt;""),"⚠ Vượt mục tiêu P90",IF(AND(Y671&lt;&gt;"",ABS(N(Y671))&gt;0.3),"⚠ Lệch &gt; 30% so với nhu cầu",IF(Q671="Có","ℹ Kiểm tra ngoại suy KM","✓ Hợp lệ")))))</f>
        <v/>
      </c>
    </row>
    <row r="672">
      <c r="A672" s="16" t="n">
        <v>668</v>
      </c>
      <c r="B672" s="17" t="inlineStr">
        <is>
          <t>DEC-S37-MAGAZINES</t>
        </is>
      </c>
      <c r="C672" s="16" t="n">
        <v>37</v>
      </c>
      <c r="D672" s="17" t="inlineStr">
        <is>
          <t>MAGAZINES</t>
        </is>
      </c>
      <c r="E672" s="17" t="inlineStr">
        <is>
          <t>HIGH</t>
        </is>
      </c>
      <c r="F672" s="17" t="inlineStr">
        <is>
          <t>TRUNG BÌNH</t>
        </is>
      </c>
      <c r="G672" s="18" t="inlineStr">
        <is>
          <t>RISK_HIGH · PROMO_EXTRAPOLATION</t>
        </is>
      </c>
      <c r="H672" s="19" t="n">
        <v>44.13095283508301</v>
      </c>
      <c r="I672" s="19" t="n">
        <v>144.9507007598877</v>
      </c>
      <c r="J672" s="19" t="n">
        <v>281.2369709014893</v>
      </c>
      <c r="K672" s="19" t="n">
        <v>144.9507007598877</v>
      </c>
      <c r="L672" s="19" t="n">
        <v>230.1296195983887</v>
      </c>
      <c r="M672" s="19" t="n">
        <v>281.2369709014893</v>
      </c>
      <c r="N672" s="17" t="inlineStr">
        <is>
          <t>B</t>
        </is>
      </c>
      <c r="O672" s="19" t="n">
        <v>114.1690589904785</v>
      </c>
      <c r="P672" s="18" t="inlineStr">
        <is>
          <t>KHÔNG ĐỀ XUẤT TĂNG</t>
        </is>
      </c>
      <c r="Q672" s="17" t="inlineStr">
        <is>
          <t>Có</t>
        </is>
      </c>
      <c r="R672" s="20" t="n"/>
      <c r="S672" s="20" t="n"/>
      <c r="T672" s="21" t="n"/>
      <c r="U672" s="21" t="n"/>
      <c r="V672" s="22">
        <f>IF(U672="A",K672,IF(U672="B",L672,IF(U672="C",M672,IF(N672="A",K672,IF(N672="B",L672,M672)))))</f>
        <v/>
      </c>
      <c r="W672" s="22">
        <f>IF(R672="",O672,MAX(V672-R672-N(S672),0))</f>
        <v/>
      </c>
      <c r="X672" s="20" t="n"/>
      <c r="Y672" s="23">
        <f>IF(OR(X672="",W672=0),"",X672/W672-1)</f>
        <v/>
      </c>
      <c r="Z672" s="24" t="n"/>
      <c r="AA672" s="21" t="n"/>
      <c r="AB672" s="25" t="n"/>
      <c r="AC672" s="26">
        <f>IF(T672="","Chưa quyết định",IF(OR(Z672="",AA672=""),"⚠ Thiếu lý do/người duyệt",IF(AND(X672&lt;&gt;"",N(X672)+N(R672)+N(S672)&gt;M672*1.001,R672&lt;&gt;""),"⚠ Vượt mục tiêu P90",IF(AND(Y672&lt;&gt;"",ABS(N(Y672))&gt;0.3),"⚠ Lệch &gt; 30% so với nhu cầu",IF(Q672="Có","ℹ Kiểm tra ngoại suy KM","✓ Hợp lệ")))))</f>
        <v/>
      </c>
    </row>
    <row r="673">
      <c r="A673" s="16" t="n">
        <v>669</v>
      </c>
      <c r="B673" s="17" t="inlineStr">
        <is>
          <t>DEC-S04-CELEBRATION</t>
        </is>
      </c>
      <c r="C673" s="16" t="n">
        <v>4</v>
      </c>
      <c r="D673" s="17" t="inlineStr">
        <is>
          <t>CELEBRATION</t>
        </is>
      </c>
      <c r="E673" s="17" t="inlineStr">
        <is>
          <t>HIGH</t>
        </is>
      </c>
      <c r="F673" s="17" t="inlineStr">
        <is>
          <t>TRUNG BÌNH</t>
        </is>
      </c>
      <c r="G673" s="18" t="inlineStr">
        <is>
          <t>RISK_HIGH · PROMO_EXTRAPOLATION</t>
        </is>
      </c>
      <c r="H673" s="19" t="n">
        <v>46.88997507095337</v>
      </c>
      <c r="I673" s="19" t="n">
        <v>144.1141562461853</v>
      </c>
      <c r="J673" s="19" t="n">
        <v>278.0114743709564</v>
      </c>
      <c r="K673" s="19" t="n">
        <v>144.1141562461853</v>
      </c>
      <c r="L673" s="19" t="n">
        <v>227.7999800741673</v>
      </c>
      <c r="M673" s="19" t="n">
        <v>278.0114743709564</v>
      </c>
      <c r="N673" s="17" t="inlineStr">
        <is>
          <t>B</t>
        </is>
      </c>
      <c r="O673" s="19" t="n">
        <v>112.508655077219</v>
      </c>
      <c r="P673" s="18" t="inlineStr">
        <is>
          <t>KHÔNG ĐỀ XUẤT TĂNG</t>
        </is>
      </c>
      <c r="Q673" s="17" t="inlineStr">
        <is>
          <t>Có</t>
        </is>
      </c>
      <c r="R673" s="20" t="n"/>
      <c r="S673" s="20" t="n"/>
      <c r="T673" s="21" t="n"/>
      <c r="U673" s="21" t="n"/>
      <c r="V673" s="22">
        <f>IF(U673="A",K673,IF(U673="B",L673,IF(U673="C",M673,IF(N673="A",K673,IF(N673="B",L673,M673)))))</f>
        <v/>
      </c>
      <c r="W673" s="22">
        <f>IF(R673="",O673,MAX(V673-R673-N(S673),0))</f>
        <v/>
      </c>
      <c r="X673" s="20" t="n"/>
      <c r="Y673" s="23">
        <f>IF(OR(X673="",W673=0),"",X673/W673-1)</f>
        <v/>
      </c>
      <c r="Z673" s="24" t="n"/>
      <c r="AA673" s="21" t="n"/>
      <c r="AB673" s="25" t="n"/>
      <c r="AC673" s="26">
        <f>IF(T673="","Chưa quyết định",IF(OR(Z673="",AA673=""),"⚠ Thiếu lý do/người duyệt",IF(AND(X673&lt;&gt;"",N(X673)+N(R673)+N(S673)&gt;M673*1.001,R673&lt;&gt;""),"⚠ Vượt mục tiêu P90",IF(AND(Y673&lt;&gt;"",ABS(N(Y673))&gt;0.3),"⚠ Lệch &gt; 30% so với nhu cầu",IF(Q673="Có","ℹ Kiểm tra ngoại suy KM","✓ Hợp lệ")))))</f>
        <v/>
      </c>
    </row>
    <row r="674">
      <c r="A674" s="16" t="n">
        <v>670</v>
      </c>
      <c r="B674" s="17" t="inlineStr">
        <is>
          <t>DEC-S36-GROCERY_II</t>
        </is>
      </c>
      <c r="C674" s="16" t="n">
        <v>36</v>
      </c>
      <c r="D674" s="17" t="inlineStr">
        <is>
          <t>GROCERY II</t>
        </is>
      </c>
      <c r="E674" s="17" t="inlineStr">
        <is>
          <t>HIGH</t>
        </is>
      </c>
      <c r="F674" s="17" t="inlineStr">
        <is>
          <t>TRUNG BÌNH</t>
        </is>
      </c>
      <c r="G674" s="18" t="inlineStr">
        <is>
          <t>RISK_HIGH · PROMO_EXTRAPOLATION</t>
        </is>
      </c>
      <c r="H674" s="19" t="n">
        <v>43.26628518104553</v>
      </c>
      <c r="I674" s="19" t="n">
        <v>142.887672662735</v>
      </c>
      <c r="J674" s="19" t="n">
        <v>282.5698745250702</v>
      </c>
      <c r="K674" s="19" t="n">
        <v>142.887672662735</v>
      </c>
      <c r="L674" s="19" t="n">
        <v>230.1890488266945</v>
      </c>
      <c r="M674" s="19" t="n">
        <v>282.5698745250702</v>
      </c>
      <c r="N674" s="17" t="inlineStr">
        <is>
          <t>B</t>
        </is>
      </c>
      <c r="O674" s="19" t="n">
        <v>115.8789106965065</v>
      </c>
      <c r="P674" s="18" t="inlineStr">
        <is>
          <t>KHÔNG ĐỀ XUẤT TĂNG</t>
        </is>
      </c>
      <c r="Q674" s="17" t="inlineStr">
        <is>
          <t>Có</t>
        </is>
      </c>
      <c r="R674" s="20" t="n"/>
      <c r="S674" s="20" t="n"/>
      <c r="T674" s="21" t="n"/>
      <c r="U674" s="21" t="n"/>
      <c r="V674" s="22">
        <f>IF(U674="A",K674,IF(U674="B",L674,IF(U674="C",M674,IF(N674="A",K674,IF(N674="B",L674,M674)))))</f>
        <v/>
      </c>
      <c r="W674" s="22">
        <f>IF(R674="",O674,MAX(V674-R674-N(S674),0))</f>
        <v/>
      </c>
      <c r="X674" s="20" t="n"/>
      <c r="Y674" s="23">
        <f>IF(OR(X674="",W674=0),"",X674/W674-1)</f>
        <v/>
      </c>
      <c r="Z674" s="24" t="n"/>
      <c r="AA674" s="21" t="n"/>
      <c r="AB674" s="25" t="n"/>
      <c r="AC674" s="26">
        <f>IF(T674="","Chưa quyết định",IF(OR(Z674="",AA674=""),"⚠ Thiếu lý do/người duyệt",IF(AND(X674&lt;&gt;"",N(X674)+N(R674)+N(S674)&gt;M674*1.001,R674&lt;&gt;""),"⚠ Vượt mục tiêu P90",IF(AND(Y674&lt;&gt;"",ABS(N(Y674))&gt;0.3),"⚠ Lệch &gt; 30% so với nhu cầu",IF(Q674="Có","ℹ Kiểm tra ngoại suy KM","✓ Hợp lệ")))))</f>
        <v/>
      </c>
    </row>
    <row r="675">
      <c r="A675" s="16" t="n">
        <v>671</v>
      </c>
      <c r="B675" s="17" t="inlineStr">
        <is>
          <t>DEC-S41-MAGAZINES</t>
        </is>
      </c>
      <c r="C675" s="16" t="n">
        <v>41</v>
      </c>
      <c r="D675" s="17" t="inlineStr">
        <is>
          <t>MAGAZINES</t>
        </is>
      </c>
      <c r="E675" s="17" t="inlineStr">
        <is>
          <t>HIGH</t>
        </is>
      </c>
      <c r="F675" s="17" t="inlineStr">
        <is>
          <t>TRUNG BÌNH</t>
        </is>
      </c>
      <c r="G675" s="18" t="inlineStr">
        <is>
          <t>RISK_HIGH · PROMO_EXTRAPOLATION</t>
        </is>
      </c>
      <c r="H675" s="19" t="n">
        <v>42.03316020965576</v>
      </c>
      <c r="I675" s="19" t="n">
        <v>142.8529081344604</v>
      </c>
      <c r="J675" s="19" t="n">
        <v>279.139178276062</v>
      </c>
      <c r="K675" s="19" t="n">
        <v>142.8529081344604</v>
      </c>
      <c r="L675" s="19" t="n">
        <v>228.0318269729614</v>
      </c>
      <c r="M675" s="19" t="n">
        <v>279.139178276062</v>
      </c>
      <c r="N675" s="17" t="inlineStr">
        <is>
          <t>B</t>
        </is>
      </c>
      <c r="O675" s="19" t="n">
        <v>113.7495004653931</v>
      </c>
      <c r="P675" s="18" t="inlineStr">
        <is>
          <t>KHÔNG ĐỀ XUẤT TĂNG</t>
        </is>
      </c>
      <c r="Q675" s="17" t="inlineStr">
        <is>
          <t>Có</t>
        </is>
      </c>
      <c r="R675" s="20" t="n"/>
      <c r="S675" s="20" t="n"/>
      <c r="T675" s="21" t="n"/>
      <c r="U675" s="21" t="n"/>
      <c r="V675" s="22">
        <f>IF(U675="A",K675,IF(U675="B",L675,IF(U675="C",M675,IF(N675="A",K675,IF(N675="B",L675,M675)))))</f>
        <v/>
      </c>
      <c r="W675" s="22">
        <f>IF(R675="",O675,MAX(V675-R675-N(S675),0))</f>
        <v/>
      </c>
      <c r="X675" s="20" t="n"/>
      <c r="Y675" s="23">
        <f>IF(OR(X675="",W675=0),"",X675/W675-1)</f>
        <v/>
      </c>
      <c r="Z675" s="24" t="n"/>
      <c r="AA675" s="21" t="n"/>
      <c r="AB675" s="25" t="n"/>
      <c r="AC675" s="26">
        <f>IF(T675="","Chưa quyết định",IF(OR(Z675="",AA675=""),"⚠ Thiếu lý do/người duyệt",IF(AND(X675&lt;&gt;"",N(X675)+N(R675)+N(S675)&gt;M675*1.001,R675&lt;&gt;""),"⚠ Vượt mục tiêu P90",IF(AND(Y675&lt;&gt;"",ABS(N(Y675))&gt;0.3),"⚠ Lệch &gt; 30% so với nhu cầu",IF(Q675="Có","ℹ Kiểm tra ngoại suy KM","✓ Hợp lệ")))))</f>
        <v/>
      </c>
    </row>
    <row r="676">
      <c r="A676" s="16" t="n">
        <v>672</v>
      </c>
      <c r="B676" s="17" t="inlineStr">
        <is>
          <t>DEC-S20-CELEBRATION</t>
        </is>
      </c>
      <c r="C676" s="16" t="n">
        <v>20</v>
      </c>
      <c r="D676" s="17" t="inlineStr">
        <is>
          <t>CELEBRATION</t>
        </is>
      </c>
      <c r="E676" s="17" t="inlineStr">
        <is>
          <t>HIGH</t>
        </is>
      </c>
      <c r="F676" s="17" t="inlineStr">
        <is>
          <t>TRUNG BÌNH</t>
        </is>
      </c>
      <c r="G676" s="18" t="inlineStr">
        <is>
          <t>RISK_HIGH · PROMO_EXTRAPOLATION</t>
        </is>
      </c>
      <c r="H676" s="19" t="n">
        <v>49.04626226425171</v>
      </c>
      <c r="I676" s="19" t="n">
        <v>142.6748766899109</v>
      </c>
      <c r="J676" s="19" t="n">
        <v>274.1832427978516</v>
      </c>
      <c r="K676" s="19" t="n">
        <v>142.6748766899109</v>
      </c>
      <c r="L676" s="19" t="n">
        <v>224.8676055073738</v>
      </c>
      <c r="M676" s="19" t="n">
        <v>274.1832427978516</v>
      </c>
      <c r="N676" s="17" t="inlineStr">
        <is>
          <t>B</t>
        </is>
      </c>
      <c r="O676" s="19" t="n">
        <v>110.7277041554451</v>
      </c>
      <c r="P676" s="18" t="inlineStr">
        <is>
          <t>KHÔNG ĐỀ XUẤT TĂNG</t>
        </is>
      </c>
      <c r="Q676" s="17" t="inlineStr">
        <is>
          <t>Có</t>
        </is>
      </c>
      <c r="R676" s="20" t="n"/>
      <c r="S676" s="20" t="n"/>
      <c r="T676" s="21" t="n"/>
      <c r="U676" s="21" t="n"/>
      <c r="V676" s="22">
        <f>IF(U676="A",K676,IF(U676="B",L676,IF(U676="C",M676,IF(N676="A",K676,IF(N676="B",L676,M676)))))</f>
        <v/>
      </c>
      <c r="W676" s="22">
        <f>IF(R676="",O676,MAX(V676-R676-N(S676),0))</f>
        <v/>
      </c>
      <c r="X676" s="20" t="n"/>
      <c r="Y676" s="23">
        <f>IF(OR(X676="",W676=0),"",X676/W676-1)</f>
        <v/>
      </c>
      <c r="Z676" s="24" t="n"/>
      <c r="AA676" s="21" t="n"/>
      <c r="AB676" s="25" t="n"/>
      <c r="AC676" s="26">
        <f>IF(T676="","Chưa quyết định",IF(OR(Z676="",AA676=""),"⚠ Thiếu lý do/người duyệt",IF(AND(X676&lt;&gt;"",N(X676)+N(R676)+N(S676)&gt;M676*1.001,R676&lt;&gt;""),"⚠ Vượt mục tiêu P90",IF(AND(Y676&lt;&gt;"",ABS(N(Y676))&gt;0.3),"⚠ Lệch &gt; 30% so với nhu cầu",IF(Q676="Có","ℹ Kiểm tra ngoại suy KM","✓ Hợp lệ")))))</f>
        <v/>
      </c>
    </row>
    <row r="677">
      <c r="A677" s="16" t="n">
        <v>673</v>
      </c>
      <c r="B677" s="17" t="inlineStr">
        <is>
          <t>DEC-S09-PLAYERS_AND_ELECTRONICS</t>
        </is>
      </c>
      <c r="C677" s="16" t="n">
        <v>9</v>
      </c>
      <c r="D677" s="17" t="inlineStr">
        <is>
          <t>PLAYERS AND ELECTRONICS</t>
        </is>
      </c>
      <c r="E677" s="17" t="inlineStr">
        <is>
          <t>HIGH</t>
        </is>
      </c>
      <c r="F677" s="17" t="inlineStr">
        <is>
          <t>TRUNG BÌNH</t>
        </is>
      </c>
      <c r="G677" s="18" t="inlineStr">
        <is>
          <t>RISK_HIGH · PROMO_EXTRAPOLATION</t>
        </is>
      </c>
      <c r="H677" s="19" t="n">
        <v>42.0462691783905</v>
      </c>
      <c r="I677" s="19" t="n">
        <v>141.66765666008</v>
      </c>
      <c r="J677" s="19" t="n">
        <v>281.3498585224152</v>
      </c>
      <c r="K677" s="19" t="n">
        <v>141.66765666008</v>
      </c>
      <c r="L677" s="19" t="n">
        <v>228.9690328240395</v>
      </c>
      <c r="M677" s="19" t="n">
        <v>281.3498585224152</v>
      </c>
      <c r="N677" s="17" t="inlineStr">
        <is>
          <t>B</t>
        </is>
      </c>
      <c r="O677" s="19" t="n">
        <v>115.6349074959755</v>
      </c>
      <c r="P677" s="18" t="inlineStr">
        <is>
          <t>KHÔNG ĐỀ XUẤT TĂNG</t>
        </is>
      </c>
      <c r="Q677" s="17" t="inlineStr">
        <is>
          <t>Có</t>
        </is>
      </c>
      <c r="R677" s="20" t="n"/>
      <c r="S677" s="20" t="n"/>
      <c r="T677" s="21" t="n"/>
      <c r="U677" s="21" t="n"/>
      <c r="V677" s="22">
        <f>IF(U677="A",K677,IF(U677="B",L677,IF(U677="C",M677,IF(N677="A",K677,IF(N677="B",L677,M677)))))</f>
        <v/>
      </c>
      <c r="W677" s="22">
        <f>IF(R677="",O677,MAX(V677-R677-N(S677),0))</f>
        <v/>
      </c>
      <c r="X677" s="20" t="n"/>
      <c r="Y677" s="23">
        <f>IF(OR(X677="",W677=0),"",X677/W677-1)</f>
        <v/>
      </c>
      <c r="Z677" s="24" t="n"/>
      <c r="AA677" s="21" t="n"/>
      <c r="AB677" s="25" t="n"/>
      <c r="AC677" s="26">
        <f>IF(T677="","Chưa quyết định",IF(OR(Z677="",AA677=""),"⚠ Thiếu lý do/người duyệt",IF(AND(X677&lt;&gt;"",N(X677)+N(R677)+N(S677)&gt;M677*1.001,R677&lt;&gt;""),"⚠ Vượt mục tiêu P90",IF(AND(Y677&lt;&gt;"",ABS(N(Y677))&gt;0.3),"⚠ Lệch &gt; 30% so với nhu cầu",IF(Q677="Có","ℹ Kiểm tra ngoại suy KM","✓ Hợp lệ")))))</f>
        <v/>
      </c>
    </row>
    <row r="678">
      <c r="A678" s="16" t="n">
        <v>674</v>
      </c>
      <c r="B678" s="17" t="inlineStr">
        <is>
          <t>DEC-S04-PLAYERS_AND_ELECTRONICS</t>
        </is>
      </c>
      <c r="C678" s="16" t="n">
        <v>4</v>
      </c>
      <c r="D678" s="17" t="inlineStr">
        <is>
          <t>PLAYERS AND ELECTRONICS</t>
        </is>
      </c>
      <c r="E678" s="17" t="inlineStr">
        <is>
          <t>HIGH</t>
        </is>
      </c>
      <c r="F678" s="17" t="inlineStr">
        <is>
          <t>TRUNG BÌNH</t>
        </is>
      </c>
      <c r="G678" s="18" t="inlineStr">
        <is>
          <t>RISK_HIGH · PROMO_EXTRAPOLATION</t>
        </is>
      </c>
      <c r="H678" s="19" t="n">
        <v>40.18422222137451</v>
      </c>
      <c r="I678" s="19" t="n">
        <v>141.0039701461792</v>
      </c>
      <c r="J678" s="19" t="n">
        <v>277.2902402877808</v>
      </c>
      <c r="K678" s="19" t="n">
        <v>141.0039701461792</v>
      </c>
      <c r="L678" s="19" t="n">
        <v>226.1828889846802</v>
      </c>
      <c r="M678" s="19" t="n">
        <v>277.2902402877808</v>
      </c>
      <c r="N678" s="17" t="inlineStr">
        <is>
          <t>B</t>
        </is>
      </c>
      <c r="O678" s="19" t="n">
        <v>113.3797128677368</v>
      </c>
      <c r="P678" s="18" t="inlineStr">
        <is>
          <t>KHÔNG ĐỀ XUẤT TĂNG</t>
        </is>
      </c>
      <c r="Q678" s="17" t="inlineStr">
        <is>
          <t>Có</t>
        </is>
      </c>
      <c r="R678" s="20" t="n"/>
      <c r="S678" s="20" t="n"/>
      <c r="T678" s="21" t="n"/>
      <c r="U678" s="21" t="n"/>
      <c r="V678" s="22">
        <f>IF(U678="A",K678,IF(U678="B",L678,IF(U678="C",M678,IF(N678="A",K678,IF(N678="B",L678,M678)))))</f>
        <v/>
      </c>
      <c r="W678" s="22">
        <f>IF(R678="",O678,MAX(V678-R678-N(S678),0))</f>
        <v/>
      </c>
      <c r="X678" s="20" t="n"/>
      <c r="Y678" s="23">
        <f>IF(OR(X678="",W678=0),"",X678/W678-1)</f>
        <v/>
      </c>
      <c r="Z678" s="24" t="n"/>
      <c r="AA678" s="21" t="n"/>
      <c r="AB678" s="25" t="n"/>
      <c r="AC678" s="26">
        <f>IF(T678="","Chưa quyết định",IF(OR(Z678="",AA678=""),"⚠ Thiếu lý do/người duyệt",IF(AND(X678&lt;&gt;"",N(X678)+N(R678)+N(S678)&gt;M678*1.001,R678&lt;&gt;""),"⚠ Vượt mục tiêu P90",IF(AND(Y678&lt;&gt;"",ABS(N(Y678))&gt;0.3),"⚠ Lệch &gt; 30% so với nhu cầu",IF(Q678="Có","ℹ Kiểm tra ngoại suy KM","✓ Hợp lệ")))))</f>
        <v/>
      </c>
    </row>
    <row r="679">
      <c r="A679" s="16" t="n">
        <v>675</v>
      </c>
      <c r="B679" s="17" t="inlineStr">
        <is>
          <t>DEC-S39-AUTOMOTIVE</t>
        </is>
      </c>
      <c r="C679" s="16" t="n">
        <v>39</v>
      </c>
      <c r="D679" s="17" t="inlineStr">
        <is>
          <t>AUTOMOTIVE</t>
        </is>
      </c>
      <c r="E679" s="17" t="inlineStr">
        <is>
          <t>HIGH</t>
        </is>
      </c>
      <c r="F679" s="17" t="inlineStr">
        <is>
          <t>TRUNG BÌNH</t>
        </is>
      </c>
      <c r="G679" s="18" t="inlineStr">
        <is>
          <t>RISK_HIGH · PROMO_EXTRAPOLATION</t>
        </is>
      </c>
      <c r="H679" s="19" t="n">
        <v>43.73360466957092</v>
      </c>
      <c r="I679" s="19" t="n">
        <v>140.9577858448029</v>
      </c>
      <c r="J679" s="19" t="n">
        <v>274.855103969574</v>
      </c>
      <c r="K679" s="19" t="n">
        <v>140.9577858448029</v>
      </c>
      <c r="L679" s="19" t="n">
        <v>224.6436096727848</v>
      </c>
      <c r="M679" s="19" t="n">
        <v>274.855103969574</v>
      </c>
      <c r="N679" s="17" t="inlineStr">
        <is>
          <t>B</t>
        </is>
      </c>
      <c r="O679" s="19" t="n">
        <v>111.8773809969425</v>
      </c>
      <c r="P679" s="18" t="inlineStr">
        <is>
          <t>KHÔNG ĐỀ XUẤT TĂNG</t>
        </is>
      </c>
      <c r="Q679" s="17" t="inlineStr">
        <is>
          <t>Có</t>
        </is>
      </c>
      <c r="R679" s="20" t="n"/>
      <c r="S679" s="20" t="n"/>
      <c r="T679" s="21" t="n"/>
      <c r="U679" s="21" t="n"/>
      <c r="V679" s="22">
        <f>IF(U679="A",K679,IF(U679="B",L679,IF(U679="C",M679,IF(N679="A",K679,IF(N679="B",L679,M679)))))</f>
        <v/>
      </c>
      <c r="W679" s="22">
        <f>IF(R679="",O679,MAX(V679-R679-N(S679),0))</f>
        <v/>
      </c>
      <c r="X679" s="20" t="n"/>
      <c r="Y679" s="23">
        <f>IF(OR(X679="",W679=0),"",X679/W679-1)</f>
        <v/>
      </c>
      <c r="Z679" s="24" t="n"/>
      <c r="AA679" s="21" t="n"/>
      <c r="AB679" s="25" t="n"/>
      <c r="AC679" s="26">
        <f>IF(T679="","Chưa quyết định",IF(OR(Z679="",AA679=""),"⚠ Thiếu lý do/người duyệt",IF(AND(X679&lt;&gt;"",N(X679)+N(R679)+N(S679)&gt;M679*1.001,R679&lt;&gt;""),"⚠ Vượt mục tiêu P90",IF(AND(Y679&lt;&gt;"",ABS(N(Y679))&gt;0.3),"⚠ Lệch &gt; 30% so với nhu cầu",IF(Q679="Có","ℹ Kiểm tra ngoại suy KM","✓ Hợp lệ")))))</f>
        <v/>
      </c>
    </row>
    <row r="680">
      <c r="A680" s="16" t="n">
        <v>676</v>
      </c>
      <c r="B680" s="17" t="inlineStr">
        <is>
          <t>DEC-S05-LAWN_AND_GARDEN</t>
        </is>
      </c>
      <c r="C680" s="16" t="n">
        <v>5</v>
      </c>
      <c r="D680" s="17" t="inlineStr">
        <is>
          <t>LAWN AND GARDEN</t>
        </is>
      </c>
      <c r="E680" s="17" t="inlineStr">
        <is>
          <t>HIGH</t>
        </is>
      </c>
      <c r="F680" s="17" t="inlineStr">
        <is>
          <t>TRUNG BÌNH</t>
        </is>
      </c>
      <c r="G680" s="18" t="inlineStr">
        <is>
          <t>RISK_HIGH · PROMO_EXTRAPOLATION</t>
        </is>
      </c>
      <c r="H680" s="19" t="n">
        <v>39.05036234855652</v>
      </c>
      <c r="I680" s="19" t="n">
        <v>140.8653531074524</v>
      </c>
      <c r="J680" s="19" t="n">
        <v>286.3324387073517</v>
      </c>
      <c r="K680" s="19" t="n">
        <v>140.8653531074524</v>
      </c>
      <c r="L680" s="19" t="n">
        <v>231.7822816073895</v>
      </c>
      <c r="M680" s="19" t="n">
        <v>286.3324387073517</v>
      </c>
      <c r="N680" s="17" t="inlineStr">
        <is>
          <t>B</t>
        </is>
      </c>
      <c r="O680" s="19" t="n">
        <v>119.0899991214275</v>
      </c>
      <c r="P680" s="18" t="inlineStr">
        <is>
          <t>CÂN NHẮC THỬ NGHIỆM</t>
        </is>
      </c>
      <c r="Q680" s="17" t="inlineStr">
        <is>
          <t>Có</t>
        </is>
      </c>
      <c r="R680" s="20" t="n"/>
      <c r="S680" s="20" t="n"/>
      <c r="T680" s="21" t="n"/>
      <c r="U680" s="21" t="n"/>
      <c r="V680" s="22">
        <f>IF(U680="A",K680,IF(U680="B",L680,IF(U680="C",M680,IF(N680="A",K680,IF(N680="B",L680,M680)))))</f>
        <v/>
      </c>
      <c r="W680" s="22">
        <f>IF(R680="",O680,MAX(V680-R680-N(S680),0))</f>
        <v/>
      </c>
      <c r="X680" s="20" t="n"/>
      <c r="Y680" s="23">
        <f>IF(OR(X680="",W680=0),"",X680/W680-1)</f>
        <v/>
      </c>
      <c r="Z680" s="24" t="n"/>
      <c r="AA680" s="21" t="n"/>
      <c r="AB680" s="25" t="n"/>
      <c r="AC680" s="26">
        <f>IF(T680="","Chưa quyết định",IF(OR(Z680="",AA680=""),"⚠ Thiếu lý do/người duyệt",IF(AND(X680&lt;&gt;"",N(X680)+N(R680)+N(S680)&gt;M680*1.001,R680&lt;&gt;""),"⚠ Vượt mục tiêu P90",IF(AND(Y680&lt;&gt;"",ABS(N(Y680))&gt;0.3),"⚠ Lệch &gt; 30% so với nhu cầu",IF(Q680="Có","ℹ Kiểm tra ngoại suy KM","✓ Hợp lệ")))))</f>
        <v/>
      </c>
    </row>
    <row r="681">
      <c r="A681" s="16" t="n">
        <v>677</v>
      </c>
      <c r="B681" s="17" t="inlineStr">
        <is>
          <t>DEC-S43-BEAUTY</t>
        </is>
      </c>
      <c r="C681" s="16" t="n">
        <v>43</v>
      </c>
      <c r="D681" s="17" t="inlineStr">
        <is>
          <t>BEAUTY</t>
        </is>
      </c>
      <c r="E681" s="17" t="inlineStr">
        <is>
          <t>HIGH</t>
        </is>
      </c>
      <c r="F681" s="17" t="inlineStr">
        <is>
          <t>TRUNG BÌNH</t>
        </is>
      </c>
      <c r="G681" s="18" t="inlineStr">
        <is>
          <t>RISK_HIGH · PROMO_EXTRAPOLATION</t>
        </is>
      </c>
      <c r="H681" s="19" t="n">
        <v>42.48048613071442</v>
      </c>
      <c r="I681" s="19" t="n">
        <v>140.2516140341759</v>
      </c>
      <c r="J681" s="19" t="n">
        <v>289.3744976878166</v>
      </c>
      <c r="K681" s="19" t="n">
        <v>140.2516140341759</v>
      </c>
      <c r="L681" s="19" t="n">
        <v>233.4534163177013</v>
      </c>
      <c r="M681" s="19" t="n">
        <v>289.3744976878166</v>
      </c>
      <c r="N681" s="17" t="inlineStr">
        <is>
          <t>B</t>
        </is>
      </c>
      <c r="O681" s="19" t="n">
        <v>121.2521250903606</v>
      </c>
      <c r="P681" s="18" t="inlineStr">
        <is>
          <t>CÂN NHẮC THỬ NGHIỆM</t>
        </is>
      </c>
      <c r="Q681" s="17" t="inlineStr">
        <is>
          <t>Có</t>
        </is>
      </c>
      <c r="R681" s="20" t="n"/>
      <c r="S681" s="20" t="n"/>
      <c r="T681" s="21" t="n"/>
      <c r="U681" s="21" t="n"/>
      <c r="V681" s="22">
        <f>IF(U681="A",K681,IF(U681="B",L681,IF(U681="C",M681,IF(N681="A",K681,IF(N681="B",L681,M681)))))</f>
        <v/>
      </c>
      <c r="W681" s="22">
        <f>IF(R681="",O681,MAX(V681-R681-N(S681),0))</f>
        <v/>
      </c>
      <c r="X681" s="20" t="n"/>
      <c r="Y681" s="23">
        <f>IF(OR(X681="",W681=0),"",X681/W681-1)</f>
        <v/>
      </c>
      <c r="Z681" s="24" t="n"/>
      <c r="AA681" s="21" t="n"/>
      <c r="AB681" s="25" t="n"/>
      <c r="AC681" s="26">
        <f>IF(T681="","Chưa quyết định",IF(OR(Z681="",AA681=""),"⚠ Thiếu lý do/người duyệt",IF(AND(X681&lt;&gt;"",N(X681)+N(R681)+N(S681)&gt;M681*1.001,R681&lt;&gt;""),"⚠ Vượt mục tiêu P90",IF(AND(Y681&lt;&gt;"",ABS(N(Y681))&gt;0.3),"⚠ Lệch &gt; 30% so với nhu cầu",IF(Q681="Có","ℹ Kiểm tra ngoại suy KM","✓ Hợp lệ")))))</f>
        <v/>
      </c>
    </row>
    <row r="682">
      <c r="A682" s="16" t="n">
        <v>678</v>
      </c>
      <c r="B682" s="17" t="inlineStr">
        <is>
          <t>DEC-S34-CELEBRATION</t>
        </is>
      </c>
      <c r="C682" s="16" t="n">
        <v>34</v>
      </c>
      <c r="D682" s="17" t="inlineStr">
        <is>
          <t>CELEBRATION</t>
        </is>
      </c>
      <c r="E682" s="17" t="inlineStr">
        <is>
          <t>HIGH</t>
        </is>
      </c>
      <c r="F682" s="17" t="inlineStr">
        <is>
          <t>TRUNG BÌNH</t>
        </is>
      </c>
      <c r="G682" s="18" t="inlineStr">
        <is>
          <t>RISK_HIGH · PROMO_EXTRAPOLATION</t>
        </is>
      </c>
      <c r="H682" s="19" t="n">
        <v>37.01019454002381</v>
      </c>
      <c r="I682" s="19" t="n">
        <v>140.227148771286</v>
      </c>
      <c r="J682" s="19" t="n">
        <v>282.2983026504517</v>
      </c>
      <c r="K682" s="19" t="n">
        <v>140.227148771286</v>
      </c>
      <c r="L682" s="19" t="n">
        <v>229.0216199457645</v>
      </c>
      <c r="M682" s="19" t="n">
        <v>282.2983026504517</v>
      </c>
      <c r="N682" s="17" t="inlineStr">
        <is>
          <t>B</t>
        </is>
      </c>
      <c r="O682" s="19" t="n">
        <v>116.8399009287357</v>
      </c>
      <c r="P682" s="18" t="inlineStr">
        <is>
          <t>KHÔNG ĐỀ XUẤT TĂNG</t>
        </is>
      </c>
      <c r="Q682" s="17" t="inlineStr">
        <is>
          <t>Có</t>
        </is>
      </c>
      <c r="R682" s="20" t="n"/>
      <c r="S682" s="20" t="n"/>
      <c r="T682" s="21" t="n"/>
      <c r="U682" s="21" t="n"/>
      <c r="V682" s="22">
        <f>IF(U682="A",K682,IF(U682="B",L682,IF(U682="C",M682,IF(N682="A",K682,IF(N682="B",L682,M682)))))</f>
        <v/>
      </c>
      <c r="W682" s="22">
        <f>IF(R682="",O682,MAX(V682-R682-N(S682),0))</f>
        <v/>
      </c>
      <c r="X682" s="20" t="n"/>
      <c r="Y682" s="23">
        <f>IF(OR(X682="",W682=0),"",X682/W682-1)</f>
        <v/>
      </c>
      <c r="Z682" s="24" t="n"/>
      <c r="AA682" s="21" t="n"/>
      <c r="AB682" s="25" t="n"/>
      <c r="AC682" s="26">
        <f>IF(T682="","Chưa quyết định",IF(OR(Z682="",AA682=""),"⚠ Thiếu lý do/người duyệt",IF(AND(X682&lt;&gt;"",N(X682)+N(R682)+N(S682)&gt;M682*1.001,R682&lt;&gt;""),"⚠ Vượt mục tiêu P90",IF(AND(Y682&lt;&gt;"",ABS(N(Y682))&gt;0.3),"⚠ Lệch &gt; 30% so với nhu cầu",IF(Q682="Có","ℹ Kiểm tra ngoại suy KM","✓ Hợp lệ")))))</f>
        <v/>
      </c>
    </row>
    <row r="683">
      <c r="A683" s="16" t="n">
        <v>679</v>
      </c>
      <c r="B683" s="17" t="inlineStr">
        <is>
          <t>DEC-S27-LINGERIE</t>
        </is>
      </c>
      <c r="C683" s="16" t="n">
        <v>27</v>
      </c>
      <c r="D683" s="17" t="inlineStr">
        <is>
          <t>LINGERIE</t>
        </is>
      </c>
      <c r="E683" s="17" t="inlineStr">
        <is>
          <t>HIGH</t>
        </is>
      </c>
      <c r="F683" s="17" t="inlineStr">
        <is>
          <t>TRUNG BÌNH</t>
        </is>
      </c>
      <c r="G683" s="18" t="inlineStr">
        <is>
          <t>RISK_HIGH · PROMO_EXTRAPOLATION</t>
        </is>
      </c>
      <c r="H683" s="19" t="n">
        <v>45.45728874206543</v>
      </c>
      <c r="I683" s="19" t="n">
        <v>139.0859031677246</v>
      </c>
      <c r="J683" s="19" t="n">
        <v>270.5942692756653</v>
      </c>
      <c r="K683" s="19" t="n">
        <v>139.0859031677246</v>
      </c>
      <c r="L683" s="19" t="n">
        <v>221.2786319851875</v>
      </c>
      <c r="M683" s="19" t="n">
        <v>270.5942692756653</v>
      </c>
      <c r="N683" s="17" t="inlineStr">
        <is>
          <t>B</t>
        </is>
      </c>
      <c r="O683" s="19" t="n">
        <v>110.0099094510079</v>
      </c>
      <c r="P683" s="18" t="inlineStr">
        <is>
          <t>KHÔNG ĐỀ XUẤT TĂNG</t>
        </is>
      </c>
      <c r="Q683" s="17" t="inlineStr">
        <is>
          <t>Có</t>
        </is>
      </c>
      <c r="R683" s="20" t="n"/>
      <c r="S683" s="20" t="n"/>
      <c r="T683" s="21" t="n"/>
      <c r="U683" s="21" t="n"/>
      <c r="V683" s="22">
        <f>IF(U683="A",K683,IF(U683="B",L683,IF(U683="C",M683,IF(N683="A",K683,IF(N683="B",L683,M683)))))</f>
        <v/>
      </c>
      <c r="W683" s="22">
        <f>IF(R683="",O683,MAX(V683-R683-N(S683),0))</f>
        <v/>
      </c>
      <c r="X683" s="20" t="n"/>
      <c r="Y683" s="23">
        <f>IF(OR(X683="",W683=0),"",X683/W683-1)</f>
        <v/>
      </c>
      <c r="Z683" s="24" t="n"/>
      <c r="AA683" s="21" t="n"/>
      <c r="AB683" s="25" t="n"/>
      <c r="AC683" s="26">
        <f>IF(T683="","Chưa quyết định",IF(OR(Z683="",AA683=""),"⚠ Thiếu lý do/người duyệt",IF(AND(X683&lt;&gt;"",N(X683)+N(R683)+N(S683)&gt;M683*1.001,R683&lt;&gt;""),"⚠ Vượt mục tiêu P90",IF(AND(Y683&lt;&gt;"",ABS(N(Y683))&gt;0.3),"⚠ Lệch &gt; 30% so với nhu cầu",IF(Q683="Có","ℹ Kiểm tra ngoại suy KM","✓ Hợp lệ")))))</f>
        <v/>
      </c>
    </row>
    <row r="684">
      <c r="A684" s="16" t="n">
        <v>680</v>
      </c>
      <c r="B684" s="17" t="inlineStr">
        <is>
          <t>DEC-S17-AUTOMOTIVE</t>
        </is>
      </c>
      <c r="C684" s="16" t="n">
        <v>17</v>
      </c>
      <c r="D684" s="17" t="inlineStr">
        <is>
          <t>AUTOMOTIVE</t>
        </is>
      </c>
      <c r="E684" s="17" t="inlineStr">
        <is>
          <t>HIGH</t>
        </is>
      </c>
      <c r="F684" s="17" t="inlineStr">
        <is>
          <t>TRUNG BÌNH</t>
        </is>
      </c>
      <c r="G684" s="18" t="inlineStr">
        <is>
          <t>RISK_HIGH · PROMO_EXTRAPOLATION</t>
        </is>
      </c>
      <c r="H684" s="19" t="n">
        <v>48.37316799163818</v>
      </c>
      <c r="I684" s="19" t="n">
        <v>138.4062156677246</v>
      </c>
      <c r="J684" s="19" t="n">
        <v>267.5256297588348</v>
      </c>
      <c r="K684" s="19" t="n">
        <v>138.4062156677246</v>
      </c>
      <c r="L684" s="19" t="n">
        <v>219.1058494746685</v>
      </c>
      <c r="M684" s="19" t="n">
        <v>267.5256297588348</v>
      </c>
      <c r="N684" s="17" t="inlineStr">
        <is>
          <t>B</t>
        </is>
      </c>
      <c r="O684" s="19" t="n">
        <v>108.3808769404888</v>
      </c>
      <c r="P684" s="18" t="inlineStr">
        <is>
          <t>KHÔNG ĐỀ XUẤT TĂNG</t>
        </is>
      </c>
      <c r="Q684" s="17" t="inlineStr">
        <is>
          <t>Có</t>
        </is>
      </c>
      <c r="R684" s="20" t="n"/>
      <c r="S684" s="20" t="n"/>
      <c r="T684" s="21" t="n"/>
      <c r="U684" s="21" t="n"/>
      <c r="V684" s="22">
        <f>IF(U684="A",K684,IF(U684="B",L684,IF(U684="C",M684,IF(N684="A",K684,IF(N684="B",L684,M684)))))</f>
        <v/>
      </c>
      <c r="W684" s="22">
        <f>IF(R684="",O684,MAX(V684-R684-N(S684),0))</f>
        <v/>
      </c>
      <c r="X684" s="20" t="n"/>
      <c r="Y684" s="23">
        <f>IF(OR(X684="",W684=0),"",X684/W684-1)</f>
        <v/>
      </c>
      <c r="Z684" s="24" t="n"/>
      <c r="AA684" s="21" t="n"/>
      <c r="AB684" s="25" t="n"/>
      <c r="AC684" s="26">
        <f>IF(T684="","Chưa quyết định",IF(OR(Z684="",AA684=""),"⚠ Thiếu lý do/người duyệt",IF(AND(X684&lt;&gt;"",N(X684)+N(R684)+N(S684)&gt;M684*1.001,R684&lt;&gt;""),"⚠ Vượt mục tiêu P90",IF(AND(Y684&lt;&gt;"",ABS(N(Y684))&gt;0.3),"⚠ Lệch &gt; 30% so với nhu cầu",IF(Q684="Có","ℹ Kiểm tra ngoại suy KM","✓ Hợp lệ")))))</f>
        <v/>
      </c>
    </row>
    <row r="685">
      <c r="A685" s="16" t="n">
        <v>681</v>
      </c>
      <c r="B685" s="17" t="inlineStr">
        <is>
          <t>DEC-S06-PET_SUPPLIES</t>
        </is>
      </c>
      <c r="C685" s="16" t="n">
        <v>6</v>
      </c>
      <c r="D685" s="17" t="inlineStr">
        <is>
          <t>PET SUPPLIES</t>
        </is>
      </c>
      <c r="E685" s="17" t="inlineStr">
        <is>
          <t>HIGH</t>
        </is>
      </c>
      <c r="F685" s="17" t="inlineStr">
        <is>
          <t>TRUNG BÌNH</t>
        </is>
      </c>
      <c r="G685" s="18" t="inlineStr">
        <is>
          <t>RISK_HIGH · PROMO_EXTRAPOLATION</t>
        </is>
      </c>
      <c r="H685" s="19" t="n">
        <v>37.32223510742188</v>
      </c>
      <c r="I685" s="19" t="n">
        <v>138.1419830322266</v>
      </c>
      <c r="J685" s="19" t="n">
        <v>274.4282531738281</v>
      </c>
      <c r="K685" s="19" t="n">
        <v>138.1419830322266</v>
      </c>
      <c r="L685" s="19" t="n">
        <v>223.3209018707275</v>
      </c>
      <c r="M685" s="19" t="n">
        <v>274.4282531738281</v>
      </c>
      <c r="N685" s="17" t="inlineStr">
        <is>
          <t>B</t>
        </is>
      </c>
      <c r="O685" s="19" t="n">
        <v>112.8073154449463</v>
      </c>
      <c r="P685" s="18" t="inlineStr">
        <is>
          <t>KHÔNG ĐỀ XUẤT TĂNG</t>
        </is>
      </c>
      <c r="Q685" s="17" t="inlineStr">
        <is>
          <t>Có</t>
        </is>
      </c>
      <c r="R685" s="20" t="n"/>
      <c r="S685" s="20" t="n"/>
      <c r="T685" s="21" t="n"/>
      <c r="U685" s="21" t="n"/>
      <c r="V685" s="22">
        <f>IF(U685="A",K685,IF(U685="B",L685,IF(U685="C",M685,IF(N685="A",K685,IF(N685="B",L685,M685)))))</f>
        <v/>
      </c>
      <c r="W685" s="22">
        <f>IF(R685="",O685,MAX(V685-R685-N(S685),0))</f>
        <v/>
      </c>
      <c r="X685" s="20" t="n"/>
      <c r="Y685" s="23">
        <f>IF(OR(X685="",W685=0),"",X685/W685-1)</f>
        <v/>
      </c>
      <c r="Z685" s="24" t="n"/>
      <c r="AA685" s="21" t="n"/>
      <c r="AB685" s="25" t="n"/>
      <c r="AC685" s="26">
        <f>IF(T685="","Chưa quyết định",IF(OR(Z685="",AA685=""),"⚠ Thiếu lý do/người duyệt",IF(AND(X685&lt;&gt;"",N(X685)+N(R685)+N(S685)&gt;M685*1.001,R685&lt;&gt;""),"⚠ Vượt mục tiêu P90",IF(AND(Y685&lt;&gt;"",ABS(N(Y685))&gt;0.3),"⚠ Lệch &gt; 30% so với nhu cầu",IF(Q685="Có","ℹ Kiểm tra ngoại suy KM","✓ Hợp lệ")))))</f>
        <v/>
      </c>
    </row>
    <row r="686">
      <c r="A686" s="16" t="n">
        <v>682</v>
      </c>
      <c r="B686" s="17" t="inlineStr">
        <is>
          <t>DEC-S34-GROCERY_II</t>
        </is>
      </c>
      <c r="C686" s="16" t="n">
        <v>34</v>
      </c>
      <c r="D686" s="17" t="inlineStr">
        <is>
          <t>GROCERY II</t>
        </is>
      </c>
      <c r="E686" s="17" t="inlineStr">
        <is>
          <t>HIGH</t>
        </is>
      </c>
      <c r="F686" s="17" t="inlineStr">
        <is>
          <t>TRUNG BÌNH</t>
        </is>
      </c>
      <c r="G686" s="18" t="inlineStr">
        <is>
          <t>RISK_HIGH · PROMO_EXTRAPOLATION</t>
        </is>
      </c>
      <c r="H686" s="19" t="n">
        <v>43.3996376991272</v>
      </c>
      <c r="I686" s="19" t="n">
        <v>138.0569036006927</v>
      </c>
      <c r="J686" s="19" t="n">
        <v>278.7460851669312</v>
      </c>
      <c r="K686" s="19" t="n">
        <v>138.0569036006927</v>
      </c>
      <c r="L686" s="19" t="n">
        <v>225.9876420795918</v>
      </c>
      <c r="M686" s="19" t="n">
        <v>278.7460851669312</v>
      </c>
      <c r="N686" s="17" t="inlineStr">
        <is>
          <t>B</t>
        </is>
      </c>
      <c r="O686" s="19" t="n">
        <v>115.5421191990376</v>
      </c>
      <c r="P686" s="18" t="inlineStr">
        <is>
          <t>KHÔNG ĐỀ XUẤT TĂNG</t>
        </is>
      </c>
      <c r="Q686" s="17" t="inlineStr">
        <is>
          <t>Có</t>
        </is>
      </c>
      <c r="R686" s="20" t="n"/>
      <c r="S686" s="20" t="n"/>
      <c r="T686" s="21" t="n"/>
      <c r="U686" s="21" t="n"/>
      <c r="V686" s="22">
        <f>IF(U686="A",K686,IF(U686="B",L686,IF(U686="C",M686,IF(N686="A",K686,IF(N686="B",L686,M686)))))</f>
        <v/>
      </c>
      <c r="W686" s="22">
        <f>IF(R686="",O686,MAX(V686-R686-N(S686),0))</f>
        <v/>
      </c>
      <c r="X686" s="20" t="n"/>
      <c r="Y686" s="23">
        <f>IF(OR(X686="",W686=0),"",X686/W686-1)</f>
        <v/>
      </c>
      <c r="Z686" s="24" t="n"/>
      <c r="AA686" s="21" t="n"/>
      <c r="AB686" s="25" t="n"/>
      <c r="AC686" s="26">
        <f>IF(T686="","Chưa quyết định",IF(OR(Z686="",AA686=""),"⚠ Thiếu lý do/người duyệt",IF(AND(X686&lt;&gt;"",N(X686)+N(R686)+N(S686)&gt;M686*1.001,R686&lt;&gt;""),"⚠ Vượt mục tiêu P90",IF(AND(Y686&lt;&gt;"",ABS(N(Y686))&gt;0.3),"⚠ Lệch &gt; 30% so với nhu cầu",IF(Q686="Có","ℹ Kiểm tra ngoại suy KM","✓ Hợp lệ")))))</f>
        <v/>
      </c>
    </row>
    <row r="687">
      <c r="A687" s="16" t="n">
        <v>683</v>
      </c>
      <c r="B687" s="17" t="inlineStr">
        <is>
          <t>DEC-S27-PLAYERS_AND_ELECTRONICS</t>
        </is>
      </c>
      <c r="C687" s="16" t="n">
        <v>27</v>
      </c>
      <c r="D687" s="17" t="inlineStr">
        <is>
          <t>PLAYERS AND ELECTRONICS</t>
        </is>
      </c>
      <c r="E687" s="17" t="inlineStr">
        <is>
          <t>HIGH</t>
        </is>
      </c>
      <c r="F687" s="17" t="inlineStr">
        <is>
          <t>TRUNG BÌNH</t>
        </is>
      </c>
      <c r="G687" s="18" t="inlineStr">
        <is>
          <t>RISK_HIGH · PROMO_EXTRAPOLATION</t>
        </is>
      </c>
      <c r="H687" s="19" t="n">
        <v>44.30078983306885</v>
      </c>
      <c r="I687" s="19" t="n">
        <v>137.929404258728</v>
      </c>
      <c r="J687" s="19" t="n">
        <v>269.4377703666687</v>
      </c>
      <c r="K687" s="19" t="n">
        <v>137.929404258728</v>
      </c>
      <c r="L687" s="19" t="n">
        <v>220.1221330761909</v>
      </c>
      <c r="M687" s="19" t="n">
        <v>269.4377703666687</v>
      </c>
      <c r="N687" s="17" t="inlineStr">
        <is>
          <t>B</t>
        </is>
      </c>
      <c r="O687" s="19" t="n">
        <v>109.7786096692085</v>
      </c>
      <c r="P687" s="18" t="inlineStr">
        <is>
          <t>KHÔNG ĐỀ XUẤT TĂNG</t>
        </is>
      </c>
      <c r="Q687" s="17" t="inlineStr">
        <is>
          <t>Có</t>
        </is>
      </c>
      <c r="R687" s="20" t="n"/>
      <c r="S687" s="20" t="n"/>
      <c r="T687" s="21" t="n"/>
      <c r="U687" s="21" t="n"/>
      <c r="V687" s="22">
        <f>IF(U687="A",K687,IF(U687="B",L687,IF(U687="C",M687,IF(N687="A",K687,IF(N687="B",L687,M687)))))</f>
        <v/>
      </c>
      <c r="W687" s="22">
        <f>IF(R687="",O687,MAX(V687-R687-N(S687),0))</f>
        <v/>
      </c>
      <c r="X687" s="20" t="n"/>
      <c r="Y687" s="23">
        <f>IF(OR(X687="",W687=0),"",X687/W687-1)</f>
        <v/>
      </c>
      <c r="Z687" s="24" t="n"/>
      <c r="AA687" s="21" t="n"/>
      <c r="AB687" s="25" t="n"/>
      <c r="AC687" s="26">
        <f>IF(T687="","Chưa quyết định",IF(OR(Z687="",AA687=""),"⚠ Thiếu lý do/người duyệt",IF(AND(X687&lt;&gt;"",N(X687)+N(R687)+N(S687)&gt;M687*1.001,R687&lt;&gt;""),"⚠ Vượt mục tiêu P90",IF(AND(Y687&lt;&gt;"",ABS(N(Y687))&gt;0.3),"⚠ Lệch &gt; 30% so với nhu cầu",IF(Q687="Có","ℹ Kiểm tra ngoại suy KM","✓ Hợp lệ")))))</f>
        <v/>
      </c>
    </row>
    <row r="688">
      <c r="A688" s="16" t="n">
        <v>684</v>
      </c>
      <c r="B688" s="17" t="inlineStr">
        <is>
          <t>DEC-S37-CELEBRATION</t>
        </is>
      </c>
      <c r="C688" s="16" t="n">
        <v>37</v>
      </c>
      <c r="D688" s="17" t="inlineStr">
        <is>
          <t>CELEBRATION</t>
        </is>
      </c>
      <c r="E688" s="17" t="inlineStr">
        <is>
          <t>HIGH</t>
        </is>
      </c>
      <c r="F688" s="17" t="inlineStr">
        <is>
          <t>TRUNG BÌNH</t>
        </is>
      </c>
      <c r="G688" s="18" t="inlineStr">
        <is>
          <t>RISK_HIGH · PROMO_EXTRAPOLATION</t>
        </is>
      </c>
      <c r="H688" s="19" t="n">
        <v>47.88929414749146</v>
      </c>
      <c r="I688" s="19" t="n">
        <v>137.9223418235779</v>
      </c>
      <c r="J688" s="19" t="n">
        <v>267.0417559146881</v>
      </c>
      <c r="K688" s="19" t="n">
        <v>137.9223418235779</v>
      </c>
      <c r="L688" s="19" t="n">
        <v>218.6219756305218</v>
      </c>
      <c r="M688" s="19" t="n">
        <v>267.0417559146881</v>
      </c>
      <c r="N688" s="17" t="inlineStr">
        <is>
          <t>B</t>
        </is>
      </c>
      <c r="O688" s="19" t="n">
        <v>108.2841021716595</v>
      </c>
      <c r="P688" s="18" t="inlineStr">
        <is>
          <t>KHÔNG ĐỀ XUẤT TĂNG</t>
        </is>
      </c>
      <c r="Q688" s="17" t="inlineStr">
        <is>
          <t>Có</t>
        </is>
      </c>
      <c r="R688" s="20" t="n"/>
      <c r="S688" s="20" t="n"/>
      <c r="T688" s="21" t="n"/>
      <c r="U688" s="21" t="n"/>
      <c r="V688" s="22">
        <f>IF(U688="A",K688,IF(U688="B",L688,IF(U688="C",M688,IF(N688="A",K688,IF(N688="B",L688,M688)))))</f>
        <v/>
      </c>
      <c r="W688" s="22">
        <f>IF(R688="",O688,MAX(V688-R688-N(S688),0))</f>
        <v/>
      </c>
      <c r="X688" s="20" t="n"/>
      <c r="Y688" s="23">
        <f>IF(OR(X688="",W688=0),"",X688/W688-1)</f>
        <v/>
      </c>
      <c r="Z688" s="24" t="n"/>
      <c r="AA688" s="21" t="n"/>
      <c r="AB688" s="25" t="n"/>
      <c r="AC688" s="26">
        <f>IF(T688="","Chưa quyết định",IF(OR(Z688="",AA688=""),"⚠ Thiếu lý do/người duyệt",IF(AND(X688&lt;&gt;"",N(X688)+N(R688)+N(S688)&gt;M688*1.001,R688&lt;&gt;""),"⚠ Vượt mục tiêu P90",IF(AND(Y688&lt;&gt;"",ABS(N(Y688))&gt;0.3),"⚠ Lệch &gt; 30% so với nhu cầu",IF(Q688="Có","ℹ Kiểm tra ngoại suy KM","✓ Hợp lệ")))))</f>
        <v/>
      </c>
    </row>
    <row r="689">
      <c r="A689" s="16" t="n">
        <v>685</v>
      </c>
      <c r="B689" s="17" t="inlineStr">
        <is>
          <t>DEC-S26-HOME_AND_KITCHEN_II</t>
        </is>
      </c>
      <c r="C689" s="16" t="n">
        <v>26</v>
      </c>
      <c r="D689" s="17" t="inlineStr">
        <is>
          <t>HOME AND KITCHEN II</t>
        </is>
      </c>
      <c r="E689" s="17" t="inlineStr">
        <is>
          <t>HIGH</t>
        </is>
      </c>
      <c r="F689" s="17" t="inlineStr">
        <is>
          <t>TRUNG BÌNH</t>
        </is>
      </c>
      <c r="G689" s="18" t="inlineStr">
        <is>
          <t>RISK_HIGH · PROMO_EXTRAPOLATION</t>
        </is>
      </c>
      <c r="H689" s="19" t="n">
        <v>24.77291941642761</v>
      </c>
      <c r="I689" s="19" t="n">
        <v>136.669043302536</v>
      </c>
      <c r="J689" s="19" t="n">
        <v>295.0878686904907</v>
      </c>
      <c r="K689" s="19" t="n">
        <v>136.669043302536</v>
      </c>
      <c r="L689" s="19" t="n">
        <v>235.6808091700077</v>
      </c>
      <c r="M689" s="19" t="n">
        <v>295.0878686904907</v>
      </c>
      <c r="N689" s="17" t="inlineStr">
        <is>
          <t>B</t>
        </is>
      </c>
      <c r="O689" s="19" t="n">
        <v>126.3455745279789</v>
      </c>
      <c r="P689" s="18" t="inlineStr">
        <is>
          <t>KHÔNG ĐỀ XUẤT TĂNG</t>
        </is>
      </c>
      <c r="Q689" s="17" t="inlineStr">
        <is>
          <t>Có</t>
        </is>
      </c>
      <c r="R689" s="20" t="n"/>
      <c r="S689" s="20" t="n"/>
      <c r="T689" s="21" t="n"/>
      <c r="U689" s="21" t="n"/>
      <c r="V689" s="22">
        <f>IF(U689="A",K689,IF(U689="B",L689,IF(U689="C",M689,IF(N689="A",K689,IF(N689="B",L689,M689)))))</f>
        <v/>
      </c>
      <c r="W689" s="22">
        <f>IF(R689="",O689,MAX(V689-R689-N(S689),0))</f>
        <v/>
      </c>
      <c r="X689" s="20" t="n"/>
      <c r="Y689" s="23">
        <f>IF(OR(X689="",W689=0),"",X689/W689-1)</f>
        <v/>
      </c>
      <c r="Z689" s="24" t="n"/>
      <c r="AA689" s="21" t="n"/>
      <c r="AB689" s="25" t="n"/>
      <c r="AC689" s="26">
        <f>IF(T689="","Chưa quyết định",IF(OR(Z689="",AA689=""),"⚠ Thiếu lý do/người duyệt",IF(AND(X689&lt;&gt;"",N(X689)+N(R689)+N(S689)&gt;M689*1.001,R689&lt;&gt;""),"⚠ Vượt mục tiêu P90",IF(AND(Y689&lt;&gt;"",ABS(N(Y689))&gt;0.3),"⚠ Lệch &gt; 30% so với nhu cầu",IF(Q689="Có","ℹ Kiểm tra ngoại suy KM","✓ Hợp lệ")))))</f>
        <v/>
      </c>
    </row>
    <row r="690">
      <c r="A690" s="16" t="n">
        <v>686</v>
      </c>
      <c r="B690" s="17" t="inlineStr">
        <is>
          <t>DEC-S53-AUTOMOTIVE</t>
        </is>
      </c>
      <c r="C690" s="16" t="n">
        <v>53</v>
      </c>
      <c r="D690" s="17" t="inlineStr">
        <is>
          <t>AUTOMOTIVE</t>
        </is>
      </c>
      <c r="E690" s="17" t="inlineStr">
        <is>
          <t>HIGH</t>
        </is>
      </c>
      <c r="F690" s="17" t="inlineStr">
        <is>
          <t>TRUNG BÌNH</t>
        </is>
      </c>
      <c r="G690" s="18" t="inlineStr">
        <is>
          <t>RISK_HIGH · PROMO_EXTRAPOLATION</t>
        </is>
      </c>
      <c r="H690" s="19" t="n">
        <v>42.76012587547302</v>
      </c>
      <c r="I690" s="19" t="n">
        <v>136.3887403011322</v>
      </c>
      <c r="J690" s="19" t="n">
        <v>267.8971064090729</v>
      </c>
      <c r="K690" s="19" t="n">
        <v>136.3887403011322</v>
      </c>
      <c r="L690" s="19" t="n">
        <v>218.5814691185951</v>
      </c>
      <c r="M690" s="19" t="n">
        <v>267.8971064090729</v>
      </c>
      <c r="N690" s="17" t="inlineStr">
        <is>
          <t>B</t>
        </is>
      </c>
      <c r="O690" s="19" t="n">
        <v>109.4704768776894</v>
      </c>
      <c r="P690" s="18" t="inlineStr">
        <is>
          <t>KHÔNG ĐỀ XUẤT TĂNG</t>
        </is>
      </c>
      <c r="Q690" s="17" t="inlineStr">
        <is>
          <t>Có</t>
        </is>
      </c>
      <c r="R690" s="20" t="n"/>
      <c r="S690" s="20" t="n"/>
      <c r="T690" s="21" t="n"/>
      <c r="U690" s="21" t="n"/>
      <c r="V690" s="22">
        <f>IF(U690="A",K690,IF(U690="B",L690,IF(U690="C",M690,IF(N690="A",K690,IF(N690="B",L690,M690)))))</f>
        <v/>
      </c>
      <c r="W690" s="22">
        <f>IF(R690="",O690,MAX(V690-R690-N(S690),0))</f>
        <v/>
      </c>
      <c r="X690" s="20" t="n"/>
      <c r="Y690" s="23">
        <f>IF(OR(X690="",W690=0),"",X690/W690-1)</f>
        <v/>
      </c>
      <c r="Z690" s="24" t="n"/>
      <c r="AA690" s="21" t="n"/>
      <c r="AB690" s="25" t="n"/>
      <c r="AC690" s="26">
        <f>IF(T690="","Chưa quyết định",IF(OR(Z690="",AA690=""),"⚠ Thiếu lý do/người duyệt",IF(AND(X690&lt;&gt;"",N(X690)+N(R690)+N(S690)&gt;M690*1.001,R690&lt;&gt;""),"⚠ Vượt mục tiêu P90",IF(AND(Y690&lt;&gt;"",ABS(N(Y690))&gt;0.3),"⚠ Lệch &gt; 30% so với nhu cầu",IF(Q690="Có","ℹ Kiểm tra ngoại suy KM","✓ Hợp lệ")))))</f>
        <v/>
      </c>
    </row>
    <row r="691">
      <c r="A691" s="16" t="n">
        <v>687</v>
      </c>
      <c r="B691" s="17" t="inlineStr">
        <is>
          <t>DEC-S34-LAWN_AND_GARDEN</t>
        </is>
      </c>
      <c r="C691" s="16" t="n">
        <v>34</v>
      </c>
      <c r="D691" s="17" t="inlineStr">
        <is>
          <t>LAWN AND GARDEN</t>
        </is>
      </c>
      <c r="E691" s="17" t="inlineStr">
        <is>
          <t>HIGH</t>
        </is>
      </c>
      <c r="F691" s="17" t="inlineStr">
        <is>
          <t>TRUNG BÌNH</t>
        </is>
      </c>
      <c r="G691" s="18" t="inlineStr">
        <is>
          <t>RISK_HIGH · PROMO_EXTRAPOLATION</t>
        </is>
      </c>
      <c r="H691" s="19" t="n">
        <v>36.09028935432434</v>
      </c>
      <c r="I691" s="19" t="n">
        <v>136.2204735279083</v>
      </c>
      <c r="J691" s="19" t="n">
        <v>287.4724428653717</v>
      </c>
      <c r="K691" s="19" t="n">
        <v>136.2204735279083</v>
      </c>
      <c r="L691" s="19" t="n">
        <v>230.7529543638229</v>
      </c>
      <c r="M691" s="19" t="n">
        <v>287.4724428653717</v>
      </c>
      <c r="N691" s="17" t="inlineStr">
        <is>
          <t>B</t>
        </is>
      </c>
      <c r="O691" s="19" t="n">
        <v>121.7765755414963</v>
      </c>
      <c r="P691" s="18" t="inlineStr">
        <is>
          <t>KHÔNG ĐỀ XUẤT TĂNG</t>
        </is>
      </c>
      <c r="Q691" s="17" t="inlineStr">
        <is>
          <t>Có</t>
        </is>
      </c>
      <c r="R691" s="20" t="n"/>
      <c r="S691" s="20" t="n"/>
      <c r="T691" s="21" t="n"/>
      <c r="U691" s="21" t="n"/>
      <c r="V691" s="22">
        <f>IF(U691="A",K691,IF(U691="B",L691,IF(U691="C",M691,IF(N691="A",K691,IF(N691="B",L691,M691)))))</f>
        <v/>
      </c>
      <c r="W691" s="22">
        <f>IF(R691="",O691,MAX(V691-R691-N(S691),0))</f>
        <v/>
      </c>
      <c r="X691" s="20" t="n"/>
      <c r="Y691" s="23">
        <f>IF(OR(X691="",W691=0),"",X691/W691-1)</f>
        <v/>
      </c>
      <c r="Z691" s="24" t="n"/>
      <c r="AA691" s="21" t="n"/>
      <c r="AB691" s="25" t="n"/>
      <c r="AC691" s="26">
        <f>IF(T691="","Chưa quyết định",IF(OR(Z691="",AA691=""),"⚠ Thiếu lý do/người duyệt",IF(AND(X691&lt;&gt;"",N(X691)+N(R691)+N(S691)&gt;M691*1.001,R691&lt;&gt;""),"⚠ Vượt mục tiêu P90",IF(AND(Y691&lt;&gt;"",ABS(N(Y691))&gt;0.3),"⚠ Lệch &gt; 30% so với nhu cầu",IF(Q691="Có","ℹ Kiểm tra ngoại suy KM","✓ Hợp lệ")))))</f>
        <v/>
      </c>
    </row>
    <row r="692">
      <c r="A692" s="16" t="n">
        <v>688</v>
      </c>
      <c r="B692" s="17" t="inlineStr">
        <is>
          <t>DEC-S11-LINGERIE</t>
        </is>
      </c>
      <c r="C692" s="16" t="n">
        <v>11</v>
      </c>
      <c r="D692" s="17" t="inlineStr">
        <is>
          <t>LINGERIE</t>
        </is>
      </c>
      <c r="E692" s="17" t="inlineStr">
        <is>
          <t>HIGH</t>
        </is>
      </c>
      <c r="F692" s="17" t="inlineStr">
        <is>
          <t>TRUNG BÌNH</t>
        </is>
      </c>
      <c r="G692" s="18" t="inlineStr">
        <is>
          <t>RISK_HIGH · PROMO_EXTRAPOLATION</t>
        </is>
      </c>
      <c r="H692" s="19" t="n">
        <v>35.16624426841736</v>
      </c>
      <c r="I692" s="19" t="n">
        <v>135.985992193222</v>
      </c>
      <c r="J692" s="19" t="n">
        <v>272.2722623348236</v>
      </c>
      <c r="K692" s="19" t="n">
        <v>135.985992193222</v>
      </c>
      <c r="L692" s="19" t="n">
        <v>221.164911031723</v>
      </c>
      <c r="M692" s="19" t="n">
        <v>272.2722623348236</v>
      </c>
      <c r="N692" s="17" t="inlineStr">
        <is>
          <t>B</t>
        </is>
      </c>
      <c r="O692" s="19" t="n">
        <v>112.3761172771454</v>
      </c>
      <c r="P692" s="18" t="inlineStr">
        <is>
          <t>KHÔNG ĐỀ XUẤT TĂNG</t>
        </is>
      </c>
      <c r="Q692" s="17" t="inlineStr">
        <is>
          <t>Có</t>
        </is>
      </c>
      <c r="R692" s="20" t="n"/>
      <c r="S692" s="20" t="n"/>
      <c r="T692" s="21" t="n"/>
      <c r="U692" s="21" t="n"/>
      <c r="V692" s="22">
        <f>IF(U692="A",K692,IF(U692="B",L692,IF(U692="C",M692,IF(N692="A",K692,IF(N692="B",L692,M692)))))</f>
        <v/>
      </c>
      <c r="W692" s="22">
        <f>IF(R692="",O692,MAX(V692-R692-N(S692),0))</f>
        <v/>
      </c>
      <c r="X692" s="20" t="n"/>
      <c r="Y692" s="23">
        <f>IF(OR(X692="",W692=0),"",X692/W692-1)</f>
        <v/>
      </c>
      <c r="Z692" s="24" t="n"/>
      <c r="AA692" s="21" t="n"/>
      <c r="AB692" s="25" t="n"/>
      <c r="AC692" s="26">
        <f>IF(T692="","Chưa quyết định",IF(OR(Z692="",AA692=""),"⚠ Thiếu lý do/người duyệt",IF(AND(X692&lt;&gt;"",N(X692)+N(R692)+N(S692)&gt;M692*1.001,R692&lt;&gt;""),"⚠ Vượt mục tiêu P90",IF(AND(Y692&lt;&gt;"",ABS(N(Y692))&gt;0.3),"⚠ Lệch &gt; 30% so với nhu cầu",IF(Q692="Có","ℹ Kiểm tra ngoại suy KM","✓ Hợp lệ")))))</f>
        <v/>
      </c>
    </row>
    <row r="693">
      <c r="A693" s="16" t="n">
        <v>689</v>
      </c>
      <c r="B693" s="17" t="inlineStr">
        <is>
          <t>DEC-S10-GROCERY_II</t>
        </is>
      </c>
      <c r="C693" s="16" t="n">
        <v>10</v>
      </c>
      <c r="D693" s="17" t="inlineStr">
        <is>
          <t>GROCERY II</t>
        </is>
      </c>
      <c r="E693" s="17" t="inlineStr">
        <is>
          <t>HIGH</t>
        </is>
      </c>
      <c r="F693" s="17" t="inlineStr">
        <is>
          <t>TRUNG BÌNH</t>
        </is>
      </c>
      <c r="G693" s="18" t="inlineStr">
        <is>
          <t>RISK_HIGH · PROMO_EXTRAPOLATION</t>
        </is>
      </c>
      <c r="H693" s="19" t="n">
        <v>37.18338680267334</v>
      </c>
      <c r="I693" s="19" t="n">
        <v>135.1851937770844</v>
      </c>
      <c r="J693" s="19" t="n">
        <v>278.2633273601532</v>
      </c>
      <c r="K693" s="19" t="n">
        <v>135.1851937770844</v>
      </c>
      <c r="L693" s="19" t="n">
        <v>224.6090272665024</v>
      </c>
      <c r="M693" s="19" t="n">
        <v>278.2633273601532</v>
      </c>
      <c r="N693" s="17" t="inlineStr">
        <is>
          <t>B</t>
        </is>
      </c>
      <c r="O693" s="19" t="n">
        <v>116.4608722448349</v>
      </c>
      <c r="P693" s="18" t="inlineStr">
        <is>
          <t>KHÔNG ĐỀ XUẤT TĂNG</t>
        </is>
      </c>
      <c r="Q693" s="17" t="inlineStr">
        <is>
          <t>Có</t>
        </is>
      </c>
      <c r="R693" s="20" t="n"/>
      <c r="S693" s="20" t="n"/>
      <c r="T693" s="21" t="n"/>
      <c r="U693" s="21" t="n"/>
      <c r="V693" s="22">
        <f>IF(U693="A",K693,IF(U693="B",L693,IF(U693="C",M693,IF(N693="A",K693,IF(N693="B",L693,M693)))))</f>
        <v/>
      </c>
      <c r="W693" s="22">
        <f>IF(R693="",O693,MAX(V693-R693-N(S693),0))</f>
        <v/>
      </c>
      <c r="X693" s="20" t="n"/>
      <c r="Y693" s="23">
        <f>IF(OR(X693="",W693=0),"",X693/W693-1)</f>
        <v/>
      </c>
      <c r="Z693" s="24" t="n"/>
      <c r="AA693" s="21" t="n"/>
      <c r="AB693" s="25" t="n"/>
      <c r="AC693" s="26">
        <f>IF(T693="","Chưa quyết định",IF(OR(Z693="",AA693=""),"⚠ Thiếu lý do/người duyệt",IF(AND(X693&lt;&gt;"",N(X693)+N(R693)+N(S693)&gt;M693*1.001,R693&lt;&gt;""),"⚠ Vượt mục tiêu P90",IF(AND(Y693&lt;&gt;"",ABS(N(Y693))&gt;0.3),"⚠ Lệch &gt; 30% so với nhu cầu",IF(Q693="Có","ℹ Kiểm tra ngoại suy KM","✓ Hợp lệ")))))</f>
        <v/>
      </c>
    </row>
    <row r="694">
      <c r="A694" s="16" t="n">
        <v>690</v>
      </c>
      <c r="B694" s="17" t="inlineStr">
        <is>
          <t>DEC-S41-PLAYERS_AND_ELECTRONICS</t>
        </is>
      </c>
      <c r="C694" s="16" t="n">
        <v>41</v>
      </c>
      <c r="D694" s="17" t="inlineStr">
        <is>
          <t>PLAYERS AND ELECTRONICS</t>
        </is>
      </c>
      <c r="E694" s="17" t="inlineStr">
        <is>
          <t>HIGH</t>
        </is>
      </c>
      <c r="F694" s="17" t="inlineStr">
        <is>
          <t>TRUNG BÌNH</t>
        </is>
      </c>
      <c r="G694" s="18" t="inlineStr">
        <is>
          <t>RISK_HIGH · PROMO_EXTRAPOLATION</t>
        </is>
      </c>
      <c r="H694" s="19" t="n">
        <v>41.22972774505615</v>
      </c>
      <c r="I694" s="19" t="n">
        <v>134.8583421707153</v>
      </c>
      <c r="J694" s="19" t="n">
        <v>266.366708278656</v>
      </c>
      <c r="K694" s="19" t="n">
        <v>134.8583421707153</v>
      </c>
      <c r="L694" s="19" t="n">
        <v>217.0510709881783</v>
      </c>
      <c r="M694" s="19" t="n">
        <v>266.366708278656</v>
      </c>
      <c r="N694" s="17" t="inlineStr">
        <is>
          <t>B</t>
        </is>
      </c>
      <c r="O694" s="19" t="n">
        <v>109.164397251606</v>
      </c>
      <c r="P694" s="18" t="inlineStr">
        <is>
          <t>KHÔNG ĐỀ XUẤT TĂNG</t>
        </is>
      </c>
      <c r="Q694" s="17" t="inlineStr">
        <is>
          <t>Có</t>
        </is>
      </c>
      <c r="R694" s="20" t="n"/>
      <c r="S694" s="20" t="n"/>
      <c r="T694" s="21" t="n"/>
      <c r="U694" s="21" t="n"/>
      <c r="V694" s="22">
        <f>IF(U694="A",K694,IF(U694="B",L694,IF(U694="C",M694,IF(N694="A",K694,IF(N694="B",L694,M694)))))</f>
        <v/>
      </c>
      <c r="W694" s="22">
        <f>IF(R694="",O694,MAX(V694-R694-N(S694),0))</f>
        <v/>
      </c>
      <c r="X694" s="20" t="n"/>
      <c r="Y694" s="23">
        <f>IF(OR(X694="",W694=0),"",X694/W694-1)</f>
        <v/>
      </c>
      <c r="Z694" s="24" t="n"/>
      <c r="AA694" s="21" t="n"/>
      <c r="AB694" s="25" t="n"/>
      <c r="AC694" s="26">
        <f>IF(T694="","Chưa quyết định",IF(OR(Z694="",AA694=""),"⚠ Thiếu lý do/người duyệt",IF(AND(X694&lt;&gt;"",N(X694)+N(R694)+N(S694)&gt;M694*1.001,R694&lt;&gt;""),"⚠ Vượt mục tiêu P90",IF(AND(Y694&lt;&gt;"",ABS(N(Y694))&gt;0.3),"⚠ Lệch &gt; 30% so với nhu cầu",IF(Q694="Có","ℹ Kiểm tra ngoại suy KM","✓ Hợp lệ")))))</f>
        <v/>
      </c>
    </row>
    <row r="695">
      <c r="A695" s="16" t="n">
        <v>691</v>
      </c>
      <c r="B695" s="17" t="inlineStr">
        <is>
          <t>DEC-S38-LINGERIE</t>
        </is>
      </c>
      <c r="C695" s="16" t="n">
        <v>38</v>
      </c>
      <c r="D695" s="17" t="inlineStr">
        <is>
          <t>LINGERIE</t>
        </is>
      </c>
      <c r="E695" s="17" t="inlineStr">
        <is>
          <t>HIGH</t>
        </is>
      </c>
      <c r="F695" s="17" t="inlineStr">
        <is>
          <t>TRUNG BÌNH</t>
        </is>
      </c>
      <c r="G695" s="18" t="inlineStr">
        <is>
          <t>RISK_HIGH · PROMO_EXTRAPOLATION</t>
        </is>
      </c>
      <c r="H695" s="19" t="n">
        <v>37.38741850852966</v>
      </c>
      <c r="I695" s="19" t="n">
        <v>134.6115996837616</v>
      </c>
      <c r="J695" s="19" t="n">
        <v>268.5089178085327</v>
      </c>
      <c r="K695" s="19" t="n">
        <v>134.6115996837616</v>
      </c>
      <c r="L695" s="19" t="n">
        <v>218.2974235117435</v>
      </c>
      <c r="M695" s="19" t="n">
        <v>268.5089178085327</v>
      </c>
      <c r="N695" s="17" t="inlineStr">
        <is>
          <t>B</t>
        </is>
      </c>
      <c r="O695" s="19" t="n">
        <v>110.6081437647343</v>
      </c>
      <c r="P695" s="18" t="inlineStr">
        <is>
          <t>KHÔNG ĐỀ XUẤT TĂNG</t>
        </is>
      </c>
      <c r="Q695" s="17" t="inlineStr">
        <is>
          <t>Có</t>
        </is>
      </c>
      <c r="R695" s="20" t="n"/>
      <c r="S695" s="20" t="n"/>
      <c r="T695" s="21" t="n"/>
      <c r="U695" s="21" t="n"/>
      <c r="V695" s="22">
        <f>IF(U695="A",K695,IF(U695="B",L695,IF(U695="C",M695,IF(N695="A",K695,IF(N695="B",L695,M695)))))</f>
        <v/>
      </c>
      <c r="W695" s="22">
        <f>IF(R695="",O695,MAX(V695-R695-N(S695),0))</f>
        <v/>
      </c>
      <c r="X695" s="20" t="n"/>
      <c r="Y695" s="23">
        <f>IF(OR(X695="",W695=0),"",X695/W695-1)</f>
        <v/>
      </c>
      <c r="Z695" s="24" t="n"/>
      <c r="AA695" s="21" t="n"/>
      <c r="AB695" s="25" t="n"/>
      <c r="AC695" s="26">
        <f>IF(T695="","Chưa quyết định",IF(OR(Z695="",AA695=""),"⚠ Thiếu lý do/người duyệt",IF(AND(X695&lt;&gt;"",N(X695)+N(R695)+N(S695)&gt;M695*1.001,R695&lt;&gt;""),"⚠ Vượt mục tiêu P90",IF(AND(Y695&lt;&gt;"",ABS(N(Y695))&gt;0.3),"⚠ Lệch &gt; 30% so với nhu cầu",IF(Q695="Có","ℹ Kiểm tra ngoại suy KM","✓ Hợp lệ")))))</f>
        <v/>
      </c>
    </row>
    <row r="696">
      <c r="A696" s="16" t="n">
        <v>692</v>
      </c>
      <c r="B696" s="17" t="inlineStr">
        <is>
          <t>DEC-S46-MAGAZINES</t>
        </is>
      </c>
      <c r="C696" s="16" t="n">
        <v>46</v>
      </c>
      <c r="D696" s="17" t="inlineStr">
        <is>
          <t>MAGAZINES</t>
        </is>
      </c>
      <c r="E696" s="17" t="inlineStr">
        <is>
          <t>HIGH</t>
        </is>
      </c>
      <c r="F696" s="17" t="inlineStr">
        <is>
          <t>TRUNG BÌNH</t>
        </is>
      </c>
      <c r="G696" s="18" t="inlineStr">
        <is>
          <t>RISK_HIGH · PROMO_EXTRAPOLATION</t>
        </is>
      </c>
      <c r="H696" s="19" t="n">
        <v>48.02000522613525</v>
      </c>
      <c r="I696" s="19" t="n">
        <v>134.4574861526489</v>
      </c>
      <c r="J696" s="19" t="n">
        <v>261.1879482269287</v>
      </c>
      <c r="K696" s="19" t="n">
        <v>134.4574861526489</v>
      </c>
      <c r="L696" s="19" t="n">
        <v>213.6640249490738</v>
      </c>
      <c r="M696" s="19" t="n">
        <v>261.1879482269287</v>
      </c>
      <c r="N696" s="17" t="inlineStr">
        <is>
          <t>B</t>
        </is>
      </c>
      <c r="O696" s="19" t="n">
        <v>106.0980360269546</v>
      </c>
      <c r="P696" s="18" t="inlineStr">
        <is>
          <t>KHÔNG ĐỀ XUẤT TĂNG</t>
        </is>
      </c>
      <c r="Q696" s="17" t="inlineStr">
        <is>
          <t>Có</t>
        </is>
      </c>
      <c r="R696" s="20" t="n"/>
      <c r="S696" s="20" t="n"/>
      <c r="T696" s="21" t="n"/>
      <c r="U696" s="21" t="n"/>
      <c r="V696" s="22">
        <f>IF(U696="A",K696,IF(U696="B",L696,IF(U696="C",M696,IF(N696="A",K696,IF(N696="B",L696,M696)))))</f>
        <v/>
      </c>
      <c r="W696" s="22">
        <f>IF(R696="",O696,MAX(V696-R696-N(S696),0))</f>
        <v/>
      </c>
      <c r="X696" s="20" t="n"/>
      <c r="Y696" s="23">
        <f>IF(OR(X696="",W696=0),"",X696/W696-1)</f>
        <v/>
      </c>
      <c r="Z696" s="24" t="n"/>
      <c r="AA696" s="21" t="n"/>
      <c r="AB696" s="25" t="n"/>
      <c r="AC696" s="26">
        <f>IF(T696="","Chưa quyết định",IF(OR(Z696="",AA696=""),"⚠ Thiếu lý do/người duyệt",IF(AND(X696&lt;&gt;"",N(X696)+N(R696)+N(S696)&gt;M696*1.001,R696&lt;&gt;""),"⚠ Vượt mục tiêu P90",IF(AND(Y696&lt;&gt;"",ABS(N(Y696))&gt;0.3),"⚠ Lệch &gt; 30% so với nhu cầu",IF(Q696="Có","ℹ Kiểm tra ngoại suy KM","✓ Hợp lệ")))))</f>
        <v/>
      </c>
    </row>
    <row r="697">
      <c r="A697" s="16" t="n">
        <v>693</v>
      </c>
      <c r="B697" s="17" t="inlineStr">
        <is>
          <t>DEC-S45-LINGERIE</t>
        </is>
      </c>
      <c r="C697" s="16" t="n">
        <v>45</v>
      </c>
      <c r="D697" s="17" t="inlineStr">
        <is>
          <t>LINGERIE</t>
        </is>
      </c>
      <c r="E697" s="17" t="inlineStr">
        <is>
          <t>HIGH</t>
        </is>
      </c>
      <c r="F697" s="17" t="inlineStr">
        <is>
          <t>TRUNG BÌNH</t>
        </is>
      </c>
      <c r="G697" s="18" t="inlineStr">
        <is>
          <t>RISK_HIGH · PROMO_EXTRAPOLATION</t>
        </is>
      </c>
      <c r="H697" s="19" t="n">
        <v>32.14289565086365</v>
      </c>
      <c r="I697" s="19" t="n">
        <v>134.2922623157501</v>
      </c>
      <c r="J697" s="19" t="n">
        <v>283.6750123023987</v>
      </c>
      <c r="K697" s="19" t="n">
        <v>134.2922623157501</v>
      </c>
      <c r="L697" s="19" t="n">
        <v>227.6564810574055</v>
      </c>
      <c r="M697" s="19" t="n">
        <v>283.6750123023987</v>
      </c>
      <c r="N697" s="17" t="inlineStr">
        <is>
          <t>B</t>
        </is>
      </c>
      <c r="O697" s="19" t="n">
        <v>120.2226712048054</v>
      </c>
      <c r="P697" s="18" t="inlineStr">
        <is>
          <t>KHÔNG ĐỀ XUẤT TĂNG</t>
        </is>
      </c>
      <c r="Q697" s="17" t="inlineStr">
        <is>
          <t>Có</t>
        </is>
      </c>
      <c r="R697" s="20" t="n"/>
      <c r="S697" s="20" t="n"/>
      <c r="T697" s="21" t="n"/>
      <c r="U697" s="21" t="n"/>
      <c r="V697" s="22">
        <f>IF(U697="A",K697,IF(U697="B",L697,IF(U697="C",M697,IF(N697="A",K697,IF(N697="B",L697,M697)))))</f>
        <v/>
      </c>
      <c r="W697" s="22">
        <f>IF(R697="",O697,MAX(V697-R697-N(S697),0))</f>
        <v/>
      </c>
      <c r="X697" s="20" t="n"/>
      <c r="Y697" s="23">
        <f>IF(OR(X697="",W697=0),"",X697/W697-1)</f>
        <v/>
      </c>
      <c r="Z697" s="24" t="n"/>
      <c r="AA697" s="21" t="n"/>
      <c r="AB697" s="25" t="n"/>
      <c r="AC697" s="26">
        <f>IF(T697="","Chưa quyết định",IF(OR(Z697="",AA697=""),"⚠ Thiếu lý do/người duyệt",IF(AND(X697&lt;&gt;"",N(X697)+N(R697)+N(S697)&gt;M697*1.001,R697&lt;&gt;""),"⚠ Vượt mục tiêu P90",IF(AND(Y697&lt;&gt;"",ABS(N(Y697))&gt;0.3),"⚠ Lệch &gt; 30% so với nhu cầu",IF(Q697="Có","ℹ Kiểm tra ngoại suy KM","✓ Hợp lệ")))))</f>
        <v/>
      </c>
    </row>
    <row r="698">
      <c r="A698" s="16" t="n">
        <v>694</v>
      </c>
      <c r="B698" s="17" t="inlineStr">
        <is>
          <t>DEC-S37-PET_SUPPLIES</t>
        </is>
      </c>
      <c r="C698" s="16" t="n">
        <v>37</v>
      </c>
      <c r="D698" s="17" t="inlineStr">
        <is>
          <t>PET SUPPLIES</t>
        </is>
      </c>
      <c r="E698" s="17" t="inlineStr">
        <is>
          <t>HIGH</t>
        </is>
      </c>
      <c r="F698" s="17" t="inlineStr">
        <is>
          <t>TRUNG BÌNH</t>
        </is>
      </c>
      <c r="G698" s="18" t="inlineStr">
        <is>
          <t>RISK_HIGH · PROMO_EXTRAPOLATION</t>
        </is>
      </c>
      <c r="H698" s="19" t="n">
        <v>36.98833537101746</v>
      </c>
      <c r="I698" s="19" t="n">
        <v>134.2125165462494</v>
      </c>
      <c r="J698" s="19" t="n">
        <v>268.1098346710205</v>
      </c>
      <c r="K698" s="19" t="n">
        <v>134.2125165462494</v>
      </c>
      <c r="L698" s="19" t="n">
        <v>217.8983403742313</v>
      </c>
      <c r="M698" s="19" t="n">
        <v>268.1098346710205</v>
      </c>
      <c r="N698" s="17" t="inlineStr">
        <is>
          <t>B</t>
        </is>
      </c>
      <c r="O698" s="19" t="n">
        <v>110.5283271372318</v>
      </c>
      <c r="P698" s="18" t="inlineStr">
        <is>
          <t>KHÔNG ĐỀ XUẤT TĂNG</t>
        </is>
      </c>
      <c r="Q698" s="17" t="inlineStr">
        <is>
          <t>Có</t>
        </is>
      </c>
      <c r="R698" s="20" t="n"/>
      <c r="S698" s="20" t="n"/>
      <c r="T698" s="21" t="n"/>
      <c r="U698" s="21" t="n"/>
      <c r="V698" s="22">
        <f>IF(U698="A",K698,IF(U698="B",L698,IF(U698="C",M698,IF(N698="A",K698,IF(N698="B",L698,M698)))))</f>
        <v/>
      </c>
      <c r="W698" s="22">
        <f>IF(R698="",O698,MAX(V698-R698-N(S698),0))</f>
        <v/>
      </c>
      <c r="X698" s="20" t="n"/>
      <c r="Y698" s="23">
        <f>IF(OR(X698="",W698=0),"",X698/W698-1)</f>
        <v/>
      </c>
      <c r="Z698" s="24" t="n"/>
      <c r="AA698" s="21" t="n"/>
      <c r="AB698" s="25" t="n"/>
      <c r="AC698" s="26">
        <f>IF(T698="","Chưa quyết định",IF(OR(Z698="",AA698=""),"⚠ Thiếu lý do/người duyệt",IF(AND(X698&lt;&gt;"",N(X698)+N(R698)+N(S698)&gt;M698*1.001,R698&lt;&gt;""),"⚠ Vượt mục tiêu P90",IF(AND(Y698&lt;&gt;"",ABS(N(Y698))&gt;0.3),"⚠ Lệch &gt; 30% so với nhu cầu",IF(Q698="Có","ℹ Kiểm tra ngoại suy KM","✓ Hợp lệ")))))</f>
        <v/>
      </c>
    </row>
    <row r="699">
      <c r="A699" s="16" t="n">
        <v>695</v>
      </c>
      <c r="B699" s="17" t="inlineStr">
        <is>
          <t>DEC-S35-HOME_AND_KITCHEN_II</t>
        </is>
      </c>
      <c r="C699" s="16" t="n">
        <v>35</v>
      </c>
      <c r="D699" s="17" t="inlineStr">
        <is>
          <t>HOME AND KITCHEN II</t>
        </is>
      </c>
      <c r="E699" s="17" t="inlineStr">
        <is>
          <t>HIGH</t>
        </is>
      </c>
      <c r="F699" s="17" t="inlineStr">
        <is>
          <t>TRUNG BÌNH</t>
        </is>
      </c>
      <c r="G699" s="18" t="inlineStr">
        <is>
          <t>RISK_HIGH · PROMO_EXTRAPOLATION</t>
        </is>
      </c>
      <c r="H699" s="19" t="n">
        <v>38.79800639152527</v>
      </c>
      <c r="I699" s="19" t="n">
        <v>132.8633287549019</v>
      </c>
      <c r="J699" s="19" t="n">
        <v>277.2083083748818</v>
      </c>
      <c r="K699" s="19" t="n">
        <v>132.8633287549019</v>
      </c>
      <c r="L699" s="19" t="n">
        <v>223.0789410173893</v>
      </c>
      <c r="M699" s="19" t="n">
        <v>277.2083083748818</v>
      </c>
      <c r="N699" s="17" t="inlineStr">
        <is>
          <t>B</t>
        </is>
      </c>
      <c r="O699" s="19" t="n">
        <v>116.7882780134678</v>
      </c>
      <c r="P699" s="18" t="inlineStr">
        <is>
          <t>CÂN NHẮC THỬ NGHIỆM</t>
        </is>
      </c>
      <c r="Q699" s="17" t="inlineStr">
        <is>
          <t>Có</t>
        </is>
      </c>
      <c r="R699" s="20" t="n"/>
      <c r="S699" s="20" t="n"/>
      <c r="T699" s="21" t="n"/>
      <c r="U699" s="21" t="n"/>
      <c r="V699" s="22">
        <f>IF(U699="A",K699,IF(U699="B",L699,IF(U699="C",M699,IF(N699="A",K699,IF(N699="B",L699,M699)))))</f>
        <v/>
      </c>
      <c r="W699" s="22">
        <f>IF(R699="",O699,MAX(V699-R699-N(S699),0))</f>
        <v/>
      </c>
      <c r="X699" s="20" t="n"/>
      <c r="Y699" s="23">
        <f>IF(OR(X699="",W699=0),"",X699/W699-1)</f>
        <v/>
      </c>
      <c r="Z699" s="24" t="n"/>
      <c r="AA699" s="21" t="n"/>
      <c r="AB699" s="25" t="n"/>
      <c r="AC699" s="26">
        <f>IF(T699="","Chưa quyết định",IF(OR(Z699="",AA699=""),"⚠ Thiếu lý do/người duyệt",IF(AND(X699&lt;&gt;"",N(X699)+N(R699)+N(S699)&gt;M699*1.001,R699&lt;&gt;""),"⚠ Vượt mục tiêu P90",IF(AND(Y699&lt;&gt;"",ABS(N(Y699))&gt;0.3),"⚠ Lệch &gt; 30% so với nhu cầu",IF(Q699="Có","ℹ Kiểm tra ngoại suy KM","✓ Hợp lệ")))))</f>
        <v/>
      </c>
    </row>
    <row r="700">
      <c r="A700" s="16" t="n">
        <v>696</v>
      </c>
      <c r="B700" s="17" t="inlineStr">
        <is>
          <t>DEC-S53-BEAUTY</t>
        </is>
      </c>
      <c r="C700" s="16" t="n">
        <v>53</v>
      </c>
      <c r="D700" s="17" t="inlineStr">
        <is>
          <t>BEAUTY</t>
        </is>
      </c>
      <c r="E700" s="17" t="inlineStr">
        <is>
          <t>HIGH</t>
        </is>
      </c>
      <c r="F700" s="17" t="inlineStr">
        <is>
          <t>TRUNG BÌNH</t>
        </is>
      </c>
      <c r="G700" s="18" t="inlineStr">
        <is>
          <t>RISK_HIGH · PROMO_EXTRAPOLATION</t>
        </is>
      </c>
      <c r="H700" s="19" t="n">
        <v>35.30042583942414</v>
      </c>
      <c r="I700" s="19" t="n">
        <v>132.0933468341827</v>
      </c>
      <c r="J700" s="19" t="n">
        <v>287.2609805583954</v>
      </c>
      <c r="K700" s="19" t="n">
        <v>132.0933468341827</v>
      </c>
      <c r="L700" s="19" t="n">
        <v>229.0731179118156</v>
      </c>
      <c r="M700" s="19" t="n">
        <v>287.2609805583954</v>
      </c>
      <c r="N700" s="17" t="inlineStr">
        <is>
          <t>B</t>
        </is>
      </c>
      <c r="O700" s="19" t="n">
        <v>123.3984404444694</v>
      </c>
      <c r="P700" s="18" t="inlineStr">
        <is>
          <t>CÂN NHẮC THỬ NGHIỆM</t>
        </is>
      </c>
      <c r="Q700" s="17" t="inlineStr">
        <is>
          <t>Có</t>
        </is>
      </c>
      <c r="R700" s="20" t="n"/>
      <c r="S700" s="20" t="n"/>
      <c r="T700" s="21" t="n"/>
      <c r="U700" s="21" t="n"/>
      <c r="V700" s="22">
        <f>IF(U700="A",K700,IF(U700="B",L700,IF(U700="C",M700,IF(N700="A",K700,IF(N700="B",L700,M700)))))</f>
        <v/>
      </c>
      <c r="W700" s="22">
        <f>IF(R700="",O700,MAX(V700-R700-N(S700),0))</f>
        <v/>
      </c>
      <c r="X700" s="20" t="n"/>
      <c r="Y700" s="23">
        <f>IF(OR(X700="",W700=0),"",X700/W700-1)</f>
        <v/>
      </c>
      <c r="Z700" s="24" t="n"/>
      <c r="AA700" s="21" t="n"/>
      <c r="AB700" s="25" t="n"/>
      <c r="AC700" s="26">
        <f>IF(T700="","Chưa quyết định",IF(OR(Z700="",AA700=""),"⚠ Thiếu lý do/người duyệt",IF(AND(X700&lt;&gt;"",N(X700)+N(R700)+N(S700)&gt;M700*1.001,R700&lt;&gt;""),"⚠ Vượt mục tiêu P90",IF(AND(Y700&lt;&gt;"",ABS(N(Y700))&gt;0.3),"⚠ Lệch &gt; 30% so với nhu cầu",IF(Q700="Có","ℹ Kiểm tra ngoại suy KM","✓ Hợp lệ")))))</f>
        <v/>
      </c>
    </row>
    <row r="701">
      <c r="A701" s="16" t="n">
        <v>697</v>
      </c>
      <c r="B701" s="17" t="inlineStr">
        <is>
          <t>DEC-S17-PLAYERS_AND_ELECTRONICS</t>
        </is>
      </c>
      <c r="C701" s="16" t="n">
        <v>17</v>
      </c>
      <c r="D701" s="17" t="inlineStr">
        <is>
          <t>PLAYERS AND ELECTRONICS</t>
        </is>
      </c>
      <c r="E701" s="17" t="inlineStr">
        <is>
          <t>HIGH</t>
        </is>
      </c>
      <c r="F701" s="17" t="inlineStr">
        <is>
          <t>TRUNG BÌNH</t>
        </is>
      </c>
      <c r="G701" s="18" t="inlineStr">
        <is>
          <t>RISK_HIGH · PROMO_EXTRAPOLATION</t>
        </is>
      </c>
      <c r="H701" s="19" t="n">
        <v>38.03822660446167</v>
      </c>
      <c r="I701" s="19" t="n">
        <v>131.6668410301208</v>
      </c>
      <c r="J701" s="19" t="n">
        <v>263.1752071380615</v>
      </c>
      <c r="K701" s="19" t="n">
        <v>131.6668410301208</v>
      </c>
      <c r="L701" s="19" t="n">
        <v>213.8595698475838</v>
      </c>
      <c r="M701" s="19" t="n">
        <v>263.1752071380615</v>
      </c>
      <c r="N701" s="17" t="inlineStr">
        <is>
          <t>B</t>
        </is>
      </c>
      <c r="O701" s="19" t="n">
        <v>108.5260970234871</v>
      </c>
      <c r="P701" s="18" t="inlineStr">
        <is>
          <t>KHÔNG ĐỀ XUẤT TĂNG</t>
        </is>
      </c>
      <c r="Q701" s="17" t="inlineStr">
        <is>
          <t>Có</t>
        </is>
      </c>
      <c r="R701" s="20" t="n"/>
      <c r="S701" s="20" t="n"/>
      <c r="T701" s="21" t="n"/>
      <c r="U701" s="21" t="n"/>
      <c r="V701" s="22">
        <f>IF(U701="A",K701,IF(U701="B",L701,IF(U701="C",M701,IF(N701="A",K701,IF(N701="B",L701,M701)))))</f>
        <v/>
      </c>
      <c r="W701" s="22">
        <f>IF(R701="",O701,MAX(V701-R701-N(S701),0))</f>
        <v/>
      </c>
      <c r="X701" s="20" t="n"/>
      <c r="Y701" s="23">
        <f>IF(OR(X701="",W701=0),"",X701/W701-1)</f>
        <v/>
      </c>
      <c r="Z701" s="24" t="n"/>
      <c r="AA701" s="21" t="n"/>
      <c r="AB701" s="25" t="n"/>
      <c r="AC701" s="26">
        <f>IF(T701="","Chưa quyết định",IF(OR(Z701="",AA701=""),"⚠ Thiếu lý do/người duyệt",IF(AND(X701&lt;&gt;"",N(X701)+N(R701)+N(S701)&gt;M701*1.001,R701&lt;&gt;""),"⚠ Vượt mục tiêu P90",IF(AND(Y701&lt;&gt;"",ABS(N(Y701))&gt;0.3),"⚠ Lệch &gt; 30% so với nhu cầu",IF(Q701="Có","ℹ Kiểm tra ngoại suy KM","✓ Hợp lệ")))))</f>
        <v/>
      </c>
    </row>
    <row r="702">
      <c r="A702" s="16" t="n">
        <v>698</v>
      </c>
      <c r="B702" s="17" t="inlineStr">
        <is>
          <t>DEC-S20-AUTOMOTIVE</t>
        </is>
      </c>
      <c r="C702" s="16" t="n">
        <v>20</v>
      </c>
      <c r="D702" s="17" t="inlineStr">
        <is>
          <t>AUTOMOTIVE</t>
        </is>
      </c>
      <c r="E702" s="17" t="inlineStr">
        <is>
          <t>HIGH</t>
        </is>
      </c>
      <c r="F702" s="17" t="inlineStr">
        <is>
          <t>TRUNG BÌNH</t>
        </is>
      </c>
      <c r="G702" s="18" t="inlineStr">
        <is>
          <t>RISK_HIGH · PROMO_EXTRAPOLATION</t>
        </is>
      </c>
      <c r="H702" s="19" t="n">
        <v>41.59426856040955</v>
      </c>
      <c r="I702" s="19" t="n">
        <v>131.627316236496</v>
      </c>
      <c r="J702" s="19" t="n">
        <v>260.7467303276062</v>
      </c>
      <c r="K702" s="19" t="n">
        <v>131.627316236496</v>
      </c>
      <c r="L702" s="19" t="n">
        <v>212.3269500434399</v>
      </c>
      <c r="M702" s="19" t="n">
        <v>260.7467303276062</v>
      </c>
      <c r="N702" s="17" t="inlineStr">
        <is>
          <t>B</t>
        </is>
      </c>
      <c r="O702" s="19" t="n">
        <v>107.0250970542431</v>
      </c>
      <c r="P702" s="18" t="inlineStr">
        <is>
          <t>KHÔNG ĐỀ XUẤT TĂNG</t>
        </is>
      </c>
      <c r="Q702" s="17" t="inlineStr">
        <is>
          <t>Có</t>
        </is>
      </c>
      <c r="R702" s="20" t="n"/>
      <c r="S702" s="20" t="n"/>
      <c r="T702" s="21" t="n"/>
      <c r="U702" s="21" t="n"/>
      <c r="V702" s="22">
        <f>IF(U702="A",K702,IF(U702="B",L702,IF(U702="C",M702,IF(N702="A",K702,IF(N702="B",L702,M702)))))</f>
        <v/>
      </c>
      <c r="W702" s="22">
        <f>IF(R702="",O702,MAX(V702-R702-N(S702),0))</f>
        <v/>
      </c>
      <c r="X702" s="20" t="n"/>
      <c r="Y702" s="23">
        <f>IF(OR(X702="",W702=0),"",X702/W702-1)</f>
        <v/>
      </c>
      <c r="Z702" s="24" t="n"/>
      <c r="AA702" s="21" t="n"/>
      <c r="AB702" s="25" t="n"/>
      <c r="AC702" s="26">
        <f>IF(T702="","Chưa quyết định",IF(OR(Z702="",AA702=""),"⚠ Thiếu lý do/người duyệt",IF(AND(X702&lt;&gt;"",N(X702)+N(R702)+N(S702)&gt;M702*1.001,R702&lt;&gt;""),"⚠ Vượt mục tiêu P90",IF(AND(Y702&lt;&gt;"",ABS(N(Y702))&gt;0.3),"⚠ Lệch &gt; 30% so với nhu cầu",IF(Q702="Có","ℹ Kiểm tra ngoại suy KM","✓ Hợp lệ")))))</f>
        <v/>
      </c>
    </row>
    <row r="703">
      <c r="A703" s="16" t="n">
        <v>699</v>
      </c>
      <c r="B703" s="17" t="inlineStr">
        <is>
          <t>DEC-S11-AUTOMOTIVE</t>
        </is>
      </c>
      <c r="C703" s="16" t="n">
        <v>11</v>
      </c>
      <c r="D703" s="17" t="inlineStr">
        <is>
          <t>AUTOMOTIVE</t>
        </is>
      </c>
      <c r="E703" s="17" t="inlineStr">
        <is>
          <t>HIGH</t>
        </is>
      </c>
      <c r="F703" s="17" t="inlineStr">
        <is>
          <t>TRUNG BÌNH</t>
        </is>
      </c>
      <c r="G703" s="18" t="inlineStr">
        <is>
          <t>RISK_HIGH · PROMO_EXTRAPOLATION</t>
        </is>
      </c>
      <c r="H703" s="19" t="n">
        <v>34.24287915229797</v>
      </c>
      <c r="I703" s="19" t="n">
        <v>131.4670603275299</v>
      </c>
      <c r="J703" s="19" t="n">
        <v>265.364378452301</v>
      </c>
      <c r="K703" s="19" t="n">
        <v>131.4670603275299</v>
      </c>
      <c r="L703" s="19" t="n">
        <v>215.1528841555119</v>
      </c>
      <c r="M703" s="19" t="n">
        <v>265.364378452301</v>
      </c>
      <c r="N703" s="17" t="inlineStr">
        <is>
          <t>B</t>
        </is>
      </c>
      <c r="O703" s="19" t="n">
        <v>109.9792358934879</v>
      </c>
      <c r="P703" s="18" t="inlineStr">
        <is>
          <t>KHÔNG ĐỀ XUẤT TĂNG</t>
        </is>
      </c>
      <c r="Q703" s="17" t="inlineStr">
        <is>
          <t>Có</t>
        </is>
      </c>
      <c r="R703" s="20" t="n"/>
      <c r="S703" s="20" t="n"/>
      <c r="T703" s="21" t="n"/>
      <c r="U703" s="21" t="n"/>
      <c r="V703" s="22">
        <f>IF(U703="A",K703,IF(U703="B",L703,IF(U703="C",M703,IF(N703="A",K703,IF(N703="B",L703,M703)))))</f>
        <v/>
      </c>
      <c r="W703" s="22">
        <f>IF(R703="",O703,MAX(V703-R703-N(S703),0))</f>
        <v/>
      </c>
      <c r="X703" s="20" t="n"/>
      <c r="Y703" s="23">
        <f>IF(OR(X703="",W703=0),"",X703/W703-1)</f>
        <v/>
      </c>
      <c r="Z703" s="24" t="n"/>
      <c r="AA703" s="21" t="n"/>
      <c r="AB703" s="25" t="n"/>
      <c r="AC703" s="26">
        <f>IF(T703="","Chưa quyết định",IF(OR(Z703="",AA703=""),"⚠ Thiếu lý do/người duyệt",IF(AND(X703&lt;&gt;"",N(X703)+N(R703)+N(S703)&gt;M703*1.001,R703&lt;&gt;""),"⚠ Vượt mục tiêu P90",IF(AND(Y703&lt;&gt;"",ABS(N(Y703))&gt;0.3),"⚠ Lệch &gt; 30% so với nhu cầu",IF(Q703="Có","ℹ Kiểm tra ngoại suy KM","✓ Hợp lệ")))))</f>
        <v/>
      </c>
    </row>
    <row r="704">
      <c r="A704" s="16" t="n">
        <v>700</v>
      </c>
      <c r="B704" s="17" t="inlineStr">
        <is>
          <t>DEC-S41-AUTOMOTIVE</t>
        </is>
      </c>
      <c r="C704" s="16" t="n">
        <v>41</v>
      </c>
      <c r="D704" s="17" t="inlineStr">
        <is>
          <t>AUTOMOTIVE</t>
        </is>
      </c>
      <c r="E704" s="17" t="inlineStr">
        <is>
          <t>HIGH</t>
        </is>
      </c>
      <c r="F704" s="17" t="inlineStr">
        <is>
          <t>TRUNG BÌNH</t>
        </is>
      </c>
      <c r="G704" s="18" t="inlineStr">
        <is>
          <t>RISK_HIGH · PROMO_EXTRAPOLATION</t>
        </is>
      </c>
      <c r="H704" s="19" t="n">
        <v>38.65465950965881</v>
      </c>
      <c r="I704" s="19" t="n">
        <v>131.0849134922028</v>
      </c>
      <c r="J704" s="19" t="n">
        <v>265.9892113208771</v>
      </c>
      <c r="K704" s="19" t="n">
        <v>131.0849134922028</v>
      </c>
      <c r="L704" s="19" t="n">
        <v>215.4000996351242</v>
      </c>
      <c r="M704" s="19" t="n">
        <v>265.9892113208771</v>
      </c>
      <c r="N704" s="17" t="inlineStr">
        <is>
          <t>B</t>
        </is>
      </c>
      <c r="O704" s="19" t="n">
        <v>110.532168841362</v>
      </c>
      <c r="P704" s="18" t="inlineStr">
        <is>
          <t>CÂN NHẮC THỬ NGHIỆM</t>
        </is>
      </c>
      <c r="Q704" s="17" t="inlineStr">
        <is>
          <t>Có</t>
        </is>
      </c>
      <c r="R704" s="20" t="n"/>
      <c r="S704" s="20" t="n"/>
      <c r="T704" s="21" t="n"/>
      <c r="U704" s="21" t="n"/>
      <c r="V704" s="22">
        <f>IF(U704="A",K704,IF(U704="B",L704,IF(U704="C",M704,IF(N704="A",K704,IF(N704="B",L704,M704)))))</f>
        <v/>
      </c>
      <c r="W704" s="22">
        <f>IF(R704="",O704,MAX(V704-R704-N(S704),0))</f>
        <v/>
      </c>
      <c r="X704" s="20" t="n"/>
      <c r="Y704" s="23">
        <f>IF(OR(X704="",W704=0),"",X704/W704-1)</f>
        <v/>
      </c>
      <c r="Z704" s="24" t="n"/>
      <c r="AA704" s="21" t="n"/>
      <c r="AB704" s="25" t="n"/>
      <c r="AC704" s="26">
        <f>IF(T704="","Chưa quyết định",IF(OR(Z704="",AA704=""),"⚠ Thiếu lý do/người duyệt",IF(AND(X704&lt;&gt;"",N(X704)+N(R704)+N(S704)&gt;M704*1.001,R704&lt;&gt;""),"⚠ Vượt mục tiêu P90",IF(AND(Y704&lt;&gt;"",ABS(N(Y704))&gt;0.3),"⚠ Lệch &gt; 30% so với nhu cầu",IF(Q704="Có","ℹ Kiểm tra ngoại suy KM","✓ Hợp lệ")))))</f>
        <v/>
      </c>
    </row>
    <row r="705">
      <c r="A705" s="16" t="n">
        <v>701</v>
      </c>
      <c r="B705" s="17" t="inlineStr">
        <is>
          <t>DEC-S05-LINGERIE</t>
        </is>
      </c>
      <c r="C705" s="16" t="n">
        <v>5</v>
      </c>
      <c r="D705" s="17" t="inlineStr">
        <is>
          <t>LINGERIE</t>
        </is>
      </c>
      <c r="E705" s="17" t="inlineStr">
        <is>
          <t>HIGH</t>
        </is>
      </c>
      <c r="F705" s="17" t="inlineStr">
        <is>
          <t>TRUNG BÌNH</t>
        </is>
      </c>
      <c r="G705" s="18" t="inlineStr">
        <is>
          <t>RISK_HIGH · PROMO_EXTRAPOLATION</t>
        </is>
      </c>
      <c r="H705" s="19" t="n">
        <v>36.64286422729492</v>
      </c>
      <c r="I705" s="19" t="n">
        <v>130.2714786529541</v>
      </c>
      <c r="J705" s="19" t="n">
        <v>261.7798447608948</v>
      </c>
      <c r="K705" s="19" t="n">
        <v>130.2714786529541</v>
      </c>
      <c r="L705" s="19" t="n">
        <v>212.464207470417</v>
      </c>
      <c r="M705" s="19" t="n">
        <v>261.7798447608948</v>
      </c>
      <c r="N705" s="17" t="inlineStr">
        <is>
          <t>B</t>
        </is>
      </c>
      <c r="O705" s="19" t="n">
        <v>108.2470245480537</v>
      </c>
      <c r="P705" s="18" t="inlineStr">
        <is>
          <t>KHÔNG ĐỀ XUẤT TĂNG</t>
        </is>
      </c>
      <c r="Q705" s="17" t="inlineStr">
        <is>
          <t>Có</t>
        </is>
      </c>
      <c r="R705" s="20" t="n"/>
      <c r="S705" s="20" t="n"/>
      <c r="T705" s="21" t="n"/>
      <c r="U705" s="21" t="n"/>
      <c r="V705" s="22">
        <f>IF(U705="A",K705,IF(U705="B",L705,IF(U705="C",M705,IF(N705="A",K705,IF(N705="B",L705,M705)))))</f>
        <v/>
      </c>
      <c r="W705" s="22">
        <f>IF(R705="",O705,MAX(V705-R705-N(S705),0))</f>
        <v/>
      </c>
      <c r="X705" s="20" t="n"/>
      <c r="Y705" s="23">
        <f>IF(OR(X705="",W705=0),"",X705/W705-1)</f>
        <v/>
      </c>
      <c r="Z705" s="24" t="n"/>
      <c r="AA705" s="21" t="n"/>
      <c r="AB705" s="25" t="n"/>
      <c r="AC705" s="26">
        <f>IF(T705="","Chưa quyết định",IF(OR(Z705="",AA705=""),"⚠ Thiếu lý do/người duyệt",IF(AND(X705&lt;&gt;"",N(X705)+N(R705)+N(S705)&gt;M705*1.001,R705&lt;&gt;""),"⚠ Vượt mục tiêu P90",IF(AND(Y705&lt;&gt;"",ABS(N(Y705))&gt;0.3),"⚠ Lệch &gt; 30% so với nhu cầu",IF(Q705="Có","ℹ Kiểm tra ngoại suy KM","✓ Hợp lệ")))))</f>
        <v/>
      </c>
    </row>
    <row r="706">
      <c r="A706" s="16" t="n">
        <v>702</v>
      </c>
      <c r="B706" s="17" t="inlineStr">
        <is>
          <t>DEC-S29-LAWN_AND_GARDEN</t>
        </is>
      </c>
      <c r="C706" s="16" t="n">
        <v>29</v>
      </c>
      <c r="D706" s="17" t="inlineStr">
        <is>
          <t>LAWN AND GARDEN</t>
        </is>
      </c>
      <c r="E706" s="17" t="inlineStr">
        <is>
          <t>HIGH</t>
        </is>
      </c>
      <c r="F706" s="17" t="inlineStr">
        <is>
          <t>TRUNG BÌNH</t>
        </is>
      </c>
      <c r="G706" s="18" t="inlineStr">
        <is>
          <t>RISK_HIGH · PROMO_EXTRAPOLATION</t>
        </is>
      </c>
      <c r="H706" s="19" t="n">
        <v>38.65943077802658</v>
      </c>
      <c r="I706" s="19" t="n">
        <v>129.8032050132751</v>
      </c>
      <c r="J706" s="19" t="n">
        <v>271.7592326164246</v>
      </c>
      <c r="K706" s="19" t="n">
        <v>129.8032050132751</v>
      </c>
      <c r="L706" s="19" t="n">
        <v>218.5257222652435</v>
      </c>
      <c r="M706" s="19" t="n">
        <v>271.7592326164246</v>
      </c>
      <c r="N706" s="17" t="inlineStr">
        <is>
          <t>B</t>
        </is>
      </c>
      <c r="O706" s="19" t="n">
        <v>114.6831582546234</v>
      </c>
      <c r="P706" s="18" t="inlineStr">
        <is>
          <t>CÂN NHẮC THỬ NGHIỆM</t>
        </is>
      </c>
      <c r="Q706" s="17" t="inlineStr">
        <is>
          <t>Có</t>
        </is>
      </c>
      <c r="R706" s="20" t="n"/>
      <c r="S706" s="20" t="n"/>
      <c r="T706" s="21" t="n"/>
      <c r="U706" s="21" t="n"/>
      <c r="V706" s="22">
        <f>IF(U706="A",K706,IF(U706="B",L706,IF(U706="C",M706,IF(N706="A",K706,IF(N706="B",L706,M706)))))</f>
        <v/>
      </c>
      <c r="W706" s="22">
        <f>IF(R706="",O706,MAX(V706-R706-N(S706),0))</f>
        <v/>
      </c>
      <c r="X706" s="20" t="n"/>
      <c r="Y706" s="23">
        <f>IF(OR(X706="",W706=0),"",X706/W706-1)</f>
        <v/>
      </c>
      <c r="Z706" s="24" t="n"/>
      <c r="AA706" s="21" t="n"/>
      <c r="AB706" s="25" t="n"/>
      <c r="AC706" s="26">
        <f>IF(T706="","Chưa quyết định",IF(OR(Z706="",AA706=""),"⚠ Thiếu lý do/người duyệt",IF(AND(X706&lt;&gt;"",N(X706)+N(R706)+N(S706)&gt;M706*1.001,R706&lt;&gt;""),"⚠ Vượt mục tiêu P90",IF(AND(Y706&lt;&gt;"",ABS(N(Y706))&gt;0.3),"⚠ Lệch &gt; 30% so với nhu cầu",IF(Q706="Có","ℹ Kiểm tra ngoại suy KM","✓ Hợp lệ")))))</f>
        <v/>
      </c>
    </row>
    <row r="707">
      <c r="A707" s="16" t="n">
        <v>703</v>
      </c>
      <c r="B707" s="17" t="inlineStr">
        <is>
          <t>DEC-S20-LADIESWEAR</t>
        </is>
      </c>
      <c r="C707" s="16" t="n">
        <v>20</v>
      </c>
      <c r="D707" s="17" t="inlineStr">
        <is>
          <t>LADIESWEAR</t>
        </is>
      </c>
      <c r="E707" s="17" t="inlineStr">
        <is>
          <t>HIGH</t>
        </is>
      </c>
      <c r="F707" s="17" t="inlineStr">
        <is>
          <t>TRUNG BÌNH</t>
        </is>
      </c>
      <c r="G707" s="18" t="inlineStr">
        <is>
          <t>RISK_HIGH · PROMO_EXTRAPOLATION</t>
        </is>
      </c>
      <c r="H707" s="19" t="n">
        <v>42.93670129776001</v>
      </c>
      <c r="I707" s="19" t="n">
        <v>128.8845475912094</v>
      </c>
      <c r="J707" s="19" t="n">
        <v>255.6150096654892</v>
      </c>
      <c r="K707" s="19" t="n">
        <v>128.8845475912094</v>
      </c>
      <c r="L707" s="19" t="n">
        <v>208.0910863876343</v>
      </c>
      <c r="M707" s="19" t="n">
        <v>255.6150096654892</v>
      </c>
      <c r="N707" s="17" t="inlineStr">
        <is>
          <t>B</t>
        </is>
      </c>
      <c r="O707" s="19" t="n">
        <v>104.9834483146668</v>
      </c>
      <c r="P707" s="18" t="inlineStr">
        <is>
          <t>KHÔNG ĐỀ XUẤT TĂNG</t>
        </is>
      </c>
      <c r="Q707" s="17" t="inlineStr">
        <is>
          <t>Có</t>
        </is>
      </c>
      <c r="R707" s="20" t="n"/>
      <c r="S707" s="20" t="n"/>
      <c r="T707" s="21" t="n"/>
      <c r="U707" s="21" t="n"/>
      <c r="V707" s="22">
        <f>IF(U707="A",K707,IF(U707="B",L707,IF(U707="C",M707,IF(N707="A",K707,IF(N707="B",L707,M707)))))</f>
        <v/>
      </c>
      <c r="W707" s="22">
        <f>IF(R707="",O707,MAX(V707-R707-N(S707),0))</f>
        <v/>
      </c>
      <c r="X707" s="20" t="n"/>
      <c r="Y707" s="23">
        <f>IF(OR(X707="",W707=0),"",X707/W707-1)</f>
        <v/>
      </c>
      <c r="Z707" s="24" t="n"/>
      <c r="AA707" s="21" t="n"/>
      <c r="AB707" s="25" t="n"/>
      <c r="AC707" s="26">
        <f>IF(T707="","Chưa quyết định",IF(OR(Z707="",AA707=""),"⚠ Thiếu lý do/người duyệt",IF(AND(X707&lt;&gt;"",N(X707)+N(R707)+N(S707)&gt;M707*1.001,R707&lt;&gt;""),"⚠ Vượt mục tiêu P90",IF(AND(Y707&lt;&gt;"",ABS(N(Y707))&gt;0.3),"⚠ Lệch &gt; 30% so với nhu cầu",IF(Q707="Có","ℹ Kiểm tra ngoại suy KM","✓ Hợp lệ")))))</f>
        <v/>
      </c>
    </row>
    <row r="708">
      <c r="A708" s="16" t="n">
        <v>704</v>
      </c>
      <c r="B708" s="17" t="inlineStr">
        <is>
          <t>DEC-S01-PLAYERS_AND_ELECTRONICS</t>
        </is>
      </c>
      <c r="C708" s="16" t="n">
        <v>1</v>
      </c>
      <c r="D708" s="17" t="inlineStr">
        <is>
          <t>PLAYERS AND ELECTRONICS</t>
        </is>
      </c>
      <c r="E708" s="17" t="inlineStr">
        <is>
          <t>HIGH</t>
        </is>
      </c>
      <c r="F708" s="17" t="inlineStr">
        <is>
          <t>TRUNG BÌNH</t>
        </is>
      </c>
      <c r="G708" s="18" t="inlineStr">
        <is>
          <t>RISK_HIGH · PROMO_EXTRAPOLATION</t>
        </is>
      </c>
      <c r="H708" s="19" t="n">
        <v>27.0627555847168</v>
      </c>
      <c r="I708" s="19" t="n">
        <v>128.6047792434692</v>
      </c>
      <c r="J708" s="19" t="n">
        <v>270.6759331226349</v>
      </c>
      <c r="K708" s="19" t="n">
        <v>128.6047792434692</v>
      </c>
      <c r="L708" s="19" t="n">
        <v>217.3992504179478</v>
      </c>
      <c r="M708" s="19" t="n">
        <v>270.6759331226349</v>
      </c>
      <c r="N708" s="17" t="inlineStr">
        <is>
          <t>B</t>
        </is>
      </c>
      <c r="O708" s="19" t="n">
        <v>114.5154270231724</v>
      </c>
      <c r="P708" s="18" t="inlineStr">
        <is>
          <t>KHÔNG ĐỀ XUẤT TĂNG</t>
        </is>
      </c>
      <c r="Q708" s="17" t="inlineStr">
        <is>
          <t>Có</t>
        </is>
      </c>
      <c r="R708" s="20" t="n"/>
      <c r="S708" s="20" t="n"/>
      <c r="T708" s="21" t="n"/>
      <c r="U708" s="21" t="n"/>
      <c r="V708" s="22">
        <f>IF(U708="A",K708,IF(U708="B",L708,IF(U708="C",M708,IF(N708="A",K708,IF(N708="B",L708,M708)))))</f>
        <v/>
      </c>
      <c r="W708" s="22">
        <f>IF(R708="",O708,MAX(V708-R708-N(S708),0))</f>
        <v/>
      </c>
      <c r="X708" s="20" t="n"/>
      <c r="Y708" s="23">
        <f>IF(OR(X708="",W708=0),"",X708/W708-1)</f>
        <v/>
      </c>
      <c r="Z708" s="24" t="n"/>
      <c r="AA708" s="21" t="n"/>
      <c r="AB708" s="25" t="n"/>
      <c r="AC708" s="26">
        <f>IF(T708="","Chưa quyết định",IF(OR(Z708="",AA708=""),"⚠ Thiếu lý do/người duyệt",IF(AND(X708&lt;&gt;"",N(X708)+N(R708)+N(S708)&gt;M708*1.001,R708&lt;&gt;""),"⚠ Vượt mục tiêu P90",IF(AND(Y708&lt;&gt;"",ABS(N(Y708))&gt;0.3),"⚠ Lệch &gt; 30% so với nhu cầu",IF(Q708="Có","ℹ Kiểm tra ngoại suy KM","✓ Hợp lệ")))))</f>
        <v/>
      </c>
    </row>
    <row r="709">
      <c r="A709" s="16" t="n">
        <v>705</v>
      </c>
      <c r="B709" s="17" t="inlineStr">
        <is>
          <t>DEC-S40-PLAYERS_AND_ELECTRONICS</t>
        </is>
      </c>
      <c r="C709" s="16" t="n">
        <v>40</v>
      </c>
      <c r="D709" s="17" t="inlineStr">
        <is>
          <t>PLAYERS AND ELECTRONICS</t>
        </is>
      </c>
      <c r="E709" s="17" t="inlineStr">
        <is>
          <t>HIGH</t>
        </is>
      </c>
      <c r="F709" s="17" t="inlineStr">
        <is>
          <t>TRUNG BÌNH</t>
        </is>
      </c>
      <c r="G709" s="18" t="inlineStr">
        <is>
          <t>RISK_HIGH · PROMO_EXTRAPOLATION</t>
        </is>
      </c>
      <c r="H709" s="19" t="n">
        <v>34.58123803138733</v>
      </c>
      <c r="I709" s="19" t="n">
        <v>128.2098524570465</v>
      </c>
      <c r="J709" s="19" t="n">
        <v>259.7182185649872</v>
      </c>
      <c r="K709" s="19" t="n">
        <v>128.2098524570465</v>
      </c>
      <c r="L709" s="19" t="n">
        <v>210.4025812745094</v>
      </c>
      <c r="M709" s="19" t="n">
        <v>259.7182185649872</v>
      </c>
      <c r="N709" s="17" t="inlineStr">
        <is>
          <t>B</t>
        </is>
      </c>
      <c r="O709" s="19" t="n">
        <v>107.8346993088722</v>
      </c>
      <c r="P709" s="18" t="inlineStr">
        <is>
          <t>KHÔNG ĐỀ XUẤT TĂNG</t>
        </is>
      </c>
      <c r="Q709" s="17" t="inlineStr">
        <is>
          <t>Có</t>
        </is>
      </c>
      <c r="R709" s="20" t="n"/>
      <c r="S709" s="20" t="n"/>
      <c r="T709" s="21" t="n"/>
      <c r="U709" s="21" t="n"/>
      <c r="V709" s="22">
        <f>IF(U709="A",K709,IF(U709="B",L709,IF(U709="C",M709,IF(N709="A",K709,IF(N709="B",L709,M709)))))</f>
        <v/>
      </c>
      <c r="W709" s="22">
        <f>IF(R709="",O709,MAX(V709-R709-N(S709),0))</f>
        <v/>
      </c>
      <c r="X709" s="20" t="n"/>
      <c r="Y709" s="23">
        <f>IF(OR(X709="",W709=0),"",X709/W709-1)</f>
        <v/>
      </c>
      <c r="Z709" s="24" t="n"/>
      <c r="AA709" s="21" t="n"/>
      <c r="AB709" s="25" t="n"/>
      <c r="AC709" s="26">
        <f>IF(T709="","Chưa quyết định",IF(OR(Z709="",AA709=""),"⚠ Thiếu lý do/người duyệt",IF(AND(X709&lt;&gt;"",N(X709)+N(R709)+N(S709)&gt;M709*1.001,R709&lt;&gt;""),"⚠ Vượt mục tiêu P90",IF(AND(Y709&lt;&gt;"",ABS(N(Y709))&gt;0.3),"⚠ Lệch &gt; 30% so với nhu cầu",IF(Q709="Có","ℹ Kiểm tra ngoại suy KM","✓ Hợp lệ")))))</f>
        <v/>
      </c>
    </row>
    <row r="710">
      <c r="A710" s="16" t="n">
        <v>706</v>
      </c>
      <c r="B710" s="17" t="inlineStr">
        <is>
          <t>DEC-S02-PET_SUPPLIES</t>
        </is>
      </c>
      <c r="C710" s="16" t="n">
        <v>2</v>
      </c>
      <c r="D710" s="17" t="inlineStr">
        <is>
          <t>PET SUPPLIES</t>
        </is>
      </c>
      <c r="E710" s="17" t="inlineStr">
        <is>
          <t>HIGH</t>
        </is>
      </c>
      <c r="F710" s="17" t="inlineStr">
        <is>
          <t>TRUNG BÌNH</t>
        </is>
      </c>
      <c r="G710" s="18" t="inlineStr">
        <is>
          <t>RISK_HIGH · PROMO_EXTRAPOLATION</t>
        </is>
      </c>
      <c r="H710" s="19" t="n">
        <v>34.46871161460876</v>
      </c>
      <c r="I710" s="19" t="n">
        <v>128.0973260402679</v>
      </c>
      <c r="J710" s="19" t="n">
        <v>259.6056921482086</v>
      </c>
      <c r="K710" s="19" t="n">
        <v>128.0973260402679</v>
      </c>
      <c r="L710" s="19" t="n">
        <v>210.2900548577309</v>
      </c>
      <c r="M710" s="19" t="n">
        <v>259.6056921482086</v>
      </c>
      <c r="N710" s="17" t="inlineStr">
        <is>
          <t>B</t>
        </is>
      </c>
      <c r="O710" s="19" t="n">
        <v>107.8121940255165</v>
      </c>
      <c r="P710" s="18" t="inlineStr">
        <is>
          <t>KHÔNG ĐỀ XUẤT TĂNG</t>
        </is>
      </c>
      <c r="Q710" s="17" t="inlineStr">
        <is>
          <t>Có</t>
        </is>
      </c>
      <c r="R710" s="20" t="n"/>
      <c r="S710" s="20" t="n"/>
      <c r="T710" s="21" t="n"/>
      <c r="U710" s="21" t="n"/>
      <c r="V710" s="22">
        <f>IF(U710="A",K710,IF(U710="B",L710,IF(U710="C",M710,IF(N710="A",K710,IF(N710="B",L710,M710)))))</f>
        <v/>
      </c>
      <c r="W710" s="22">
        <f>IF(R710="",O710,MAX(V710-R710-N(S710),0))</f>
        <v/>
      </c>
      <c r="X710" s="20" t="n"/>
      <c r="Y710" s="23">
        <f>IF(OR(X710="",W710=0),"",X710/W710-1)</f>
        <v/>
      </c>
      <c r="Z710" s="24" t="n"/>
      <c r="AA710" s="21" t="n"/>
      <c r="AB710" s="25" t="n"/>
      <c r="AC710" s="26">
        <f>IF(T710="","Chưa quyết định",IF(OR(Z710="",AA710=""),"⚠ Thiếu lý do/người duyệt",IF(AND(X710&lt;&gt;"",N(X710)+N(R710)+N(S710)&gt;M710*1.001,R710&lt;&gt;""),"⚠ Vượt mục tiêu P90",IF(AND(Y710&lt;&gt;"",ABS(N(Y710))&gt;0.3),"⚠ Lệch &gt; 30% so với nhu cầu",IF(Q710="Có","ℹ Kiểm tra ngoại suy KM","✓ Hợp lệ")))))</f>
        <v/>
      </c>
    </row>
    <row r="711">
      <c r="A711" s="16" t="n">
        <v>707</v>
      </c>
      <c r="B711" s="17" t="inlineStr">
        <is>
          <t>DEC-S09-PET_SUPPLIES</t>
        </is>
      </c>
      <c r="C711" s="16" t="n">
        <v>9</v>
      </c>
      <c r="D711" s="17" t="inlineStr">
        <is>
          <t>PET SUPPLIES</t>
        </is>
      </c>
      <c r="E711" s="17" t="inlineStr">
        <is>
          <t>HIGH</t>
        </is>
      </c>
      <c r="F711" s="17" t="inlineStr">
        <is>
          <t>TRUNG BÌNH</t>
        </is>
      </c>
      <c r="G711" s="18" t="inlineStr">
        <is>
          <t>RISK_HIGH · PROMO_EXTRAPOLATION</t>
        </is>
      </c>
      <c r="H711" s="19" t="n">
        <v>34.31948041915894</v>
      </c>
      <c r="I711" s="19" t="n">
        <v>127.9480948448181</v>
      </c>
      <c r="J711" s="19" t="n">
        <v>259.4564609527588</v>
      </c>
      <c r="K711" s="19" t="n">
        <v>127.9480948448181</v>
      </c>
      <c r="L711" s="19" t="n">
        <v>210.140823662281</v>
      </c>
      <c r="M711" s="19" t="n">
        <v>259.4564609527588</v>
      </c>
      <c r="N711" s="17" t="inlineStr">
        <is>
          <t>B</t>
        </is>
      </c>
      <c r="O711" s="19" t="n">
        <v>107.7823477864265</v>
      </c>
      <c r="P711" s="18" t="inlineStr">
        <is>
          <t>KHÔNG ĐỀ XUẤT TĂNG</t>
        </is>
      </c>
      <c r="Q711" s="17" t="inlineStr">
        <is>
          <t>Có</t>
        </is>
      </c>
      <c r="R711" s="20" t="n"/>
      <c r="S711" s="20" t="n"/>
      <c r="T711" s="21" t="n"/>
      <c r="U711" s="21" t="n"/>
      <c r="V711" s="22">
        <f>IF(U711="A",K711,IF(U711="B",L711,IF(U711="C",M711,IF(N711="A",K711,IF(N711="B",L711,M711)))))</f>
        <v/>
      </c>
      <c r="W711" s="22">
        <f>IF(R711="",O711,MAX(V711-R711-N(S711),0))</f>
        <v/>
      </c>
      <c r="X711" s="20" t="n"/>
      <c r="Y711" s="23">
        <f>IF(OR(X711="",W711=0),"",X711/W711-1)</f>
        <v/>
      </c>
      <c r="Z711" s="24" t="n"/>
      <c r="AA711" s="21" t="n"/>
      <c r="AB711" s="25" t="n"/>
      <c r="AC711" s="26">
        <f>IF(T711="","Chưa quyết định",IF(OR(Z711="",AA711=""),"⚠ Thiếu lý do/người duyệt",IF(AND(X711&lt;&gt;"",N(X711)+N(R711)+N(S711)&gt;M711*1.001,R711&lt;&gt;""),"⚠ Vượt mục tiêu P90",IF(AND(Y711&lt;&gt;"",ABS(N(Y711))&gt;0.3),"⚠ Lệch &gt; 30% so với nhu cầu",IF(Q711="Có","ℹ Kiểm tra ngoại suy KM","✓ Hợp lệ")))))</f>
        <v/>
      </c>
    </row>
    <row r="712">
      <c r="A712" s="16" t="n">
        <v>708</v>
      </c>
      <c r="B712" s="17" t="inlineStr">
        <is>
          <t>DEC-S26-LAWN_AND_GARDEN</t>
        </is>
      </c>
      <c r="C712" s="16" t="n">
        <v>26</v>
      </c>
      <c r="D712" s="17" t="inlineStr">
        <is>
          <t>LAWN AND GARDEN</t>
        </is>
      </c>
      <c r="E712" s="17" t="inlineStr">
        <is>
          <t>HIGH</t>
        </is>
      </c>
      <c r="F712" s="17" t="inlineStr">
        <is>
          <t>TRUNG BÌNH</t>
        </is>
      </c>
      <c r="G712" s="18" t="inlineStr">
        <is>
          <t>RISK_HIGH · PROMO_EXTRAPOLATION</t>
        </is>
      </c>
      <c r="H712" s="19" t="n">
        <v>35.33742713928223</v>
      </c>
      <c r="I712" s="19" t="n">
        <v>127.7676811218262</v>
      </c>
      <c r="J712" s="19" t="n">
        <v>262.6719789505005</v>
      </c>
      <c r="K712" s="19" t="n">
        <v>127.7676811218262</v>
      </c>
      <c r="L712" s="19" t="n">
        <v>212.0828672647476</v>
      </c>
      <c r="M712" s="19" t="n">
        <v>262.6719789505005</v>
      </c>
      <c r="N712" s="17" t="inlineStr">
        <is>
          <t>B</t>
        </is>
      </c>
      <c r="O712" s="19" t="n">
        <v>109.8687223672867</v>
      </c>
      <c r="P712" s="18" t="inlineStr">
        <is>
          <t>KHÔNG ĐỀ XUẤT TĂNG</t>
        </is>
      </c>
      <c r="Q712" s="17" t="inlineStr">
        <is>
          <t>Có</t>
        </is>
      </c>
      <c r="R712" s="20" t="n"/>
      <c r="S712" s="20" t="n"/>
      <c r="T712" s="21" t="n"/>
      <c r="U712" s="21" t="n"/>
      <c r="V712" s="22">
        <f>IF(U712="A",K712,IF(U712="B",L712,IF(U712="C",M712,IF(N712="A",K712,IF(N712="B",L712,M712)))))</f>
        <v/>
      </c>
      <c r="W712" s="22">
        <f>IF(R712="",O712,MAX(V712-R712-N(S712),0))</f>
        <v/>
      </c>
      <c r="X712" s="20" t="n"/>
      <c r="Y712" s="23">
        <f>IF(OR(X712="",W712=0),"",X712/W712-1)</f>
        <v/>
      </c>
      <c r="Z712" s="24" t="n"/>
      <c r="AA712" s="21" t="n"/>
      <c r="AB712" s="25" t="n"/>
      <c r="AC712" s="26">
        <f>IF(T712="","Chưa quyết định",IF(OR(Z712="",AA712=""),"⚠ Thiếu lý do/người duyệt",IF(AND(X712&lt;&gt;"",N(X712)+N(R712)+N(S712)&gt;M712*1.001,R712&lt;&gt;""),"⚠ Vượt mục tiêu P90",IF(AND(Y712&lt;&gt;"",ABS(N(Y712))&gt;0.3),"⚠ Lệch &gt; 30% so với nhu cầu",IF(Q712="Có","ℹ Kiểm tra ngoại suy KM","✓ Hợp lệ")))))</f>
        <v/>
      </c>
    </row>
    <row r="713">
      <c r="A713" s="16" t="n">
        <v>709</v>
      </c>
      <c r="B713" s="17" t="inlineStr">
        <is>
          <t>DEC-S54-GROCERY_II</t>
        </is>
      </c>
      <c r="C713" s="16" t="n">
        <v>54</v>
      </c>
      <c r="D713" s="17" t="inlineStr">
        <is>
          <t>GROCERY II</t>
        </is>
      </c>
      <c r="E713" s="17" t="inlineStr">
        <is>
          <t>HIGH</t>
        </is>
      </c>
      <c r="F713" s="17" t="inlineStr">
        <is>
          <t>TRUNG BÌNH</t>
        </is>
      </c>
      <c r="G713" s="18" t="inlineStr">
        <is>
          <t>RISK_HIGH · PROMO_EXTRAPOLATION</t>
        </is>
      </c>
      <c r="H713" s="19" t="n">
        <v>25.65607166290283</v>
      </c>
      <c r="I713" s="19" t="n">
        <v>127.2754559516907</v>
      </c>
      <c r="J713" s="19" t="n">
        <v>272.74254155159</v>
      </c>
      <c r="K713" s="19" t="n">
        <v>127.2754559516907</v>
      </c>
      <c r="L713" s="19" t="n">
        <v>218.1923844516278</v>
      </c>
      <c r="M713" s="19" t="n">
        <v>272.74254155159</v>
      </c>
      <c r="N713" s="17" t="inlineStr">
        <is>
          <t>B</t>
        </is>
      </c>
      <c r="O713" s="19" t="n">
        <v>116.3720196902752</v>
      </c>
      <c r="P713" s="18" t="inlineStr">
        <is>
          <t>KHÔNG ĐỀ XUẤT TĂNG</t>
        </is>
      </c>
      <c r="Q713" s="17" t="inlineStr">
        <is>
          <t>Có</t>
        </is>
      </c>
      <c r="R713" s="20" t="n"/>
      <c r="S713" s="20" t="n"/>
      <c r="T713" s="21" t="n"/>
      <c r="U713" s="21" t="n"/>
      <c r="V713" s="22">
        <f>IF(U713="A",K713,IF(U713="B",L713,IF(U713="C",M713,IF(N713="A",K713,IF(N713="B",L713,M713)))))</f>
        <v/>
      </c>
      <c r="W713" s="22">
        <f>IF(R713="",O713,MAX(V713-R713-N(S713),0))</f>
        <v/>
      </c>
      <c r="X713" s="20" t="n"/>
      <c r="Y713" s="23">
        <f>IF(OR(X713="",W713=0),"",X713/W713-1)</f>
        <v/>
      </c>
      <c r="Z713" s="24" t="n"/>
      <c r="AA713" s="21" t="n"/>
      <c r="AB713" s="25" t="n"/>
      <c r="AC713" s="26">
        <f>IF(T713="","Chưa quyết định",IF(OR(Z713="",AA713=""),"⚠ Thiếu lý do/người duyệt",IF(AND(X713&lt;&gt;"",N(X713)+N(R713)+N(S713)&gt;M713*1.001,R713&lt;&gt;""),"⚠ Vượt mục tiêu P90",IF(AND(Y713&lt;&gt;"",ABS(N(Y713))&gt;0.3),"⚠ Lệch &gt; 30% so với nhu cầu",IF(Q713="Có","ℹ Kiểm tra ngoại suy KM","✓ Hợp lệ")))))</f>
        <v/>
      </c>
    </row>
    <row r="714">
      <c r="A714" s="16" t="n">
        <v>710</v>
      </c>
      <c r="B714" s="17" t="inlineStr">
        <is>
          <t>DEC-S39-BEAUTY</t>
        </is>
      </c>
      <c r="C714" s="16" t="n">
        <v>39</v>
      </c>
      <c r="D714" s="17" t="inlineStr">
        <is>
          <t>BEAUTY</t>
        </is>
      </c>
      <c r="E714" s="17" t="inlineStr">
        <is>
          <t>HIGH</t>
        </is>
      </c>
      <c r="F714" s="17" t="inlineStr">
        <is>
          <t>TRUNG BÌNH</t>
        </is>
      </c>
      <c r="G714" s="18" t="inlineStr">
        <is>
          <t>RISK_HIGH · PROMO_EXTRAPOLATION</t>
        </is>
      </c>
      <c r="H714" s="19" t="n">
        <v>35.86643097400665</v>
      </c>
      <c r="I714" s="19" t="n">
        <v>127.1572937369347</v>
      </c>
      <c r="J714" s="19" t="n">
        <v>271.5022733569145</v>
      </c>
      <c r="K714" s="19" t="n">
        <v>127.1572937369347</v>
      </c>
      <c r="L714" s="19" t="n">
        <v>217.3729059994221</v>
      </c>
      <c r="M714" s="19" t="n">
        <v>271.5022733569145</v>
      </c>
      <c r="N714" s="17" t="inlineStr">
        <is>
          <t>B</t>
        </is>
      </c>
      <c r="O714" s="19" t="n">
        <v>115.6470710098743</v>
      </c>
      <c r="P714" s="18" t="inlineStr">
        <is>
          <t>CÂN NHẮC THỬ NGHIỆM</t>
        </is>
      </c>
      <c r="Q714" s="17" t="inlineStr">
        <is>
          <t>Có</t>
        </is>
      </c>
      <c r="R714" s="20" t="n"/>
      <c r="S714" s="20" t="n"/>
      <c r="T714" s="21" t="n"/>
      <c r="U714" s="21" t="n"/>
      <c r="V714" s="22">
        <f>IF(U714="A",K714,IF(U714="B",L714,IF(U714="C",M714,IF(N714="A",K714,IF(N714="B",L714,M714)))))</f>
        <v/>
      </c>
      <c r="W714" s="22">
        <f>IF(R714="",O714,MAX(V714-R714-N(S714),0))</f>
        <v/>
      </c>
      <c r="X714" s="20" t="n"/>
      <c r="Y714" s="23">
        <f>IF(OR(X714="",W714=0),"",X714/W714-1)</f>
        <v/>
      </c>
      <c r="Z714" s="24" t="n"/>
      <c r="AA714" s="21" t="n"/>
      <c r="AB714" s="25" t="n"/>
      <c r="AC714" s="26">
        <f>IF(T714="","Chưa quyết định",IF(OR(Z714="",AA714=""),"⚠ Thiếu lý do/người duyệt",IF(AND(X714&lt;&gt;"",N(X714)+N(R714)+N(S714)&gt;M714*1.001,R714&lt;&gt;""),"⚠ Vượt mục tiêu P90",IF(AND(Y714&lt;&gt;"",ABS(N(Y714))&gt;0.3),"⚠ Lệch &gt; 30% so với nhu cầu",IF(Q714="Có","ℹ Kiểm tra ngoại suy KM","✓ Hợp lệ")))))</f>
        <v/>
      </c>
    </row>
    <row r="715">
      <c r="A715" s="16" t="n">
        <v>711</v>
      </c>
      <c r="B715" s="17" t="inlineStr">
        <is>
          <t>DEC-S42-PLAYERS_AND_ELECTRONICS</t>
        </is>
      </c>
      <c r="C715" s="16" t="n">
        <v>42</v>
      </c>
      <c r="D715" s="17" t="inlineStr">
        <is>
          <t>PLAYERS AND ELECTRONICS</t>
        </is>
      </c>
      <c r="E715" s="17" t="inlineStr">
        <is>
          <t>HIGH</t>
        </is>
      </c>
      <c r="F715" s="17" t="inlineStr">
        <is>
          <t>TRUNG BÌNH</t>
        </is>
      </c>
      <c r="G715" s="18" t="inlineStr">
        <is>
          <t>RISK_HIGH · PROMO_EXTRAPOLATION</t>
        </is>
      </c>
      <c r="H715" s="19" t="n">
        <v>36.81922960281372</v>
      </c>
      <c r="I715" s="19" t="n">
        <v>126.8522772789002</v>
      </c>
      <c r="J715" s="19" t="n">
        <v>255.9716913700104</v>
      </c>
      <c r="K715" s="19" t="n">
        <v>126.8522772789002</v>
      </c>
      <c r="L715" s="19" t="n">
        <v>207.551911085844</v>
      </c>
      <c r="M715" s="19" t="n">
        <v>255.9716913700104</v>
      </c>
      <c r="N715" s="17" t="inlineStr">
        <is>
          <t>B</t>
        </is>
      </c>
      <c r="O715" s="19" t="n">
        <v>106.0700892627239</v>
      </c>
      <c r="P715" s="18" t="inlineStr">
        <is>
          <t>KHÔNG ĐỀ XUẤT TĂNG</t>
        </is>
      </c>
      <c r="Q715" s="17" t="inlineStr">
        <is>
          <t>Có</t>
        </is>
      </c>
      <c r="R715" s="20" t="n"/>
      <c r="S715" s="20" t="n"/>
      <c r="T715" s="21" t="n"/>
      <c r="U715" s="21" t="n"/>
      <c r="V715" s="22">
        <f>IF(U715="A",K715,IF(U715="B",L715,IF(U715="C",M715,IF(N715="A",K715,IF(N715="B",L715,M715)))))</f>
        <v/>
      </c>
      <c r="W715" s="22">
        <f>IF(R715="",O715,MAX(V715-R715-N(S715),0))</f>
        <v/>
      </c>
      <c r="X715" s="20" t="n"/>
      <c r="Y715" s="23">
        <f>IF(OR(X715="",W715=0),"",X715/W715-1)</f>
        <v/>
      </c>
      <c r="Z715" s="24" t="n"/>
      <c r="AA715" s="21" t="n"/>
      <c r="AB715" s="25" t="n"/>
      <c r="AC715" s="26">
        <f>IF(T715="","Chưa quyết định",IF(OR(Z715="",AA715=""),"⚠ Thiếu lý do/người duyệt",IF(AND(X715&lt;&gt;"",N(X715)+N(R715)+N(S715)&gt;M715*1.001,R715&lt;&gt;""),"⚠ Vượt mục tiêu P90",IF(AND(Y715&lt;&gt;"",ABS(N(Y715))&gt;0.3),"⚠ Lệch &gt; 30% so với nhu cầu",IF(Q715="Có","ℹ Kiểm tra ngoại suy KM","✓ Hợp lệ")))))</f>
        <v/>
      </c>
    </row>
    <row r="716">
      <c r="A716" s="16" t="n">
        <v>712</v>
      </c>
      <c r="B716" s="17" t="inlineStr">
        <is>
          <t>DEC-S08-AUTOMOTIVE</t>
        </is>
      </c>
      <c r="C716" s="16" t="n">
        <v>8</v>
      </c>
      <c r="D716" s="17" t="inlineStr">
        <is>
          <t>AUTOMOTIVE</t>
        </is>
      </c>
      <c r="E716" s="17" t="inlineStr">
        <is>
          <t>HIGH</t>
        </is>
      </c>
      <c r="F716" s="17" t="inlineStr">
        <is>
          <t>TRUNG BÌNH</t>
        </is>
      </c>
      <c r="G716" s="18" t="inlineStr">
        <is>
          <t>RISK_HIGH · PROMO_EXTRAPOLATION</t>
        </is>
      </c>
      <c r="H716" s="19" t="n">
        <v>29.10822558403015</v>
      </c>
      <c r="I716" s="19" t="n">
        <v>126.3324067592621</v>
      </c>
      <c r="J716" s="19" t="n">
        <v>260.2297248840332</v>
      </c>
      <c r="K716" s="19" t="n">
        <v>126.3324067592621</v>
      </c>
      <c r="L716" s="19" t="n">
        <v>210.018230587244</v>
      </c>
      <c r="M716" s="19" t="n">
        <v>260.2297248840332</v>
      </c>
      <c r="N716" s="17" t="inlineStr">
        <is>
          <t>B</t>
        </is>
      </c>
      <c r="O716" s="19" t="n">
        <v>108.9523051798344</v>
      </c>
      <c r="P716" s="18" t="inlineStr">
        <is>
          <t>KHÔNG ĐỀ XUẤT TĂNG</t>
        </is>
      </c>
      <c r="Q716" s="17" t="inlineStr">
        <is>
          <t>Có</t>
        </is>
      </c>
      <c r="R716" s="20" t="n"/>
      <c r="S716" s="20" t="n"/>
      <c r="T716" s="21" t="n"/>
      <c r="U716" s="21" t="n"/>
      <c r="V716" s="22">
        <f>IF(U716="A",K716,IF(U716="B",L716,IF(U716="C",M716,IF(N716="A",K716,IF(N716="B",L716,M716)))))</f>
        <v/>
      </c>
      <c r="W716" s="22">
        <f>IF(R716="",O716,MAX(V716-R716-N(S716),0))</f>
        <v/>
      </c>
      <c r="X716" s="20" t="n"/>
      <c r="Y716" s="23">
        <f>IF(OR(X716="",W716=0),"",X716/W716-1)</f>
        <v/>
      </c>
      <c r="Z716" s="24" t="n"/>
      <c r="AA716" s="21" t="n"/>
      <c r="AB716" s="25" t="n"/>
      <c r="AC716" s="26">
        <f>IF(T716="","Chưa quyết định",IF(OR(Z716="",AA716=""),"⚠ Thiếu lý do/người duyệt",IF(AND(X716&lt;&gt;"",N(X716)+N(R716)+N(S716)&gt;M716*1.001,R716&lt;&gt;""),"⚠ Vượt mục tiêu P90",IF(AND(Y716&lt;&gt;"",ABS(N(Y716))&gt;0.3),"⚠ Lệch &gt; 30% so với nhu cầu",IF(Q716="Có","ℹ Kiểm tra ngoại suy KM","✓ Hợp lệ")))))</f>
        <v/>
      </c>
    </row>
    <row r="717">
      <c r="A717" s="16" t="n">
        <v>713</v>
      </c>
      <c r="B717" s="17" t="inlineStr">
        <is>
          <t>DEC-S38-PET_SUPPLIES</t>
        </is>
      </c>
      <c r="C717" s="16" t="n">
        <v>38</v>
      </c>
      <c r="D717" s="17" t="inlineStr">
        <is>
          <t>PET SUPPLIES</t>
        </is>
      </c>
      <c r="E717" s="17" t="inlineStr">
        <is>
          <t>HIGH</t>
        </is>
      </c>
      <c r="F717" s="17" t="inlineStr">
        <is>
          <t>TRUNG BÌNH</t>
        </is>
      </c>
      <c r="G717" s="18" t="inlineStr">
        <is>
          <t>RISK_HIGH · PROMO_EXTRAPOLATION</t>
        </is>
      </c>
      <c r="H717" s="19" t="n">
        <v>29.10679030418396</v>
      </c>
      <c r="I717" s="19" t="n">
        <v>126.3309714794159</v>
      </c>
      <c r="J717" s="19" t="n">
        <v>260.228289604187</v>
      </c>
      <c r="K717" s="19" t="n">
        <v>126.3309714794159</v>
      </c>
      <c r="L717" s="19" t="n">
        <v>210.0167953073978</v>
      </c>
      <c r="M717" s="19" t="n">
        <v>260.228289604187</v>
      </c>
      <c r="N717" s="17" t="inlineStr">
        <is>
          <t>B</t>
        </is>
      </c>
      <c r="O717" s="19" t="n">
        <v>108.9520181238651</v>
      </c>
      <c r="P717" s="18" t="inlineStr">
        <is>
          <t>KHÔNG ĐỀ XUẤT TĂNG</t>
        </is>
      </c>
      <c r="Q717" s="17" t="inlineStr">
        <is>
          <t>Có</t>
        </is>
      </c>
      <c r="R717" s="20" t="n"/>
      <c r="S717" s="20" t="n"/>
      <c r="T717" s="21" t="n"/>
      <c r="U717" s="21" t="n"/>
      <c r="V717" s="22">
        <f>IF(U717="A",K717,IF(U717="B",L717,IF(U717="C",M717,IF(N717="A",K717,IF(N717="B",L717,M717)))))</f>
        <v/>
      </c>
      <c r="W717" s="22">
        <f>IF(R717="",O717,MAX(V717-R717-N(S717),0))</f>
        <v/>
      </c>
      <c r="X717" s="20" t="n"/>
      <c r="Y717" s="23">
        <f>IF(OR(X717="",W717=0),"",X717/W717-1)</f>
        <v/>
      </c>
      <c r="Z717" s="24" t="n"/>
      <c r="AA717" s="21" t="n"/>
      <c r="AB717" s="25" t="n"/>
      <c r="AC717" s="26">
        <f>IF(T717="","Chưa quyết định",IF(OR(Z717="",AA717=""),"⚠ Thiếu lý do/người duyệt",IF(AND(X717&lt;&gt;"",N(X717)+N(R717)+N(S717)&gt;M717*1.001,R717&lt;&gt;""),"⚠ Vượt mục tiêu P90",IF(AND(Y717&lt;&gt;"",ABS(N(Y717))&gt;0.3),"⚠ Lệch &gt; 30% so với nhu cầu",IF(Q717="Có","ℹ Kiểm tra ngoại suy KM","✓ Hợp lệ")))))</f>
        <v/>
      </c>
    </row>
    <row r="718">
      <c r="A718" s="16" t="n">
        <v>714</v>
      </c>
      <c r="B718" s="17" t="inlineStr">
        <is>
          <t>DEC-S21-AUTOMOTIVE</t>
        </is>
      </c>
      <c r="C718" s="16" t="n">
        <v>21</v>
      </c>
      <c r="D718" s="17" t="inlineStr">
        <is>
          <t>AUTOMOTIVE</t>
        </is>
      </c>
      <c r="E718" s="17" t="inlineStr">
        <is>
          <t>HIGH</t>
        </is>
      </c>
      <c r="F718" s="17" t="inlineStr">
        <is>
          <t>TRUNG BÌNH</t>
        </is>
      </c>
      <c r="G718" s="18" t="inlineStr">
        <is>
          <t>RISK_HIGH · PROMO_EXTRAPOLATION</t>
        </is>
      </c>
      <c r="H718" s="19" t="n">
        <v>35.80831861495972</v>
      </c>
      <c r="I718" s="19" t="n">
        <v>125.8413662910461</v>
      </c>
      <c r="J718" s="19" t="n">
        <v>254.9607803821564</v>
      </c>
      <c r="K718" s="19" t="n">
        <v>125.8413662910461</v>
      </c>
      <c r="L718" s="19" t="n">
        <v>206.54100009799</v>
      </c>
      <c r="M718" s="19" t="n">
        <v>254.9607803821564</v>
      </c>
      <c r="N718" s="17" t="inlineStr">
        <is>
          <t>B</t>
        </is>
      </c>
      <c r="O718" s="19" t="n">
        <v>105.8679070651531</v>
      </c>
      <c r="P718" s="18" t="inlineStr">
        <is>
          <t>KHÔNG ĐỀ XUẤT TĂNG</t>
        </is>
      </c>
      <c r="Q718" s="17" t="inlineStr">
        <is>
          <t>Có</t>
        </is>
      </c>
      <c r="R718" s="20" t="n"/>
      <c r="S718" s="20" t="n"/>
      <c r="T718" s="21" t="n"/>
      <c r="U718" s="21" t="n"/>
      <c r="V718" s="22">
        <f>IF(U718="A",K718,IF(U718="B",L718,IF(U718="C",M718,IF(N718="A",K718,IF(N718="B",L718,M718)))))</f>
        <v/>
      </c>
      <c r="W718" s="22">
        <f>IF(R718="",O718,MAX(V718-R718-N(S718),0))</f>
        <v/>
      </c>
      <c r="X718" s="20" t="n"/>
      <c r="Y718" s="23">
        <f>IF(OR(X718="",W718=0),"",X718/W718-1)</f>
        <v/>
      </c>
      <c r="Z718" s="24" t="n"/>
      <c r="AA718" s="21" t="n"/>
      <c r="AB718" s="25" t="n"/>
      <c r="AC718" s="26">
        <f>IF(T718="","Chưa quyết định",IF(OR(Z718="",AA718=""),"⚠ Thiếu lý do/người duyệt",IF(AND(X718&lt;&gt;"",N(X718)+N(R718)+N(S718)&gt;M718*1.001,R718&lt;&gt;""),"⚠ Vượt mục tiêu P90",IF(AND(Y718&lt;&gt;"",ABS(N(Y718))&gt;0.3),"⚠ Lệch &gt; 30% so với nhu cầu",IF(Q718="Có","ℹ Kiểm tra ngoại suy KM","✓ Hợp lệ")))))</f>
        <v/>
      </c>
    </row>
    <row r="719">
      <c r="A719" s="16" t="n">
        <v>715</v>
      </c>
      <c r="B719" s="17" t="inlineStr">
        <is>
          <t>DEC-S34-BEAUTY</t>
        </is>
      </c>
      <c r="C719" s="16" t="n">
        <v>34</v>
      </c>
      <c r="D719" s="17" t="inlineStr">
        <is>
          <t>BEAUTY</t>
        </is>
      </c>
      <c r="E719" s="17" t="inlineStr">
        <is>
          <t>HIGH</t>
        </is>
      </c>
      <c r="F719" s="17" t="inlineStr">
        <is>
          <t>TRUNG BÌNH</t>
        </is>
      </c>
      <c r="G719" s="18" t="inlineStr">
        <is>
          <t>RISK_HIGH · PROMO_EXTRAPOLATION</t>
        </is>
      </c>
      <c r="H719" s="19" t="n">
        <v>30.97324991226196</v>
      </c>
      <c r="I719" s="19" t="n">
        <v>125.5422124862671</v>
      </c>
      <c r="J719" s="19" t="n">
        <v>275.4122095108032</v>
      </c>
      <c r="K719" s="19" t="n">
        <v>125.5422124862671</v>
      </c>
      <c r="L719" s="19" t="n">
        <v>219.2109606266022</v>
      </c>
      <c r="M719" s="19" t="n">
        <v>275.4122095108032</v>
      </c>
      <c r="N719" s="17" t="inlineStr">
        <is>
          <t>B</t>
        </is>
      </c>
      <c r="O719" s="19" t="n">
        <v>118.7771906375885</v>
      </c>
      <c r="P719" s="18" t="inlineStr">
        <is>
          <t>CÂN NHẮC THỬ NGHIỆM</t>
        </is>
      </c>
      <c r="Q719" s="17" t="inlineStr">
        <is>
          <t>Có</t>
        </is>
      </c>
      <c r="R719" s="20" t="n"/>
      <c r="S719" s="20" t="n"/>
      <c r="T719" s="21" t="n"/>
      <c r="U719" s="21" t="n"/>
      <c r="V719" s="22">
        <f>IF(U719="A",K719,IF(U719="B",L719,IF(U719="C",M719,IF(N719="A",K719,IF(N719="B",L719,M719)))))</f>
        <v/>
      </c>
      <c r="W719" s="22">
        <f>IF(R719="",O719,MAX(V719-R719-N(S719),0))</f>
        <v/>
      </c>
      <c r="X719" s="20" t="n"/>
      <c r="Y719" s="23">
        <f>IF(OR(X719="",W719=0),"",X719/W719-1)</f>
        <v/>
      </c>
      <c r="Z719" s="24" t="n"/>
      <c r="AA719" s="21" t="n"/>
      <c r="AB719" s="25" t="n"/>
      <c r="AC719" s="26">
        <f>IF(T719="","Chưa quyết định",IF(OR(Z719="",AA719=""),"⚠ Thiếu lý do/người duyệt",IF(AND(X719&lt;&gt;"",N(X719)+N(R719)+N(S719)&gt;M719*1.001,R719&lt;&gt;""),"⚠ Vượt mục tiêu P90",IF(AND(Y719&lt;&gt;"",ABS(N(Y719))&gt;0.3),"⚠ Lệch &gt; 30% so với nhu cầu",IF(Q719="Có","ℹ Kiểm tra ngoại suy KM","✓ Hợp lệ")))))</f>
        <v/>
      </c>
    </row>
    <row r="720">
      <c r="A720" s="16" t="n">
        <v>716</v>
      </c>
      <c r="B720" s="17" t="inlineStr">
        <is>
          <t>DEC-S28-AUTOMOTIVE</t>
        </is>
      </c>
      <c r="C720" s="16" t="n">
        <v>28</v>
      </c>
      <c r="D720" s="17" t="inlineStr">
        <is>
          <t>AUTOMOTIVE</t>
        </is>
      </c>
      <c r="E720" s="17" t="inlineStr">
        <is>
          <t>HIGH</t>
        </is>
      </c>
      <c r="F720" s="17" t="inlineStr">
        <is>
          <t>TRUNG BÌNH</t>
        </is>
      </c>
      <c r="G720" s="18" t="inlineStr">
        <is>
          <t>RISK_HIGH · PROMO_EXTRAPOLATION</t>
        </is>
      </c>
      <c r="H720" s="19" t="n">
        <v>30.78084468841553</v>
      </c>
      <c r="I720" s="19" t="n">
        <v>124.4094591140747</v>
      </c>
      <c r="J720" s="19" t="n">
        <v>255.9178252220153</v>
      </c>
      <c r="K720" s="19" t="n">
        <v>124.4094591140747</v>
      </c>
      <c r="L720" s="19" t="n">
        <v>206.6021879315376</v>
      </c>
      <c r="M720" s="19" t="n">
        <v>255.9178252220154</v>
      </c>
      <c r="N720" s="17" t="inlineStr">
        <is>
          <t>B</t>
        </is>
      </c>
      <c r="O720" s="19" t="n">
        <v>107.0746206402778</v>
      </c>
      <c r="P720" s="18" t="inlineStr">
        <is>
          <t>KHÔNG ĐỀ XUẤT TĂNG</t>
        </is>
      </c>
      <c r="Q720" s="17" t="inlineStr">
        <is>
          <t>Có</t>
        </is>
      </c>
      <c r="R720" s="20" t="n"/>
      <c r="S720" s="20" t="n"/>
      <c r="T720" s="21" t="n"/>
      <c r="U720" s="21" t="n"/>
      <c r="V720" s="22">
        <f>IF(U720="A",K720,IF(U720="B",L720,IF(U720="C",M720,IF(N720="A",K720,IF(N720="B",L720,M720)))))</f>
        <v/>
      </c>
      <c r="W720" s="22">
        <f>IF(R720="",O720,MAX(V720-R720-N(S720),0))</f>
        <v/>
      </c>
      <c r="X720" s="20" t="n"/>
      <c r="Y720" s="23">
        <f>IF(OR(X720="",W720=0),"",X720/W720-1)</f>
        <v/>
      </c>
      <c r="Z720" s="24" t="n"/>
      <c r="AA720" s="21" t="n"/>
      <c r="AB720" s="25" t="n"/>
      <c r="AC720" s="26">
        <f>IF(T720="","Chưa quyết định",IF(OR(Z720="",AA720=""),"⚠ Thiếu lý do/người duyệt",IF(AND(X720&lt;&gt;"",N(X720)+N(R720)+N(S720)&gt;M720*1.001,R720&lt;&gt;""),"⚠ Vượt mục tiêu P90",IF(AND(Y720&lt;&gt;"",ABS(N(Y720))&gt;0.3),"⚠ Lệch &gt; 30% so với nhu cầu",IF(Q720="Có","ℹ Kiểm tra ngoại suy KM","✓ Hợp lệ")))))</f>
        <v/>
      </c>
    </row>
    <row r="721">
      <c r="A721" s="16" t="n">
        <v>717</v>
      </c>
      <c r="B721" s="17" t="inlineStr">
        <is>
          <t>DEC-S20-PLAYERS_AND_ELECTRONICS</t>
        </is>
      </c>
      <c r="C721" s="16" t="n">
        <v>20</v>
      </c>
      <c r="D721" s="17" t="inlineStr">
        <is>
          <t>PLAYERS AND ELECTRONICS</t>
        </is>
      </c>
      <c r="E721" s="17" t="inlineStr">
        <is>
          <t>HIGH</t>
        </is>
      </c>
      <c r="F721" s="17" t="inlineStr">
        <is>
          <t>TRUNG BÌNH</t>
        </is>
      </c>
      <c r="G721" s="18" t="inlineStr">
        <is>
          <t>RISK_HIGH · PROMO_EXTRAPOLATION</t>
        </is>
      </c>
      <c r="H721" s="19" t="n">
        <v>33.95884585380554</v>
      </c>
      <c r="I721" s="19" t="n">
        <v>123.991893529892</v>
      </c>
      <c r="J721" s="19" t="n">
        <v>253.1113076210022</v>
      </c>
      <c r="K721" s="19" t="n">
        <v>123.991893529892</v>
      </c>
      <c r="L721" s="19" t="n">
        <v>204.6915273368359</v>
      </c>
      <c r="M721" s="19" t="n">
        <v>253.1113076210022</v>
      </c>
      <c r="N721" s="17" t="inlineStr">
        <is>
          <t>B</t>
        </is>
      </c>
      <c r="O721" s="19" t="n">
        <v>105.4980125129223</v>
      </c>
      <c r="P721" s="18" t="inlineStr">
        <is>
          <t>KHÔNG ĐỀ XUẤT TĂNG</t>
        </is>
      </c>
      <c r="Q721" s="17" t="inlineStr">
        <is>
          <t>Có</t>
        </is>
      </c>
      <c r="R721" s="20" t="n"/>
      <c r="S721" s="20" t="n"/>
      <c r="T721" s="21" t="n"/>
      <c r="U721" s="21" t="n"/>
      <c r="V721" s="22">
        <f>IF(U721="A",K721,IF(U721="B",L721,IF(U721="C",M721,IF(N721="A",K721,IF(N721="B",L721,M721)))))</f>
        <v/>
      </c>
      <c r="W721" s="22">
        <f>IF(R721="",O721,MAX(V721-R721-N(S721),0))</f>
        <v/>
      </c>
      <c r="X721" s="20" t="n"/>
      <c r="Y721" s="23">
        <f>IF(OR(X721="",W721=0),"",X721/W721-1)</f>
        <v/>
      </c>
      <c r="Z721" s="24" t="n"/>
      <c r="AA721" s="21" t="n"/>
      <c r="AB721" s="25" t="n"/>
      <c r="AC721" s="26">
        <f>IF(T721="","Chưa quyết định",IF(OR(Z721="",AA721=""),"⚠ Thiếu lý do/người duyệt",IF(AND(X721&lt;&gt;"",N(X721)+N(R721)+N(S721)&gt;M721*1.001,R721&lt;&gt;""),"⚠ Vượt mục tiêu P90",IF(AND(Y721&lt;&gt;"",ABS(N(Y721))&gt;0.3),"⚠ Lệch &gt; 30% so với nhu cầu",IF(Q721="Có","ℹ Kiểm tra ngoại suy KM","✓ Hợp lệ")))))</f>
        <v/>
      </c>
    </row>
    <row r="722">
      <c r="A722" s="16" t="n">
        <v>718</v>
      </c>
      <c r="B722" s="17" t="inlineStr">
        <is>
          <t>DEC-S31-AUTOMOTIVE</t>
        </is>
      </c>
      <c r="C722" s="16" t="n">
        <v>31</v>
      </c>
      <c r="D722" s="17" t="inlineStr">
        <is>
          <t>AUTOMOTIVE</t>
        </is>
      </c>
      <c r="E722" s="17" t="inlineStr">
        <is>
          <t>HIGH</t>
        </is>
      </c>
      <c r="F722" s="17" t="inlineStr">
        <is>
          <t>TRUNG BÌNH</t>
        </is>
      </c>
      <c r="G722" s="18" t="inlineStr">
        <is>
          <t>RISK_HIGH · PROMO_EXTRAPOLATION</t>
        </is>
      </c>
      <c r="H722" s="19" t="n">
        <v>30.32181191444397</v>
      </c>
      <c r="I722" s="19" t="n">
        <v>123.9504263401032</v>
      </c>
      <c r="J722" s="19" t="n">
        <v>255.4587924480439</v>
      </c>
      <c r="K722" s="19" t="n">
        <v>123.9504263401032</v>
      </c>
      <c r="L722" s="19" t="n">
        <v>206.1431551575661</v>
      </c>
      <c r="M722" s="19" t="n">
        <v>255.4587924480439</v>
      </c>
      <c r="N722" s="17" t="inlineStr">
        <is>
          <t>B</t>
        </is>
      </c>
      <c r="O722" s="19" t="n">
        <v>106.9828140854836</v>
      </c>
      <c r="P722" s="18" t="inlineStr">
        <is>
          <t>KHÔNG ĐỀ XUẤT TĂNG</t>
        </is>
      </c>
      <c r="Q722" s="17" t="inlineStr">
        <is>
          <t>Có</t>
        </is>
      </c>
      <c r="R722" s="20" t="n"/>
      <c r="S722" s="20" t="n"/>
      <c r="T722" s="21" t="n"/>
      <c r="U722" s="21" t="n"/>
      <c r="V722" s="22">
        <f>IF(U722="A",K722,IF(U722="B",L722,IF(U722="C",M722,IF(N722="A",K722,IF(N722="B",L722,M722)))))</f>
        <v/>
      </c>
      <c r="W722" s="22">
        <f>IF(R722="",O722,MAX(V722-R722-N(S722),0))</f>
        <v/>
      </c>
      <c r="X722" s="20" t="n"/>
      <c r="Y722" s="23">
        <f>IF(OR(X722="",W722=0),"",X722/W722-1)</f>
        <v/>
      </c>
      <c r="Z722" s="24" t="n"/>
      <c r="AA722" s="21" t="n"/>
      <c r="AB722" s="25" t="n"/>
      <c r="AC722" s="26">
        <f>IF(T722="","Chưa quyết định",IF(OR(Z722="",AA722=""),"⚠ Thiếu lý do/người duyệt",IF(AND(X722&lt;&gt;"",N(X722)+N(R722)+N(S722)&gt;M722*1.001,R722&lt;&gt;""),"⚠ Vượt mục tiêu P90",IF(AND(Y722&lt;&gt;"",ABS(N(Y722))&gt;0.3),"⚠ Lệch &gt; 30% so với nhu cầu",IF(Q722="Có","ℹ Kiểm tra ngoại suy KM","✓ Hợp lệ")))))</f>
        <v/>
      </c>
    </row>
    <row r="723">
      <c r="A723" s="16" t="n">
        <v>719</v>
      </c>
      <c r="B723" s="17" t="inlineStr">
        <is>
          <t>DEC-S21-BEAUTY</t>
        </is>
      </c>
      <c r="C723" s="16" t="n">
        <v>21</v>
      </c>
      <c r="D723" s="17" t="inlineStr">
        <is>
          <t>BEAUTY</t>
        </is>
      </c>
      <c r="E723" s="17" t="inlineStr">
        <is>
          <t>HIGH</t>
        </is>
      </c>
      <c r="F723" s="17" t="inlineStr">
        <is>
          <t>TRUNG BÌNH</t>
        </is>
      </c>
      <c r="G723" s="18" t="inlineStr">
        <is>
          <t>RISK_HIGH · PROMO_EXTRAPOLATION</t>
        </is>
      </c>
      <c r="H723" s="19" t="n">
        <v>32.63048768043518</v>
      </c>
      <c r="I723" s="19" t="n">
        <v>123.811815738678</v>
      </c>
      <c r="J723" s="19" t="n">
        <v>264.5009973049164</v>
      </c>
      <c r="K723" s="19" t="n">
        <v>123.811815738678</v>
      </c>
      <c r="L723" s="19" t="n">
        <v>211.742554217577</v>
      </c>
      <c r="M723" s="19" t="n">
        <v>264.5009973049164</v>
      </c>
      <c r="N723" s="17" t="inlineStr">
        <is>
          <t>B</t>
        </is>
      </c>
      <c r="O723" s="19" t="n">
        <v>112.6931016266346</v>
      </c>
      <c r="P723" s="18" t="inlineStr">
        <is>
          <t>CÂN NHẮC THỬ NGHIỆM</t>
        </is>
      </c>
      <c r="Q723" s="17" t="inlineStr">
        <is>
          <t>Có</t>
        </is>
      </c>
      <c r="R723" s="20" t="n"/>
      <c r="S723" s="20" t="n"/>
      <c r="T723" s="21" t="n"/>
      <c r="U723" s="21" t="n"/>
      <c r="V723" s="22">
        <f>IF(U723="A",K723,IF(U723="B",L723,IF(U723="C",M723,IF(N723="A",K723,IF(N723="B",L723,M723)))))</f>
        <v/>
      </c>
      <c r="W723" s="22">
        <f>IF(R723="",O723,MAX(V723-R723-N(S723),0))</f>
        <v/>
      </c>
      <c r="X723" s="20" t="n"/>
      <c r="Y723" s="23">
        <f>IF(OR(X723="",W723=0),"",X723/W723-1)</f>
        <v/>
      </c>
      <c r="Z723" s="24" t="n"/>
      <c r="AA723" s="21" t="n"/>
      <c r="AB723" s="25" t="n"/>
      <c r="AC723" s="26">
        <f>IF(T723="","Chưa quyết định",IF(OR(Z723="",AA723=""),"⚠ Thiếu lý do/người duyệt",IF(AND(X723&lt;&gt;"",N(X723)+N(R723)+N(S723)&gt;M723*1.001,R723&lt;&gt;""),"⚠ Vượt mục tiêu P90",IF(AND(Y723&lt;&gt;"",ABS(N(Y723))&gt;0.3),"⚠ Lệch &gt; 30% so với nhu cầu",IF(Q723="Có","ℹ Kiểm tra ngoại suy KM","✓ Hợp lệ")))))</f>
        <v/>
      </c>
    </row>
    <row r="724">
      <c r="A724" s="16" t="n">
        <v>720</v>
      </c>
      <c r="B724" s="17" t="inlineStr">
        <is>
          <t>DEC-S53-CELEBRATION</t>
        </is>
      </c>
      <c r="C724" s="16" t="n">
        <v>53</v>
      </c>
      <c r="D724" s="17" t="inlineStr">
        <is>
          <t>CELEBRATION</t>
        </is>
      </c>
      <c r="E724" s="17" t="inlineStr">
        <is>
          <t>HIGH</t>
        </is>
      </c>
      <c r="F724" s="17" t="inlineStr">
        <is>
          <t>TRUNG BÌNH</t>
        </is>
      </c>
      <c r="G724" s="18" t="inlineStr">
        <is>
          <t>RISK_HIGH · PROMO_EXTRAPOLATION</t>
        </is>
      </c>
      <c r="H724" s="19" t="n">
        <v>40.67001605033875</v>
      </c>
      <c r="I724" s="19" t="n">
        <v>123.5119302272797</v>
      </c>
      <c r="J724" s="19" t="n">
        <v>247.853440284729</v>
      </c>
      <c r="K724" s="19" t="n">
        <v>123.5119302272797</v>
      </c>
      <c r="L724" s="19" t="n">
        <v>201.2253740131855</v>
      </c>
      <c r="M724" s="19" t="n">
        <v>247.853440284729</v>
      </c>
      <c r="N724" s="17" t="inlineStr">
        <is>
          <t>B</t>
        </is>
      </c>
      <c r="O724" s="19" t="n">
        <v>102.4158298313618</v>
      </c>
      <c r="P724" s="18" t="inlineStr">
        <is>
          <t>KHÔNG ĐỀ XUẤT TĂNG</t>
        </is>
      </c>
      <c r="Q724" s="17" t="inlineStr">
        <is>
          <t>Có</t>
        </is>
      </c>
      <c r="R724" s="20" t="n"/>
      <c r="S724" s="20" t="n"/>
      <c r="T724" s="21" t="n"/>
      <c r="U724" s="21" t="n"/>
      <c r="V724" s="22">
        <f>IF(U724="A",K724,IF(U724="B",L724,IF(U724="C",M724,IF(N724="A",K724,IF(N724="B",L724,M724)))))</f>
        <v/>
      </c>
      <c r="W724" s="22">
        <f>IF(R724="",O724,MAX(V724-R724-N(S724),0))</f>
        <v/>
      </c>
      <c r="X724" s="20" t="n"/>
      <c r="Y724" s="23">
        <f>IF(OR(X724="",W724=0),"",X724/W724-1)</f>
        <v/>
      </c>
      <c r="Z724" s="24" t="n"/>
      <c r="AA724" s="21" t="n"/>
      <c r="AB724" s="25" t="n"/>
      <c r="AC724" s="26">
        <f>IF(T724="","Chưa quyết định",IF(OR(Z724="",AA724=""),"⚠ Thiếu lý do/người duyệt",IF(AND(X724&lt;&gt;"",N(X724)+N(R724)+N(S724)&gt;M724*1.001,R724&lt;&gt;""),"⚠ Vượt mục tiêu P90",IF(AND(Y724&lt;&gt;"",ABS(N(Y724))&gt;0.3),"⚠ Lệch &gt; 30% so với nhu cầu",IF(Q724="Có","ℹ Kiểm tra ngoại suy KM","✓ Hợp lệ")))))</f>
        <v/>
      </c>
    </row>
    <row r="725">
      <c r="A725" s="16" t="n">
        <v>721</v>
      </c>
      <c r="B725" s="17" t="inlineStr">
        <is>
          <t>DEC-S31-PLAYERS_AND_ELECTRONICS</t>
        </is>
      </c>
      <c r="C725" s="16" t="n">
        <v>31</v>
      </c>
      <c r="D725" s="17" t="inlineStr">
        <is>
          <t>PLAYERS AND ELECTRONICS</t>
        </is>
      </c>
      <c r="E725" s="17" t="inlineStr">
        <is>
          <t>HIGH</t>
        </is>
      </c>
      <c r="F725" s="17" t="inlineStr">
        <is>
          <t>TRUNG BÌNH</t>
        </is>
      </c>
      <c r="G725" s="18" t="inlineStr">
        <is>
          <t>RISK_HIGH · PROMO_EXTRAPOLATION</t>
        </is>
      </c>
      <c r="H725" s="19" t="n">
        <v>33.09857058525085</v>
      </c>
      <c r="I725" s="19" t="n">
        <v>123.1316182613373</v>
      </c>
      <c r="J725" s="19" t="n">
        <v>252.2510323524475</v>
      </c>
      <c r="K725" s="19" t="n">
        <v>123.1316182613373</v>
      </c>
      <c r="L725" s="19" t="n">
        <v>203.8312520682812</v>
      </c>
      <c r="M725" s="19" t="n">
        <v>252.2510323524475</v>
      </c>
      <c r="N725" s="17" t="inlineStr">
        <is>
          <t>B</t>
        </is>
      </c>
      <c r="O725" s="19" t="n">
        <v>105.3259574592113</v>
      </c>
      <c r="P725" s="18" t="inlineStr">
        <is>
          <t>KHÔNG ĐỀ XUẤT TĂNG</t>
        </is>
      </c>
      <c r="Q725" s="17" t="inlineStr">
        <is>
          <t>Có</t>
        </is>
      </c>
      <c r="R725" s="20" t="n"/>
      <c r="S725" s="20" t="n"/>
      <c r="T725" s="21" t="n"/>
      <c r="U725" s="21" t="n"/>
      <c r="V725" s="22">
        <f>IF(U725="A",K725,IF(U725="B",L725,IF(U725="C",M725,IF(N725="A",K725,IF(N725="B",L725,M725)))))</f>
        <v/>
      </c>
      <c r="W725" s="22">
        <f>IF(R725="",O725,MAX(V725-R725-N(S725),0))</f>
        <v/>
      </c>
      <c r="X725" s="20" t="n"/>
      <c r="Y725" s="23">
        <f>IF(OR(X725="",W725=0),"",X725/W725-1)</f>
        <v/>
      </c>
      <c r="Z725" s="24" t="n"/>
      <c r="AA725" s="21" t="n"/>
      <c r="AB725" s="25" t="n"/>
      <c r="AC725" s="26">
        <f>IF(T725="","Chưa quyết định",IF(OR(Z725="",AA725=""),"⚠ Thiếu lý do/người duyệt",IF(AND(X725&lt;&gt;"",N(X725)+N(R725)+N(S725)&gt;M725*1.001,R725&lt;&gt;""),"⚠ Vượt mục tiêu P90",IF(AND(Y725&lt;&gt;"",ABS(N(Y725))&gt;0.3),"⚠ Lệch &gt; 30% so với nhu cầu",IF(Q725="Có","ℹ Kiểm tra ngoại suy KM","✓ Hợp lệ")))))</f>
        <v/>
      </c>
    </row>
    <row r="726">
      <c r="A726" s="16" t="n">
        <v>722</v>
      </c>
      <c r="B726" s="17" t="inlineStr">
        <is>
          <t>DEC-S51-LINGERIE</t>
        </is>
      </c>
      <c r="C726" s="16" t="n">
        <v>51</v>
      </c>
      <c r="D726" s="17" t="inlineStr">
        <is>
          <t>LINGERIE</t>
        </is>
      </c>
      <c r="E726" s="17" t="inlineStr">
        <is>
          <t>HIGH</t>
        </is>
      </c>
      <c r="F726" s="17" t="inlineStr">
        <is>
          <t>TRUNG BÌNH</t>
        </is>
      </c>
      <c r="G726" s="18" t="inlineStr">
        <is>
          <t>RISK_HIGH · PROMO_EXTRAPOLATION</t>
        </is>
      </c>
      <c r="H726" s="19" t="n">
        <v>29.44620227813721</v>
      </c>
      <c r="I726" s="19" t="n">
        <v>123.0748167037964</v>
      </c>
      <c r="J726" s="19" t="n">
        <v>254.583182811737</v>
      </c>
      <c r="K726" s="19" t="n">
        <v>123.0748167037964</v>
      </c>
      <c r="L726" s="19" t="n">
        <v>205.2675455212593</v>
      </c>
      <c r="M726" s="19" t="n">
        <v>254.583182811737</v>
      </c>
      <c r="N726" s="17" t="inlineStr">
        <is>
          <t>B</t>
        </is>
      </c>
      <c r="O726" s="19" t="n">
        <v>106.8076921582222</v>
      </c>
      <c r="P726" s="18" t="inlineStr">
        <is>
          <t>KHÔNG ĐỀ XUẤT TĂNG</t>
        </is>
      </c>
      <c r="Q726" s="17" t="inlineStr">
        <is>
          <t>Có</t>
        </is>
      </c>
      <c r="R726" s="20" t="n"/>
      <c r="S726" s="20" t="n"/>
      <c r="T726" s="21" t="n"/>
      <c r="U726" s="21" t="n"/>
      <c r="V726" s="22">
        <f>IF(U726="A",K726,IF(U726="B",L726,IF(U726="C",M726,IF(N726="A",K726,IF(N726="B",L726,M726)))))</f>
        <v/>
      </c>
      <c r="W726" s="22">
        <f>IF(R726="",O726,MAX(V726-R726-N(S726),0))</f>
        <v/>
      </c>
      <c r="X726" s="20" t="n"/>
      <c r="Y726" s="23">
        <f>IF(OR(X726="",W726=0),"",X726/W726-1)</f>
        <v/>
      </c>
      <c r="Z726" s="24" t="n"/>
      <c r="AA726" s="21" t="n"/>
      <c r="AB726" s="25" t="n"/>
      <c r="AC726" s="26">
        <f>IF(T726="","Chưa quyết định",IF(OR(Z726="",AA726=""),"⚠ Thiếu lý do/người duyệt",IF(AND(X726&lt;&gt;"",N(X726)+N(R726)+N(S726)&gt;M726*1.001,R726&lt;&gt;""),"⚠ Vượt mục tiêu P90",IF(AND(Y726&lt;&gt;"",ABS(N(Y726))&gt;0.3),"⚠ Lệch &gt; 30% so với nhu cầu",IF(Q726="Có","ℹ Kiểm tra ngoại suy KM","✓ Hợp lệ")))))</f>
        <v/>
      </c>
    </row>
    <row r="727">
      <c r="A727" s="16" t="n">
        <v>723</v>
      </c>
      <c r="B727" s="17" t="inlineStr">
        <is>
          <t>DEC-S42-PET_SUPPLIES</t>
        </is>
      </c>
      <c r="C727" s="16" t="n">
        <v>42</v>
      </c>
      <c r="D727" s="17" t="inlineStr">
        <is>
          <t>PET SUPPLIES</t>
        </is>
      </c>
      <c r="E727" s="17" t="inlineStr">
        <is>
          <t>HIGH</t>
        </is>
      </c>
      <c r="F727" s="17" t="inlineStr">
        <is>
          <t>TRUNG BÌNH</t>
        </is>
      </c>
      <c r="G727" s="18" t="inlineStr">
        <is>
          <t>RISK_HIGH · PROMO_EXTRAPOLATION</t>
        </is>
      </c>
      <c r="H727" s="19" t="n">
        <v>32.9467031955719</v>
      </c>
      <c r="I727" s="19" t="n">
        <v>122.9797508716583</v>
      </c>
      <c r="J727" s="19" t="n">
        <v>252.0991649627685</v>
      </c>
      <c r="K727" s="19" t="n">
        <v>122.9797508716583</v>
      </c>
      <c r="L727" s="19" t="n">
        <v>203.6793846786022</v>
      </c>
      <c r="M727" s="19" t="n">
        <v>252.0991649627685</v>
      </c>
      <c r="N727" s="17" t="inlineStr">
        <is>
          <t>B</t>
        </is>
      </c>
      <c r="O727" s="19" t="n">
        <v>105.2955839812755</v>
      </c>
      <c r="P727" s="18" t="inlineStr">
        <is>
          <t>KHÔNG ĐỀ XUẤT TĂNG</t>
        </is>
      </c>
      <c r="Q727" s="17" t="inlineStr">
        <is>
          <t>Có</t>
        </is>
      </c>
      <c r="R727" s="20" t="n"/>
      <c r="S727" s="20" t="n"/>
      <c r="T727" s="21" t="n"/>
      <c r="U727" s="21" t="n"/>
      <c r="V727" s="22">
        <f>IF(U727="A",K727,IF(U727="B",L727,IF(U727="C",M727,IF(N727="A",K727,IF(N727="B",L727,M727)))))</f>
        <v/>
      </c>
      <c r="W727" s="22">
        <f>IF(R727="",O727,MAX(V727-R727-N(S727),0))</f>
        <v/>
      </c>
      <c r="X727" s="20" t="n"/>
      <c r="Y727" s="23">
        <f>IF(OR(X727="",W727=0),"",X727/W727-1)</f>
        <v/>
      </c>
      <c r="Z727" s="24" t="n"/>
      <c r="AA727" s="21" t="n"/>
      <c r="AB727" s="25" t="n"/>
      <c r="AC727" s="26">
        <f>IF(T727="","Chưa quyết định",IF(OR(Z727="",AA727=""),"⚠ Thiếu lý do/người duyệt",IF(AND(X727&lt;&gt;"",N(X727)+N(R727)+N(S727)&gt;M727*1.001,R727&lt;&gt;""),"⚠ Vượt mục tiêu P90",IF(AND(Y727&lt;&gt;"",ABS(N(Y727))&gt;0.3),"⚠ Lệch &gt; 30% so với nhu cầu",IF(Q727="Có","ℹ Kiểm tra ngoại suy KM","✓ Hợp lệ")))))</f>
        <v/>
      </c>
    </row>
    <row r="728">
      <c r="A728" s="16" t="n">
        <v>724</v>
      </c>
      <c r="B728" s="17" t="inlineStr">
        <is>
          <t>DEC-S25-MAGAZINES</t>
        </is>
      </c>
      <c r="C728" s="16" t="n">
        <v>25</v>
      </c>
      <c r="D728" s="17" t="inlineStr">
        <is>
          <t>MAGAZINES</t>
        </is>
      </c>
      <c r="E728" s="17" t="inlineStr">
        <is>
          <t>HIGH</t>
        </is>
      </c>
      <c r="F728" s="17" t="inlineStr">
        <is>
          <t>TRUNG BÌNH</t>
        </is>
      </c>
      <c r="G728" s="18" t="inlineStr">
        <is>
          <t>RISK_HIGH · PROMO_EXTRAPOLATION</t>
        </is>
      </c>
      <c r="H728" s="19" t="n">
        <v>29.27902030944824</v>
      </c>
      <c r="I728" s="19" t="n">
        <v>122.9076347351074</v>
      </c>
      <c r="J728" s="19" t="n">
        <v>254.4160008430481</v>
      </c>
      <c r="K728" s="19" t="n">
        <v>122.9076347351074</v>
      </c>
      <c r="L728" s="19" t="n">
        <v>205.1003635525703</v>
      </c>
      <c r="M728" s="19" t="n">
        <v>254.4160008430481</v>
      </c>
      <c r="N728" s="17" t="inlineStr">
        <is>
          <t>B</t>
        </is>
      </c>
      <c r="O728" s="19" t="n">
        <v>106.7742557644844</v>
      </c>
      <c r="P728" s="18" t="inlineStr">
        <is>
          <t>KHÔNG ĐỀ XUẤT TĂNG</t>
        </is>
      </c>
      <c r="Q728" s="17" t="inlineStr">
        <is>
          <t>Có</t>
        </is>
      </c>
      <c r="R728" s="20" t="n"/>
      <c r="S728" s="20" t="n"/>
      <c r="T728" s="21" t="n"/>
      <c r="U728" s="21" t="n"/>
      <c r="V728" s="22">
        <f>IF(U728="A",K728,IF(U728="B",L728,IF(U728="C",M728,IF(N728="A",K728,IF(N728="B",L728,M728)))))</f>
        <v/>
      </c>
      <c r="W728" s="22">
        <f>IF(R728="",O728,MAX(V728-R728-N(S728),0))</f>
        <v/>
      </c>
      <c r="X728" s="20" t="n"/>
      <c r="Y728" s="23">
        <f>IF(OR(X728="",W728=0),"",X728/W728-1)</f>
        <v/>
      </c>
      <c r="Z728" s="24" t="n"/>
      <c r="AA728" s="21" t="n"/>
      <c r="AB728" s="25" t="n"/>
      <c r="AC728" s="26">
        <f>IF(T728="","Chưa quyết định",IF(OR(Z728="",AA728=""),"⚠ Thiếu lý do/người duyệt",IF(AND(X728&lt;&gt;"",N(X728)+N(R728)+N(S728)&gt;M728*1.001,R728&lt;&gt;""),"⚠ Vượt mục tiêu P90",IF(AND(Y728&lt;&gt;"",ABS(N(Y728))&gt;0.3),"⚠ Lệch &gt; 30% so với nhu cầu",IF(Q728="Có","ℹ Kiểm tra ngoại suy KM","✓ Hợp lệ")))))</f>
        <v/>
      </c>
    </row>
    <row r="729">
      <c r="A729" s="16" t="n">
        <v>725</v>
      </c>
      <c r="B729" s="17" t="inlineStr">
        <is>
          <t>DEC-S02-PLAYERS_AND_ELECTRONICS</t>
        </is>
      </c>
      <c r="C729" s="16" t="n">
        <v>2</v>
      </c>
      <c r="D729" s="17" t="inlineStr">
        <is>
          <t>PLAYERS AND ELECTRONICS</t>
        </is>
      </c>
      <c r="E729" s="17" t="inlineStr">
        <is>
          <t>HIGH</t>
        </is>
      </c>
      <c r="F729" s="17" t="inlineStr">
        <is>
          <t>TRUNG BÌNH</t>
        </is>
      </c>
      <c r="G729" s="18" t="inlineStr">
        <is>
          <t>RISK_HIGH · PROMO_EXTRAPOLATION</t>
        </is>
      </c>
      <c r="H729" s="19" t="n">
        <v>32.68590044975281</v>
      </c>
      <c r="I729" s="19" t="n">
        <v>122.7189481258392</v>
      </c>
      <c r="J729" s="19" t="n">
        <v>251.8383622169494</v>
      </c>
      <c r="K729" s="19" t="n">
        <v>122.7189481258392</v>
      </c>
      <c r="L729" s="19" t="n">
        <v>203.4185819327831</v>
      </c>
      <c r="M729" s="19" t="n">
        <v>251.8383622169494</v>
      </c>
      <c r="N729" s="17" t="inlineStr">
        <is>
          <t>B</t>
        </is>
      </c>
      <c r="O729" s="19" t="n">
        <v>105.2434234321117</v>
      </c>
      <c r="P729" s="18" t="inlineStr">
        <is>
          <t>KHÔNG ĐỀ XUẤT TĂNG</t>
        </is>
      </c>
      <c r="Q729" s="17" t="inlineStr">
        <is>
          <t>Có</t>
        </is>
      </c>
      <c r="R729" s="20" t="n"/>
      <c r="S729" s="20" t="n"/>
      <c r="T729" s="21" t="n"/>
      <c r="U729" s="21" t="n"/>
      <c r="V729" s="22">
        <f>IF(U729="A",K729,IF(U729="B",L729,IF(U729="C",M729,IF(N729="A",K729,IF(N729="B",L729,M729)))))</f>
        <v/>
      </c>
      <c r="W729" s="22">
        <f>IF(R729="",O729,MAX(V729-R729-N(S729),0))</f>
        <v/>
      </c>
      <c r="X729" s="20" t="n"/>
      <c r="Y729" s="23">
        <f>IF(OR(X729="",W729=0),"",X729/W729-1)</f>
        <v/>
      </c>
      <c r="Z729" s="24" t="n"/>
      <c r="AA729" s="21" t="n"/>
      <c r="AB729" s="25" t="n"/>
      <c r="AC729" s="26">
        <f>IF(T729="","Chưa quyết định",IF(OR(Z729="",AA729=""),"⚠ Thiếu lý do/người duyệt",IF(AND(X729&lt;&gt;"",N(X729)+N(R729)+N(S729)&gt;M729*1.001,R729&lt;&gt;""),"⚠ Vượt mục tiêu P90",IF(AND(Y729&lt;&gt;"",ABS(N(Y729))&gt;0.3),"⚠ Lệch &gt; 30% so với nhu cầu",IF(Q729="Có","ℹ Kiểm tra ngoại suy KM","✓ Hợp lệ")))))</f>
        <v/>
      </c>
    </row>
    <row r="730">
      <c r="A730" s="16" t="n">
        <v>726</v>
      </c>
      <c r="B730" s="17" t="inlineStr">
        <is>
          <t>DEC-S12-CELEBRATION</t>
        </is>
      </c>
      <c r="C730" s="16" t="n">
        <v>12</v>
      </c>
      <c r="D730" s="17" t="inlineStr">
        <is>
          <t>CELEBRATION</t>
        </is>
      </c>
      <c r="E730" s="17" t="inlineStr">
        <is>
          <t>HIGH</t>
        </is>
      </c>
      <c r="F730" s="17" t="inlineStr">
        <is>
          <t>TRUNG BÌNH</t>
        </is>
      </c>
      <c r="G730" s="18" t="inlineStr">
        <is>
          <t>RISK_HIGH · PROMO_EXTRAPOLATION</t>
        </is>
      </c>
      <c r="H730" s="19" t="n">
        <v>29.97135305404663</v>
      </c>
      <c r="I730" s="19" t="n">
        <v>122.4016070365906</v>
      </c>
      <c r="J730" s="19" t="n">
        <v>257.3059048652649</v>
      </c>
      <c r="K730" s="19" t="n">
        <v>122.4016070365906</v>
      </c>
      <c r="L730" s="19" t="n">
        <v>206.716793179512</v>
      </c>
      <c r="M730" s="19" t="n">
        <v>257.3059048652649</v>
      </c>
      <c r="N730" s="17" t="inlineStr">
        <is>
          <t>B</t>
        </is>
      </c>
      <c r="O730" s="19" t="n">
        <v>108.7955075502396</v>
      </c>
      <c r="P730" s="18" t="inlineStr">
        <is>
          <t>KHÔNG ĐỀ XUẤT TĂNG</t>
        </is>
      </c>
      <c r="Q730" s="17" t="inlineStr">
        <is>
          <t>Có</t>
        </is>
      </c>
      <c r="R730" s="20" t="n"/>
      <c r="S730" s="20" t="n"/>
      <c r="T730" s="21" t="n"/>
      <c r="U730" s="21" t="n"/>
      <c r="V730" s="22">
        <f>IF(U730="A",K730,IF(U730="B",L730,IF(U730="C",M730,IF(N730="A",K730,IF(N730="B",L730,M730)))))</f>
        <v/>
      </c>
      <c r="W730" s="22">
        <f>IF(R730="",O730,MAX(V730-R730-N(S730),0))</f>
        <v/>
      </c>
      <c r="X730" s="20" t="n"/>
      <c r="Y730" s="23">
        <f>IF(OR(X730="",W730=0),"",X730/W730-1)</f>
        <v/>
      </c>
      <c r="Z730" s="24" t="n"/>
      <c r="AA730" s="21" t="n"/>
      <c r="AB730" s="25" t="n"/>
      <c r="AC730" s="26">
        <f>IF(T730="","Chưa quyết định",IF(OR(Z730="",AA730=""),"⚠ Thiếu lý do/người duyệt",IF(AND(X730&lt;&gt;"",N(X730)+N(R730)+N(S730)&gt;M730*1.001,R730&lt;&gt;""),"⚠ Vượt mục tiêu P90",IF(AND(Y730&lt;&gt;"",ABS(N(Y730))&gt;0.3),"⚠ Lệch &gt; 30% so với nhu cầu",IF(Q730="Có","ℹ Kiểm tra ngoại suy KM","✓ Hợp lệ")))))</f>
        <v/>
      </c>
    </row>
    <row r="731">
      <c r="A731" s="16" t="n">
        <v>727</v>
      </c>
      <c r="B731" s="17" t="inlineStr">
        <is>
          <t>DEC-S39-PET_SUPPLIES</t>
        </is>
      </c>
      <c r="C731" s="16" t="n">
        <v>39</v>
      </c>
      <c r="D731" s="17" t="inlineStr">
        <is>
          <t>PET SUPPLIES</t>
        </is>
      </c>
      <c r="E731" s="17" t="inlineStr">
        <is>
          <t>HIGH</t>
        </is>
      </c>
      <c r="F731" s="17" t="inlineStr">
        <is>
          <t>TRUNG BÌNH</t>
        </is>
      </c>
      <c r="G731" s="18" t="inlineStr">
        <is>
          <t>RISK_HIGH · PROMO_EXTRAPOLATION</t>
        </is>
      </c>
      <c r="H731" s="19" t="n">
        <v>35.78555107116699</v>
      </c>
      <c r="I731" s="19" t="n">
        <v>122.2230319976807</v>
      </c>
      <c r="J731" s="19" t="n">
        <v>248.9534940719604</v>
      </c>
      <c r="K731" s="19" t="n">
        <v>122.2230319976807</v>
      </c>
      <c r="L731" s="19" t="n">
        <v>201.4295707941055</v>
      </c>
      <c r="M731" s="19" t="n">
        <v>248.9534940719604</v>
      </c>
      <c r="N731" s="17" t="inlineStr">
        <is>
          <t>B</t>
        </is>
      </c>
      <c r="O731" s="19" t="n">
        <v>103.651145195961</v>
      </c>
      <c r="P731" s="18" t="inlineStr">
        <is>
          <t>KHÔNG ĐỀ XUẤT TĂNG</t>
        </is>
      </c>
      <c r="Q731" s="17" t="inlineStr">
        <is>
          <t>Có</t>
        </is>
      </c>
      <c r="R731" s="20" t="n"/>
      <c r="S731" s="20" t="n"/>
      <c r="T731" s="21" t="n"/>
      <c r="U731" s="21" t="n"/>
      <c r="V731" s="22">
        <f>IF(U731="A",K731,IF(U731="B",L731,IF(U731="C",M731,IF(N731="A",K731,IF(N731="B",L731,M731)))))</f>
        <v/>
      </c>
      <c r="W731" s="22">
        <f>IF(R731="",O731,MAX(V731-R731-N(S731),0))</f>
        <v/>
      </c>
      <c r="X731" s="20" t="n"/>
      <c r="Y731" s="23">
        <f>IF(OR(X731="",W731=0),"",X731/W731-1)</f>
        <v/>
      </c>
      <c r="Z731" s="24" t="n"/>
      <c r="AA731" s="21" t="n"/>
      <c r="AB731" s="25" t="n"/>
      <c r="AC731" s="26">
        <f>IF(T731="","Chưa quyết định",IF(OR(Z731="",AA731=""),"⚠ Thiếu lý do/người duyệt",IF(AND(X731&lt;&gt;"",N(X731)+N(R731)+N(S731)&gt;M731*1.001,R731&lt;&gt;""),"⚠ Vượt mục tiêu P90",IF(AND(Y731&lt;&gt;"",ABS(N(Y731))&gt;0.3),"⚠ Lệch &gt; 30% so với nhu cầu",IF(Q731="Có","ℹ Kiểm tra ngoại suy KM","✓ Hợp lệ")))))</f>
        <v/>
      </c>
    </row>
    <row r="732">
      <c r="A732" s="16" t="n">
        <v>728</v>
      </c>
      <c r="B732" s="17" t="inlineStr">
        <is>
          <t>DEC-S16-GROCERY_II</t>
        </is>
      </c>
      <c r="C732" s="16" t="n">
        <v>16</v>
      </c>
      <c r="D732" s="17" t="inlineStr">
        <is>
          <t>GROCERY II</t>
        </is>
      </c>
      <c r="E732" s="17" t="inlineStr">
        <is>
          <t>HIGH</t>
        </is>
      </c>
      <c r="F732" s="17" t="inlineStr">
        <is>
          <t>TRUNG BÌNH</t>
        </is>
      </c>
      <c r="G732" s="18" t="inlineStr">
        <is>
          <t>RISK_HIGH · PROMO_EXTRAPOLATION</t>
        </is>
      </c>
      <c r="H732" s="19" t="n">
        <v>30.21739575862885</v>
      </c>
      <c r="I732" s="19" t="n">
        <v>120.2020685076714</v>
      </c>
      <c r="J732" s="19" t="n">
        <v>258.7621643900872</v>
      </c>
      <c r="K732" s="19" t="n">
        <v>120.2020685076714</v>
      </c>
      <c r="L732" s="19" t="n">
        <v>206.8021284341812</v>
      </c>
      <c r="M732" s="19" t="n">
        <v>258.7621643900872</v>
      </c>
      <c r="N732" s="17" t="inlineStr">
        <is>
          <t>B</t>
        </is>
      </c>
      <c r="O732" s="19" t="n">
        <v>110.6404736280441</v>
      </c>
      <c r="P732" s="18" t="inlineStr">
        <is>
          <t>KHÔNG ĐỀ XUẤT TĂNG</t>
        </is>
      </c>
      <c r="Q732" s="17" t="inlineStr">
        <is>
          <t>Có</t>
        </is>
      </c>
      <c r="R732" s="20" t="n"/>
      <c r="S732" s="20" t="n"/>
      <c r="T732" s="21" t="n"/>
      <c r="U732" s="21" t="n"/>
      <c r="V732" s="22">
        <f>IF(U732="A",K732,IF(U732="B",L732,IF(U732="C",M732,IF(N732="A",K732,IF(N732="B",L732,M732)))))</f>
        <v/>
      </c>
      <c r="W732" s="22">
        <f>IF(R732="",O732,MAX(V732-R732-N(S732),0))</f>
        <v/>
      </c>
      <c r="X732" s="20" t="n"/>
      <c r="Y732" s="23">
        <f>IF(OR(X732="",W732=0),"",X732/W732-1)</f>
        <v/>
      </c>
      <c r="Z732" s="24" t="n"/>
      <c r="AA732" s="21" t="n"/>
      <c r="AB732" s="25" t="n"/>
      <c r="AC732" s="26">
        <f>IF(T732="","Chưa quyết định",IF(OR(Z732="",AA732=""),"⚠ Thiếu lý do/người duyệt",IF(AND(X732&lt;&gt;"",N(X732)+N(R732)+N(S732)&gt;M732*1.001,R732&lt;&gt;""),"⚠ Vượt mục tiêu P90",IF(AND(Y732&lt;&gt;"",ABS(N(Y732))&gt;0.3),"⚠ Lệch &gt; 30% so với nhu cầu",IF(Q732="Có","ℹ Kiểm tra ngoại suy KM","✓ Hợp lệ")))))</f>
        <v/>
      </c>
    </row>
    <row r="733">
      <c r="A733" s="16" t="n">
        <v>729</v>
      </c>
      <c r="B733" s="17" t="inlineStr">
        <is>
          <t>DEC-S04-PET_SUPPLIES</t>
        </is>
      </c>
      <c r="C733" s="16" t="n">
        <v>4</v>
      </c>
      <c r="D733" s="17" t="inlineStr">
        <is>
          <t>PET SUPPLIES</t>
        </is>
      </c>
      <c r="E733" s="17" t="inlineStr">
        <is>
          <t>HIGH</t>
        </is>
      </c>
      <c r="F733" s="17" t="inlineStr">
        <is>
          <t>TRUNG BÌNH</t>
        </is>
      </c>
      <c r="G733" s="18" t="inlineStr">
        <is>
          <t>RISK_HIGH · PROMO_EXTRAPOLATION</t>
        </is>
      </c>
      <c r="H733" s="19" t="n">
        <v>28.95891237258911</v>
      </c>
      <c r="I733" s="19" t="n">
        <v>118.9919600486755</v>
      </c>
      <c r="J733" s="19" t="n">
        <v>248.1113741397858</v>
      </c>
      <c r="K733" s="19" t="n">
        <v>118.9919600486755</v>
      </c>
      <c r="L733" s="19" t="n">
        <v>199.6915938556194</v>
      </c>
      <c r="M733" s="19" t="n">
        <v>248.1113741397858</v>
      </c>
      <c r="N733" s="17" t="inlineStr">
        <is>
          <t>B</t>
        </is>
      </c>
      <c r="O733" s="19" t="n">
        <v>104.498025816679</v>
      </c>
      <c r="P733" s="18" t="inlineStr">
        <is>
          <t>KHÔNG ĐỀ XUẤT TĂNG</t>
        </is>
      </c>
      <c r="Q733" s="17" t="inlineStr">
        <is>
          <t>Có</t>
        </is>
      </c>
      <c r="R733" s="20" t="n"/>
      <c r="S733" s="20" t="n"/>
      <c r="T733" s="21" t="n"/>
      <c r="U733" s="21" t="n"/>
      <c r="V733" s="22">
        <f>IF(U733="A",K733,IF(U733="B",L733,IF(U733="C",M733,IF(N733="A",K733,IF(N733="B",L733,M733)))))</f>
        <v/>
      </c>
      <c r="W733" s="22">
        <f>IF(R733="",O733,MAX(V733-R733-N(S733),0))</f>
        <v/>
      </c>
      <c r="X733" s="20" t="n"/>
      <c r="Y733" s="23">
        <f>IF(OR(X733="",W733=0),"",X733/W733-1)</f>
        <v/>
      </c>
      <c r="Z733" s="24" t="n"/>
      <c r="AA733" s="21" t="n"/>
      <c r="AB733" s="25" t="n"/>
      <c r="AC733" s="26">
        <f>IF(T733="","Chưa quyết định",IF(OR(Z733="",AA733=""),"⚠ Thiếu lý do/người duyệt",IF(AND(X733&lt;&gt;"",N(X733)+N(R733)+N(S733)&gt;M733*1.001,R733&lt;&gt;""),"⚠ Vượt mục tiêu P90",IF(AND(Y733&lt;&gt;"",ABS(N(Y733))&gt;0.3),"⚠ Lệch &gt; 30% so với nhu cầu",IF(Q733="Có","ℹ Kiểm tra ngoại suy KM","✓ Hợp lệ")))))</f>
        <v/>
      </c>
    </row>
    <row r="734">
      <c r="A734" s="16" t="n">
        <v>730</v>
      </c>
      <c r="B734" s="17" t="inlineStr">
        <is>
          <t>DEC-S22-CELEBRATION</t>
        </is>
      </c>
      <c r="C734" s="16" t="n">
        <v>22</v>
      </c>
      <c r="D734" s="17" t="inlineStr">
        <is>
          <t>CELEBRATION</t>
        </is>
      </c>
      <c r="E734" s="17" t="inlineStr">
        <is>
          <t>HIGH</t>
        </is>
      </c>
      <c r="F734" s="17" t="inlineStr">
        <is>
          <t>TRUNG BÌNH</t>
        </is>
      </c>
      <c r="G734" s="18" t="inlineStr">
        <is>
          <t>RISK_HIGH · PROMO_EXTRAPOLATION</t>
        </is>
      </c>
      <c r="H734" s="19" t="n">
        <v>34.84661278724671</v>
      </c>
      <c r="I734" s="19" t="n">
        <v>118.7987681031227</v>
      </c>
      <c r="J734" s="19" t="n">
        <v>243.4001444935798</v>
      </c>
      <c r="K734" s="19" t="n">
        <v>118.7987681031227</v>
      </c>
      <c r="L734" s="19" t="n">
        <v>196.6746283471584</v>
      </c>
      <c r="M734" s="19" t="n">
        <v>243.4001444935798</v>
      </c>
      <c r="N734" s="17" t="inlineStr">
        <is>
          <t>B</t>
        </is>
      </c>
      <c r="O734" s="19" t="n">
        <v>101.6356138646603</v>
      </c>
      <c r="P734" s="18" t="inlineStr">
        <is>
          <t>KHÔNG ĐỀ XUẤT TĂNG</t>
        </is>
      </c>
      <c r="Q734" s="17" t="inlineStr">
        <is>
          <t>Có</t>
        </is>
      </c>
      <c r="R734" s="20" t="n"/>
      <c r="S734" s="20" t="n"/>
      <c r="T734" s="21" t="n"/>
      <c r="U734" s="21" t="n"/>
      <c r="V734" s="22">
        <f>IF(U734="A",K734,IF(U734="B",L734,IF(U734="C",M734,IF(N734="A",K734,IF(N734="B",L734,M734)))))</f>
        <v/>
      </c>
      <c r="W734" s="22">
        <f>IF(R734="",O734,MAX(V734-R734-N(S734),0))</f>
        <v/>
      </c>
      <c r="X734" s="20" t="n"/>
      <c r="Y734" s="23">
        <f>IF(OR(X734="",W734=0),"",X734/W734-1)</f>
        <v/>
      </c>
      <c r="Z734" s="24" t="n"/>
      <c r="AA734" s="21" t="n"/>
      <c r="AB734" s="25" t="n"/>
      <c r="AC734" s="26">
        <f>IF(T734="","Chưa quyết định",IF(OR(Z734="",AA734=""),"⚠ Thiếu lý do/người duyệt",IF(AND(X734&lt;&gt;"",N(X734)+N(R734)+N(S734)&gt;M734*1.001,R734&lt;&gt;""),"⚠ Vượt mục tiêu P90",IF(AND(Y734&lt;&gt;"",ABS(N(Y734))&gt;0.3),"⚠ Lệch &gt; 30% so với nhu cầu",IF(Q734="Có","ℹ Kiểm tra ngoại suy KM","✓ Hợp lệ")))))</f>
        <v/>
      </c>
    </row>
    <row r="735">
      <c r="A735" s="16" t="n">
        <v>731</v>
      </c>
      <c r="B735" s="17" t="inlineStr">
        <is>
          <t>DEC-S51-AUTOMOTIVE</t>
        </is>
      </c>
      <c r="C735" s="16" t="n">
        <v>51</v>
      </c>
      <c r="D735" s="17" t="inlineStr">
        <is>
          <t>AUTOMOTIVE</t>
        </is>
      </c>
      <c r="E735" s="17" t="inlineStr">
        <is>
          <t>HIGH</t>
        </is>
      </c>
      <c r="F735" s="17" t="inlineStr">
        <is>
          <t>TRUNG BÌNH</t>
        </is>
      </c>
      <c r="G735" s="18" t="inlineStr">
        <is>
          <t>RISK_HIGH · PROMO_EXTRAPOLATION</t>
        </is>
      </c>
      <c r="H735" s="19" t="n">
        <v>27.93467259407043</v>
      </c>
      <c r="I735" s="19" t="n">
        <v>117.9677202701569</v>
      </c>
      <c r="J735" s="19" t="n">
        <v>247.0871343612671</v>
      </c>
      <c r="K735" s="19" t="n">
        <v>117.9677202701569</v>
      </c>
      <c r="L735" s="19" t="n">
        <v>198.6673540771008</v>
      </c>
      <c r="M735" s="19" t="n">
        <v>247.0871343612671</v>
      </c>
      <c r="N735" s="17" t="inlineStr">
        <is>
          <t>B</t>
        </is>
      </c>
      <c r="O735" s="19" t="n">
        <v>104.2931778609753</v>
      </c>
      <c r="P735" s="18" t="inlineStr">
        <is>
          <t>KHÔNG ĐỀ XUẤT TĂNG</t>
        </is>
      </c>
      <c r="Q735" s="17" t="inlineStr">
        <is>
          <t>Có</t>
        </is>
      </c>
      <c r="R735" s="20" t="n"/>
      <c r="S735" s="20" t="n"/>
      <c r="T735" s="21" t="n"/>
      <c r="U735" s="21" t="n"/>
      <c r="V735" s="22">
        <f>IF(U735="A",K735,IF(U735="B",L735,IF(U735="C",M735,IF(N735="A",K735,IF(N735="B",L735,M735)))))</f>
        <v/>
      </c>
      <c r="W735" s="22">
        <f>IF(R735="",O735,MAX(V735-R735-N(S735),0))</f>
        <v/>
      </c>
      <c r="X735" s="20" t="n"/>
      <c r="Y735" s="23">
        <f>IF(OR(X735="",W735=0),"",X735/W735-1)</f>
        <v/>
      </c>
      <c r="Z735" s="24" t="n"/>
      <c r="AA735" s="21" t="n"/>
      <c r="AB735" s="25" t="n"/>
      <c r="AC735" s="26">
        <f>IF(T735="","Chưa quyết định",IF(OR(Z735="",AA735=""),"⚠ Thiếu lý do/người duyệt",IF(AND(X735&lt;&gt;"",N(X735)+N(R735)+N(S735)&gt;M735*1.001,R735&lt;&gt;""),"⚠ Vượt mục tiêu P90",IF(AND(Y735&lt;&gt;"",ABS(N(Y735))&gt;0.3),"⚠ Lệch &gt; 30% so với nhu cầu",IF(Q735="Có","ℹ Kiểm tra ngoại suy KM","✓ Hợp lệ")))))</f>
        <v/>
      </c>
    </row>
    <row r="736">
      <c r="A736" s="16" t="n">
        <v>732</v>
      </c>
      <c r="B736" s="17" t="inlineStr">
        <is>
          <t>DEC-S27-AUTOMOTIVE</t>
        </is>
      </c>
      <c r="C736" s="16" t="n">
        <v>27</v>
      </c>
      <c r="D736" s="17" t="inlineStr">
        <is>
          <t>AUTOMOTIVE</t>
        </is>
      </c>
      <c r="E736" s="17" t="inlineStr">
        <is>
          <t>HIGH</t>
        </is>
      </c>
      <c r="F736" s="17" t="inlineStr">
        <is>
          <t>TRUNG BÌNH</t>
        </is>
      </c>
      <c r="G736" s="18" t="inlineStr">
        <is>
          <t>RISK_HIGH · PROMO_EXTRAPOLATION</t>
        </is>
      </c>
      <c r="H736" s="19" t="n">
        <v>27.84946012496948</v>
      </c>
      <c r="I736" s="19" t="n">
        <v>117.8825078010559</v>
      </c>
      <c r="J736" s="19" t="n">
        <v>247.0019218921661</v>
      </c>
      <c r="K736" s="19" t="n">
        <v>117.8825078010559</v>
      </c>
      <c r="L736" s="19" t="n">
        <v>198.5821416079998</v>
      </c>
      <c r="M736" s="19" t="n">
        <v>247.0019218921661</v>
      </c>
      <c r="N736" s="17" t="inlineStr">
        <is>
          <t>B</t>
        </is>
      </c>
      <c r="O736" s="19" t="n">
        <v>104.276135367155</v>
      </c>
      <c r="P736" s="18" t="inlineStr">
        <is>
          <t>KHÔNG ĐỀ XUẤT TĂNG</t>
        </is>
      </c>
      <c r="Q736" s="17" t="inlineStr">
        <is>
          <t>Có</t>
        </is>
      </c>
      <c r="R736" s="20" t="n"/>
      <c r="S736" s="20" t="n"/>
      <c r="T736" s="21" t="n"/>
      <c r="U736" s="21" t="n"/>
      <c r="V736" s="22">
        <f>IF(U736="A",K736,IF(U736="B",L736,IF(U736="C",M736,IF(N736="A",K736,IF(N736="B",L736,M736)))))</f>
        <v/>
      </c>
      <c r="W736" s="22">
        <f>IF(R736="",O736,MAX(V736-R736-N(S736),0))</f>
        <v/>
      </c>
      <c r="X736" s="20" t="n"/>
      <c r="Y736" s="23">
        <f>IF(OR(X736="",W736=0),"",X736/W736-1)</f>
        <v/>
      </c>
      <c r="Z736" s="24" t="n"/>
      <c r="AA736" s="21" t="n"/>
      <c r="AB736" s="25" t="n"/>
      <c r="AC736" s="26">
        <f>IF(T736="","Chưa quyết định",IF(OR(Z736="",AA736=""),"⚠ Thiếu lý do/người duyệt",IF(AND(X736&lt;&gt;"",N(X736)+N(R736)+N(S736)&gt;M736*1.001,R736&lt;&gt;""),"⚠ Vượt mục tiêu P90",IF(AND(Y736&lt;&gt;"",ABS(N(Y736))&gt;0.3),"⚠ Lệch &gt; 30% so với nhu cầu",IF(Q736="Có","ℹ Kiểm tra ngoại suy KM","✓ Hợp lệ")))))</f>
        <v/>
      </c>
    </row>
    <row r="737">
      <c r="A737" s="16" t="n">
        <v>733</v>
      </c>
      <c r="B737" s="17" t="inlineStr">
        <is>
          <t>DEC-S15-LADIESWEAR</t>
        </is>
      </c>
      <c r="C737" s="16" t="n">
        <v>15</v>
      </c>
      <c r="D737" s="17" t="inlineStr">
        <is>
          <t>LADIESWEAR</t>
        </is>
      </c>
      <c r="E737" s="17" t="inlineStr">
        <is>
          <t>HIGH</t>
        </is>
      </c>
      <c r="F737" s="17" t="inlineStr">
        <is>
          <t>TRUNG BÌNH</t>
        </is>
      </c>
      <c r="G737" s="18" t="inlineStr">
        <is>
          <t>RISK_HIGH · PROMO_EXTRAPOLATION</t>
        </is>
      </c>
      <c r="H737" s="19" t="n">
        <v>28.81015801429749</v>
      </c>
      <c r="I737" s="19" t="n">
        <v>117.6448452472687</v>
      </c>
      <c r="J737" s="19" t="n">
        <v>250.1601910591125</v>
      </c>
      <c r="K737" s="19" t="n">
        <v>117.6448452472687</v>
      </c>
      <c r="L737" s="19" t="n">
        <v>200.4669363796711</v>
      </c>
      <c r="M737" s="19" t="n">
        <v>250.1601910591125</v>
      </c>
      <c r="N737" s="17" t="inlineStr">
        <is>
          <t>B</t>
        </is>
      </c>
      <c r="O737" s="19" t="n">
        <v>106.3510601818561</v>
      </c>
      <c r="P737" s="18" t="inlineStr">
        <is>
          <t>KHÔNG ĐỀ XUẤT TĂNG</t>
        </is>
      </c>
      <c r="Q737" s="17" t="inlineStr">
        <is>
          <t>Có</t>
        </is>
      </c>
      <c r="R737" s="20" t="n"/>
      <c r="S737" s="20" t="n"/>
      <c r="T737" s="21" t="n"/>
      <c r="U737" s="21" t="n"/>
      <c r="V737" s="22">
        <f>IF(U737="A",K737,IF(U737="B",L737,IF(U737="C",M737,IF(N737="A",K737,IF(N737="B",L737,M737)))))</f>
        <v/>
      </c>
      <c r="W737" s="22">
        <f>IF(R737="",O737,MAX(V737-R737-N(S737),0))</f>
        <v/>
      </c>
      <c r="X737" s="20" t="n"/>
      <c r="Y737" s="23">
        <f>IF(OR(X737="",W737=0),"",X737/W737-1)</f>
        <v/>
      </c>
      <c r="Z737" s="24" t="n"/>
      <c r="AA737" s="21" t="n"/>
      <c r="AB737" s="25" t="n"/>
      <c r="AC737" s="26">
        <f>IF(T737="","Chưa quyết định",IF(OR(Z737="",AA737=""),"⚠ Thiếu lý do/người duyệt",IF(AND(X737&lt;&gt;"",N(X737)+N(R737)+N(S737)&gt;M737*1.001,R737&lt;&gt;""),"⚠ Vượt mục tiêu P90",IF(AND(Y737&lt;&gt;"",ABS(N(Y737))&gt;0.3),"⚠ Lệch &gt; 30% so với nhu cầu",IF(Q737="Có","ℹ Kiểm tra ngoại suy KM","✓ Hợp lệ")))))</f>
        <v/>
      </c>
    </row>
    <row r="738">
      <c r="A738" s="16" t="n">
        <v>734</v>
      </c>
      <c r="B738" s="17" t="inlineStr">
        <is>
          <t>DEC-S10-BEAUTY</t>
        </is>
      </c>
      <c r="C738" s="16" t="n">
        <v>10</v>
      </c>
      <c r="D738" s="17" t="inlineStr">
        <is>
          <t>BEAUTY</t>
        </is>
      </c>
      <c r="E738" s="17" t="inlineStr">
        <is>
          <t>HIGH</t>
        </is>
      </c>
      <c r="F738" s="17" t="inlineStr">
        <is>
          <t>TRUNG BÌNH</t>
        </is>
      </c>
      <c r="G738" s="18" t="inlineStr">
        <is>
          <t>RISK_HIGH · PROMO_EXTRAPOLATION</t>
        </is>
      </c>
      <c r="H738" s="19" t="n">
        <v>57.45931030511856</v>
      </c>
      <c r="I738" s="19" t="n">
        <v>117.3268076563254</v>
      </c>
      <c r="J738" s="19" t="n">
        <v>224.1158995771781</v>
      </c>
      <c r="K738" s="19" t="n">
        <v>117.3268076563254</v>
      </c>
      <c r="L738" s="19" t="n">
        <v>184.0699901068583</v>
      </c>
      <c r="M738" s="19" t="n">
        <v>224.1158995771781</v>
      </c>
      <c r="N738" s="17" t="inlineStr">
        <is>
          <t>B</t>
        </is>
      </c>
      <c r="O738" s="19" t="n">
        <v>90.208543981798</v>
      </c>
      <c r="P738" s="18" t="inlineStr">
        <is>
          <t>CÂN NHẮC THỬ NGHIỆM</t>
        </is>
      </c>
      <c r="Q738" s="17" t="inlineStr">
        <is>
          <t>Có</t>
        </is>
      </c>
      <c r="R738" s="20" t="n"/>
      <c r="S738" s="20" t="n"/>
      <c r="T738" s="21" t="n"/>
      <c r="U738" s="21" t="n"/>
      <c r="V738" s="22">
        <f>IF(U738="A",K738,IF(U738="B",L738,IF(U738="C",M738,IF(N738="A",K738,IF(N738="B",L738,M738)))))</f>
        <v/>
      </c>
      <c r="W738" s="22">
        <f>IF(R738="",O738,MAX(V738-R738-N(S738),0))</f>
        <v/>
      </c>
      <c r="X738" s="20" t="n"/>
      <c r="Y738" s="23">
        <f>IF(OR(X738="",W738=0),"",X738/W738-1)</f>
        <v/>
      </c>
      <c r="Z738" s="24" t="n"/>
      <c r="AA738" s="21" t="n"/>
      <c r="AB738" s="25" t="n"/>
      <c r="AC738" s="26">
        <f>IF(T738="","Chưa quyết định",IF(OR(Z738="",AA738=""),"⚠ Thiếu lý do/người duyệt",IF(AND(X738&lt;&gt;"",N(X738)+N(R738)+N(S738)&gt;M738*1.001,R738&lt;&gt;""),"⚠ Vượt mục tiêu P90",IF(AND(Y738&lt;&gt;"",ABS(N(Y738))&gt;0.3),"⚠ Lệch &gt; 30% so với nhu cầu",IF(Q738="Có","ℹ Kiểm tra ngoại suy KM","✓ Hợp lệ")))))</f>
        <v/>
      </c>
    </row>
    <row r="739">
      <c r="A739" s="16" t="n">
        <v>735</v>
      </c>
      <c r="B739" s="17" t="inlineStr">
        <is>
          <t>DEC-S34-PLAYERS_AND_ELECTRONICS</t>
        </is>
      </c>
      <c r="C739" s="16" t="n">
        <v>34</v>
      </c>
      <c r="D739" s="17" t="inlineStr">
        <is>
          <t>PLAYERS AND ELECTRONICS</t>
        </is>
      </c>
      <c r="E739" s="17" t="inlineStr">
        <is>
          <t>HIGH</t>
        </is>
      </c>
      <c r="F739" s="17" t="inlineStr">
        <is>
          <t>TRUNG BÌNH</t>
        </is>
      </c>
      <c r="G739" s="18" t="inlineStr">
        <is>
          <t>RISK_HIGH · PROMO_EXTRAPOLATION</t>
        </is>
      </c>
      <c r="H739" s="19" t="n">
        <v>26.32492589950561</v>
      </c>
      <c r="I739" s="19" t="n">
        <v>116.357973575592</v>
      </c>
      <c r="J739" s="19" t="n">
        <v>245.4773876667023</v>
      </c>
      <c r="K739" s="19" t="n">
        <v>116.357973575592</v>
      </c>
      <c r="L739" s="19" t="n">
        <v>197.0576073825359</v>
      </c>
      <c r="M739" s="19" t="n">
        <v>245.4773876667023</v>
      </c>
      <c r="N739" s="17" t="inlineStr">
        <is>
          <t>B</t>
        </is>
      </c>
      <c r="O739" s="19" t="n">
        <v>103.9712285220623</v>
      </c>
      <c r="P739" s="18" t="inlineStr">
        <is>
          <t>KHÔNG ĐỀ XUẤT TĂNG</t>
        </is>
      </c>
      <c r="Q739" s="17" t="inlineStr">
        <is>
          <t>Có</t>
        </is>
      </c>
      <c r="R739" s="20" t="n"/>
      <c r="S739" s="20" t="n"/>
      <c r="T739" s="21" t="n"/>
      <c r="U739" s="21" t="n"/>
      <c r="V739" s="22">
        <f>IF(U739="A",K739,IF(U739="B",L739,IF(U739="C",M739,IF(N739="A",K739,IF(N739="B",L739,M739)))))</f>
        <v/>
      </c>
      <c r="W739" s="22">
        <f>IF(R739="",O739,MAX(V739-R739-N(S739),0))</f>
        <v/>
      </c>
      <c r="X739" s="20" t="n"/>
      <c r="Y739" s="23">
        <f>IF(OR(X739="",W739=0),"",X739/W739-1)</f>
        <v/>
      </c>
      <c r="Z739" s="24" t="n"/>
      <c r="AA739" s="21" t="n"/>
      <c r="AB739" s="25" t="n"/>
      <c r="AC739" s="26">
        <f>IF(T739="","Chưa quyết định",IF(OR(Z739="",AA739=""),"⚠ Thiếu lý do/người duyệt",IF(AND(X739&lt;&gt;"",N(X739)+N(R739)+N(S739)&gt;M739*1.001,R739&lt;&gt;""),"⚠ Vượt mục tiêu P90",IF(AND(Y739&lt;&gt;"",ABS(N(Y739))&gt;0.3),"⚠ Lệch &gt; 30% so với nhu cầu",IF(Q739="Có","ℹ Kiểm tra ngoại suy KM","✓ Hợp lệ")))))</f>
        <v/>
      </c>
    </row>
    <row r="740">
      <c r="A740" s="16" t="n">
        <v>736</v>
      </c>
      <c r="B740" s="17" t="inlineStr">
        <is>
          <t>DEC-S42-MAGAZINES</t>
        </is>
      </c>
      <c r="C740" s="16" t="n">
        <v>42</v>
      </c>
      <c r="D740" s="17" t="inlineStr">
        <is>
          <t>MAGAZINES</t>
        </is>
      </c>
      <c r="E740" s="17" t="inlineStr">
        <is>
          <t>HIGH</t>
        </is>
      </c>
      <c r="F740" s="17" t="inlineStr">
        <is>
          <t>TRUNG BÌNH</t>
        </is>
      </c>
      <c r="G740" s="18" t="inlineStr">
        <is>
          <t>RISK_HIGH · PROMO_EXTRAPOLATION</t>
        </is>
      </c>
      <c r="H740" s="19" t="n">
        <v>33.38292217254639</v>
      </c>
      <c r="I740" s="19" t="n">
        <v>116.2248363494873</v>
      </c>
      <c r="J740" s="19" t="n">
        <v>240.5663464069366</v>
      </c>
      <c r="K740" s="19" t="n">
        <v>116.2248363494873</v>
      </c>
      <c r="L740" s="19" t="n">
        <v>193.9382801353931</v>
      </c>
      <c r="M740" s="19" t="n">
        <v>240.5663464069366</v>
      </c>
      <c r="N740" s="17" t="inlineStr">
        <is>
          <t>B</t>
        </is>
      </c>
      <c r="O740" s="19" t="n">
        <v>100.9584110558033</v>
      </c>
      <c r="P740" s="18" t="inlineStr">
        <is>
          <t>KHÔNG ĐỀ XUẤT TĂNG</t>
        </is>
      </c>
      <c r="Q740" s="17" t="inlineStr">
        <is>
          <t>Có</t>
        </is>
      </c>
      <c r="R740" s="20" t="n"/>
      <c r="S740" s="20" t="n"/>
      <c r="T740" s="21" t="n"/>
      <c r="U740" s="21" t="n"/>
      <c r="V740" s="22">
        <f>IF(U740="A",K740,IF(U740="B",L740,IF(U740="C",M740,IF(N740="A",K740,IF(N740="B",L740,M740)))))</f>
        <v/>
      </c>
      <c r="W740" s="22">
        <f>IF(R740="",O740,MAX(V740-R740-N(S740),0))</f>
        <v/>
      </c>
      <c r="X740" s="20" t="n"/>
      <c r="Y740" s="23">
        <f>IF(OR(X740="",W740=0),"",X740/W740-1)</f>
        <v/>
      </c>
      <c r="Z740" s="24" t="n"/>
      <c r="AA740" s="21" t="n"/>
      <c r="AB740" s="25" t="n"/>
      <c r="AC740" s="26">
        <f>IF(T740="","Chưa quyết định",IF(OR(Z740="",AA740=""),"⚠ Thiếu lý do/người duyệt",IF(AND(X740&lt;&gt;"",N(X740)+N(R740)+N(S740)&gt;M740*1.001,R740&lt;&gt;""),"⚠ Vượt mục tiêu P90",IF(AND(Y740&lt;&gt;"",ABS(N(Y740))&gt;0.3),"⚠ Lệch &gt; 30% so với nhu cầu",IF(Q740="Có","ℹ Kiểm tra ngoại suy KM","✓ Hợp lệ")))))</f>
        <v/>
      </c>
    </row>
    <row r="741">
      <c r="A741" s="16" t="n">
        <v>737</v>
      </c>
      <c r="B741" s="17" t="inlineStr">
        <is>
          <t>DEC-S35-GROCERY_II</t>
        </is>
      </c>
      <c r="C741" s="16" t="n">
        <v>35</v>
      </c>
      <c r="D741" s="17" t="inlineStr">
        <is>
          <t>GROCERY II</t>
        </is>
      </c>
      <c r="E741" s="17" t="inlineStr">
        <is>
          <t>HIGH</t>
        </is>
      </c>
      <c r="F741" s="17" t="inlineStr">
        <is>
          <t>TRUNG BÌNH</t>
        </is>
      </c>
      <c r="G741" s="18" t="inlineStr">
        <is>
          <t>RISK_HIGH · PROMO_EXTRAPOLATION</t>
        </is>
      </c>
      <c r="H741" s="19" t="n">
        <v>28.28669738769531</v>
      </c>
      <c r="I741" s="19" t="n">
        <v>116.1149691343308</v>
      </c>
      <c r="J741" s="19" t="n">
        <v>257.8111304044724</v>
      </c>
      <c r="K741" s="19" t="n">
        <v>116.1149691343308</v>
      </c>
      <c r="L741" s="19" t="n">
        <v>204.6750699281693</v>
      </c>
      <c r="M741" s="19" t="n">
        <v>257.8111304044724</v>
      </c>
      <c r="N741" s="17" t="inlineStr">
        <is>
          <t>B</t>
        </is>
      </c>
      <c r="O741" s="19" t="n">
        <v>111.7830946207046</v>
      </c>
      <c r="P741" s="18" t="inlineStr">
        <is>
          <t>KHÔNG ĐỀ XUẤT TĂNG</t>
        </is>
      </c>
      <c r="Q741" s="17" t="inlineStr">
        <is>
          <t>Có</t>
        </is>
      </c>
      <c r="R741" s="20" t="n"/>
      <c r="S741" s="20" t="n"/>
      <c r="T741" s="21" t="n"/>
      <c r="U741" s="21" t="n"/>
      <c r="V741" s="22">
        <f>IF(U741="A",K741,IF(U741="B",L741,IF(U741="C",M741,IF(N741="A",K741,IF(N741="B",L741,M741)))))</f>
        <v/>
      </c>
      <c r="W741" s="22">
        <f>IF(R741="",O741,MAX(V741-R741-N(S741),0))</f>
        <v/>
      </c>
      <c r="X741" s="20" t="n"/>
      <c r="Y741" s="23">
        <f>IF(OR(X741="",W741=0),"",X741/W741-1)</f>
        <v/>
      </c>
      <c r="Z741" s="24" t="n"/>
      <c r="AA741" s="21" t="n"/>
      <c r="AB741" s="25" t="n"/>
      <c r="AC741" s="26">
        <f>IF(T741="","Chưa quyết định",IF(OR(Z741="",AA741=""),"⚠ Thiếu lý do/người duyệt",IF(AND(X741&lt;&gt;"",N(X741)+N(R741)+N(S741)&gt;M741*1.001,R741&lt;&gt;""),"⚠ Vượt mục tiêu P90",IF(AND(Y741&lt;&gt;"",ABS(N(Y741))&gt;0.3),"⚠ Lệch &gt; 30% so với nhu cầu",IF(Q741="Có","ℹ Kiểm tra ngoại suy KM","✓ Hợp lệ")))))</f>
        <v/>
      </c>
    </row>
    <row r="742">
      <c r="A742" s="16" t="n">
        <v>738</v>
      </c>
      <c r="B742" s="17" t="inlineStr">
        <is>
          <t>DEC-S02-MAGAZINES</t>
        </is>
      </c>
      <c r="C742" s="16" t="n">
        <v>2</v>
      </c>
      <c r="D742" s="17" t="inlineStr">
        <is>
          <t>MAGAZINES</t>
        </is>
      </c>
      <c r="E742" s="17" t="inlineStr">
        <is>
          <t>HIGH</t>
        </is>
      </c>
      <c r="F742" s="17" t="inlineStr">
        <is>
          <t>TRUNG BÌNH</t>
        </is>
      </c>
      <c r="G742" s="18" t="inlineStr">
        <is>
          <t>RISK_HIGH · PROMO_EXTRAPOLATION</t>
        </is>
      </c>
      <c r="H742" s="19" t="n">
        <v>29.03315758705139</v>
      </c>
      <c r="I742" s="19" t="n">
        <v>115.4706385135651</v>
      </c>
      <c r="J742" s="19" t="n">
        <v>242.2011005878448</v>
      </c>
      <c r="K742" s="19" t="n">
        <v>115.4706385135651</v>
      </c>
      <c r="L742" s="19" t="n">
        <v>194.6771773099899</v>
      </c>
      <c r="M742" s="19" t="n">
        <v>242.2011005878448</v>
      </c>
      <c r="N742" s="17" t="inlineStr">
        <is>
          <t>B</t>
        </is>
      </c>
      <c r="O742" s="19" t="n">
        <v>102.3006664991379</v>
      </c>
      <c r="P742" s="18" t="inlineStr">
        <is>
          <t>KHÔNG ĐỀ XUẤT TĂNG</t>
        </is>
      </c>
      <c r="Q742" s="17" t="inlineStr">
        <is>
          <t>Có</t>
        </is>
      </c>
      <c r="R742" s="20" t="n"/>
      <c r="S742" s="20" t="n"/>
      <c r="T742" s="21" t="n"/>
      <c r="U742" s="21" t="n"/>
      <c r="V742" s="22">
        <f>IF(U742="A",K742,IF(U742="B",L742,IF(U742="C",M742,IF(N742="A",K742,IF(N742="B",L742,M742)))))</f>
        <v/>
      </c>
      <c r="W742" s="22">
        <f>IF(R742="",O742,MAX(V742-R742-N(S742),0))</f>
        <v/>
      </c>
      <c r="X742" s="20" t="n"/>
      <c r="Y742" s="23">
        <f>IF(OR(X742="",W742=0),"",X742/W742-1)</f>
        <v/>
      </c>
      <c r="Z742" s="24" t="n"/>
      <c r="AA742" s="21" t="n"/>
      <c r="AB742" s="25" t="n"/>
      <c r="AC742" s="26">
        <f>IF(T742="","Chưa quyết định",IF(OR(Z742="",AA742=""),"⚠ Thiếu lý do/người duyệt",IF(AND(X742&lt;&gt;"",N(X742)+N(R742)+N(S742)&gt;M742*1.001,R742&lt;&gt;""),"⚠ Vượt mục tiêu P90",IF(AND(Y742&lt;&gt;"",ABS(N(Y742))&gt;0.3),"⚠ Lệch &gt; 30% so với nhu cầu",IF(Q742="Có","ℹ Kiểm tra ngoại suy KM","✓ Hợp lệ")))))</f>
        <v/>
      </c>
    </row>
    <row r="743">
      <c r="A743" s="16" t="n">
        <v>739</v>
      </c>
      <c r="B743" s="17" t="inlineStr">
        <is>
          <t>DEC-S17-CELEBRATION</t>
        </is>
      </c>
      <c r="C743" s="16" t="n">
        <v>17</v>
      </c>
      <c r="D743" s="17" t="inlineStr">
        <is>
          <t>CELEBRATION</t>
        </is>
      </c>
      <c r="E743" s="17" t="inlineStr">
        <is>
          <t>HIGH</t>
        </is>
      </c>
      <c r="F743" s="17" t="inlineStr">
        <is>
          <t>TRUNG BÌNH</t>
        </is>
      </c>
      <c r="G743" s="18" t="inlineStr">
        <is>
          <t>RISK_HIGH · PROMO_EXTRAPOLATION</t>
        </is>
      </c>
      <c r="H743" s="19" t="n">
        <v>23.29455161094665</v>
      </c>
      <c r="I743" s="19" t="n">
        <v>113.3275992870331</v>
      </c>
      <c r="J743" s="19" t="n">
        <v>242.4470133781433</v>
      </c>
      <c r="K743" s="19" t="n">
        <v>113.3275992870331</v>
      </c>
      <c r="L743" s="19" t="n">
        <v>194.027233093977</v>
      </c>
      <c r="M743" s="19" t="n">
        <v>242.4470133781433</v>
      </c>
      <c r="N743" s="17" t="inlineStr">
        <is>
          <t>B</t>
        </is>
      </c>
      <c r="O743" s="19" t="n">
        <v>103.3651536643505</v>
      </c>
      <c r="P743" s="18" t="inlineStr">
        <is>
          <t>KHÔNG ĐỀ XUẤT TĂNG</t>
        </is>
      </c>
      <c r="Q743" s="17" t="inlineStr">
        <is>
          <t>Có</t>
        </is>
      </c>
      <c r="R743" s="20" t="n"/>
      <c r="S743" s="20" t="n"/>
      <c r="T743" s="21" t="n"/>
      <c r="U743" s="21" t="n"/>
      <c r="V743" s="22">
        <f>IF(U743="A",K743,IF(U743="B",L743,IF(U743="C",M743,IF(N743="A",K743,IF(N743="B",L743,M743)))))</f>
        <v/>
      </c>
      <c r="W743" s="22">
        <f>IF(R743="",O743,MAX(V743-R743-N(S743),0))</f>
        <v/>
      </c>
      <c r="X743" s="20" t="n"/>
      <c r="Y743" s="23">
        <f>IF(OR(X743="",W743=0),"",X743/W743-1)</f>
        <v/>
      </c>
      <c r="Z743" s="24" t="n"/>
      <c r="AA743" s="21" t="n"/>
      <c r="AB743" s="25" t="n"/>
      <c r="AC743" s="26">
        <f>IF(T743="","Chưa quyết định",IF(OR(Z743="",AA743=""),"⚠ Thiếu lý do/người duyệt",IF(AND(X743&lt;&gt;"",N(X743)+N(R743)+N(S743)&gt;M743*1.001,R743&lt;&gt;""),"⚠ Vượt mục tiêu P90",IF(AND(Y743&lt;&gt;"",ABS(N(Y743))&gt;0.3),"⚠ Lệch &gt; 30% so với nhu cầu",IF(Q743="Có","ℹ Kiểm tra ngoại suy KM","✓ Hợp lệ")))))</f>
        <v/>
      </c>
    </row>
    <row r="744">
      <c r="A744" s="16" t="n">
        <v>740</v>
      </c>
      <c r="B744" s="17" t="inlineStr">
        <is>
          <t>DEC-S19-LADIESWEAR</t>
        </is>
      </c>
      <c r="C744" s="16" t="n">
        <v>19</v>
      </c>
      <c r="D744" s="17" t="inlineStr">
        <is>
          <t>LADIESWEAR</t>
        </is>
      </c>
      <c r="E744" s="17" t="inlineStr">
        <is>
          <t>HIGH</t>
        </is>
      </c>
      <c r="F744" s="17" t="inlineStr">
        <is>
          <t>TRUNG BÌNH</t>
        </is>
      </c>
      <c r="G744" s="18" t="inlineStr">
        <is>
          <t>RISK_HIGH · PROMO_EXTRAPOLATION</t>
        </is>
      </c>
      <c r="H744" s="19" t="n">
        <v>30.81611132621765</v>
      </c>
      <c r="I744" s="19" t="n">
        <v>113.2044198513031</v>
      </c>
      <c r="J744" s="19" t="n">
        <v>237.5459299087524</v>
      </c>
      <c r="K744" s="19" t="n">
        <v>113.2044198513031</v>
      </c>
      <c r="L744" s="19" t="n">
        <v>190.9178636372089</v>
      </c>
      <c r="M744" s="19" t="n">
        <v>237.5459299087524</v>
      </c>
      <c r="N744" s="17" t="inlineStr">
        <is>
          <t>B</t>
        </is>
      </c>
      <c r="O744" s="19" t="n">
        <v>100.3543277561665</v>
      </c>
      <c r="P744" s="18" t="inlineStr">
        <is>
          <t>KHÔNG ĐỀ XUẤT TĂNG</t>
        </is>
      </c>
      <c r="Q744" s="17" t="inlineStr">
        <is>
          <t>Có</t>
        </is>
      </c>
      <c r="R744" s="20" t="n"/>
      <c r="S744" s="20" t="n"/>
      <c r="T744" s="21" t="n"/>
      <c r="U744" s="21" t="n"/>
      <c r="V744" s="22">
        <f>IF(U744="A",K744,IF(U744="B",L744,IF(U744="C",M744,IF(N744="A",K744,IF(N744="B",L744,M744)))))</f>
        <v/>
      </c>
      <c r="W744" s="22">
        <f>IF(R744="",O744,MAX(V744-R744-N(S744),0))</f>
        <v/>
      </c>
      <c r="X744" s="20" t="n"/>
      <c r="Y744" s="23">
        <f>IF(OR(X744="",W744=0),"",X744/W744-1)</f>
        <v/>
      </c>
      <c r="Z744" s="24" t="n"/>
      <c r="AA744" s="21" t="n"/>
      <c r="AB744" s="25" t="n"/>
      <c r="AC744" s="26">
        <f>IF(T744="","Chưa quyết định",IF(OR(Z744="",AA744=""),"⚠ Thiếu lý do/người duyệt",IF(AND(X744&lt;&gt;"",N(X744)+N(R744)+N(S744)&gt;M744*1.001,R744&lt;&gt;""),"⚠ Vượt mục tiêu P90",IF(AND(Y744&lt;&gt;"",ABS(N(Y744))&gt;0.3),"⚠ Lệch &gt; 30% so với nhu cầu",IF(Q744="Có","ℹ Kiểm tra ngoại suy KM","✓ Hợp lệ")))))</f>
        <v/>
      </c>
    </row>
    <row r="745">
      <c r="A745" s="16" t="n">
        <v>741</v>
      </c>
      <c r="B745" s="17" t="inlineStr">
        <is>
          <t>DEC-S14-SCHOOL_AND_OFFICE_SUPPLIES</t>
        </is>
      </c>
      <c r="C745" s="16" t="n">
        <v>14</v>
      </c>
      <c r="D745" s="17" t="inlineStr">
        <is>
          <t>SCHOOL AND OFFICE SUPPLIES</t>
        </is>
      </c>
      <c r="E745" s="17" t="inlineStr">
        <is>
          <t>HIGH</t>
        </is>
      </c>
      <c r="F745" s="17" t="inlineStr">
        <is>
          <t>TRUNG BÌNH</t>
        </is>
      </c>
      <c r="G745" s="18" t="inlineStr">
        <is>
          <t>RISK_HIGH · PROMO_EXTRAPOLATION</t>
        </is>
      </c>
      <c r="H745" s="19" t="n">
        <v>28.2893762588501</v>
      </c>
      <c r="I745" s="19" t="n">
        <v>113.1371431350708</v>
      </c>
      <c r="J745" s="19" t="n">
        <v>267.8032673835754</v>
      </c>
      <c r="K745" s="19" t="n">
        <v>113.1371431350708</v>
      </c>
      <c r="L745" s="19" t="n">
        <v>209.8034707903862</v>
      </c>
      <c r="M745" s="19" t="n">
        <v>267.8032673835754</v>
      </c>
      <c r="N745" s="17" t="inlineStr">
        <is>
          <t>B</t>
        </is>
      </c>
      <c r="O745" s="19" t="n">
        <v>119.2937562823296</v>
      </c>
      <c r="P745" s="18" t="inlineStr">
        <is>
          <t>KHÔNG ĐỀ XUẤT TĂNG</t>
        </is>
      </c>
      <c r="Q745" s="17" t="inlineStr">
        <is>
          <t>Có</t>
        </is>
      </c>
      <c r="R745" s="20" t="n"/>
      <c r="S745" s="20" t="n"/>
      <c r="T745" s="21" t="n"/>
      <c r="U745" s="21" t="n"/>
      <c r="V745" s="22">
        <f>IF(U745="A",K745,IF(U745="B",L745,IF(U745="C",M745,IF(N745="A",K745,IF(N745="B",L745,M745)))))</f>
        <v/>
      </c>
      <c r="W745" s="22">
        <f>IF(R745="",O745,MAX(V745-R745-N(S745),0))</f>
        <v/>
      </c>
      <c r="X745" s="20" t="n"/>
      <c r="Y745" s="23">
        <f>IF(OR(X745="",W745=0),"",X745/W745-1)</f>
        <v/>
      </c>
      <c r="Z745" s="24" t="n"/>
      <c r="AA745" s="21" t="n"/>
      <c r="AB745" s="25" t="n"/>
      <c r="AC745" s="26">
        <f>IF(T745="","Chưa quyết định",IF(OR(Z745="",AA745=""),"⚠ Thiếu lý do/người duyệt",IF(AND(X745&lt;&gt;"",N(X745)+N(R745)+N(S745)&gt;M745*1.001,R745&lt;&gt;""),"⚠ Vượt mục tiêu P90",IF(AND(Y745&lt;&gt;"",ABS(N(Y745))&gt;0.3),"⚠ Lệch &gt; 30% so với nhu cầu",IF(Q745="Có","ℹ Kiểm tra ngoại suy KM","✓ Hợp lệ")))))</f>
        <v/>
      </c>
    </row>
    <row r="746">
      <c r="A746" s="16" t="n">
        <v>742</v>
      </c>
      <c r="B746" s="17" t="inlineStr">
        <is>
          <t>DEC-S34-PET_SUPPLIES</t>
        </is>
      </c>
      <c r="C746" s="16" t="n">
        <v>34</v>
      </c>
      <c r="D746" s="17" t="inlineStr">
        <is>
          <t>PET SUPPLIES</t>
        </is>
      </c>
      <c r="E746" s="17" t="inlineStr">
        <is>
          <t>HIGH</t>
        </is>
      </c>
      <c r="F746" s="17" t="inlineStr">
        <is>
          <t>TRUNG BÌNH</t>
        </is>
      </c>
      <c r="G746" s="18" t="inlineStr">
        <is>
          <t>RISK_HIGH · PROMO_EXTRAPOLATION</t>
        </is>
      </c>
      <c r="H746" s="19" t="n">
        <v>25.37915182113647</v>
      </c>
      <c r="I746" s="19" t="n">
        <v>111.8166327476502</v>
      </c>
      <c r="J746" s="19" t="n">
        <v>238.54709482193</v>
      </c>
      <c r="K746" s="19" t="n">
        <v>111.8166327476502</v>
      </c>
      <c r="L746" s="19" t="n">
        <v>191.023171544075</v>
      </c>
      <c r="M746" s="19" t="n">
        <v>238.54709482193</v>
      </c>
      <c r="N746" s="17" t="inlineStr">
        <is>
          <t>B</t>
        </is>
      </c>
      <c r="O746" s="19" t="n">
        <v>101.5698653459549</v>
      </c>
      <c r="P746" s="18" t="inlineStr">
        <is>
          <t>KHÔNG ĐỀ XUẤT TĂNG</t>
        </is>
      </c>
      <c r="Q746" s="17" t="inlineStr">
        <is>
          <t>Có</t>
        </is>
      </c>
      <c r="R746" s="20" t="n"/>
      <c r="S746" s="20" t="n"/>
      <c r="T746" s="21" t="n"/>
      <c r="U746" s="21" t="n"/>
      <c r="V746" s="22">
        <f>IF(U746="A",K746,IF(U746="B",L746,IF(U746="C",M746,IF(N746="A",K746,IF(N746="B",L746,M746)))))</f>
        <v/>
      </c>
      <c r="W746" s="22">
        <f>IF(R746="",O746,MAX(V746-R746-N(S746),0))</f>
        <v/>
      </c>
      <c r="X746" s="20" t="n"/>
      <c r="Y746" s="23">
        <f>IF(OR(X746="",W746=0),"",X746/W746-1)</f>
        <v/>
      </c>
      <c r="Z746" s="24" t="n"/>
      <c r="AA746" s="21" t="n"/>
      <c r="AB746" s="25" t="n"/>
      <c r="AC746" s="26">
        <f>IF(T746="","Chưa quyết định",IF(OR(Z746="",AA746=""),"⚠ Thiếu lý do/người duyệt",IF(AND(X746&lt;&gt;"",N(X746)+N(R746)+N(S746)&gt;M746*1.001,R746&lt;&gt;""),"⚠ Vượt mục tiêu P90",IF(AND(Y746&lt;&gt;"",ABS(N(Y746))&gt;0.3),"⚠ Lệch &gt; 30% so với nhu cầu",IF(Q746="Có","ℹ Kiểm tra ngoại suy KM","✓ Hợp lệ")))))</f>
        <v/>
      </c>
    </row>
    <row r="747">
      <c r="A747" s="16" t="n">
        <v>743</v>
      </c>
      <c r="B747" s="17" t="inlineStr">
        <is>
          <t>DEC-S21-SEAFOOD</t>
        </is>
      </c>
      <c r="C747" s="16" t="n">
        <v>21</v>
      </c>
      <c r="D747" s="17" t="inlineStr">
        <is>
          <t>SEAFOOD</t>
        </is>
      </c>
      <c r="E747" s="17" t="inlineStr">
        <is>
          <t>HIGH</t>
        </is>
      </c>
      <c r="F747" s="17" t="inlineStr">
        <is>
          <t>TRUNG BÌNH</t>
        </is>
      </c>
      <c r="G747" s="18" t="inlineStr">
        <is>
          <t>RISK_HIGH · PROMO_EXTRAPOLATION</t>
        </is>
      </c>
      <c r="H747" s="19" t="n">
        <v>24.10370635986328</v>
      </c>
      <c r="I747" s="19" t="n">
        <v>111.3598940372467</v>
      </c>
      <c r="J747" s="19" t="n">
        <v>247.5310379028321</v>
      </c>
      <c r="K747" s="19" t="n">
        <v>111.3598940372467</v>
      </c>
      <c r="L747" s="19" t="n">
        <v>196.4668589532375</v>
      </c>
      <c r="M747" s="19" t="n">
        <v>247.5310379028321</v>
      </c>
      <c r="N747" s="17" t="inlineStr">
        <is>
          <t>B</t>
        </is>
      </c>
      <c r="O747" s="19" t="n">
        <v>107.3789437234402</v>
      </c>
      <c r="P747" s="18" t="inlineStr">
        <is>
          <t>CÂN NHẮC THỬ NGHIỆM</t>
        </is>
      </c>
      <c r="Q747" s="17" t="inlineStr">
        <is>
          <t>Có</t>
        </is>
      </c>
      <c r="R747" s="20" t="n"/>
      <c r="S747" s="20" t="n"/>
      <c r="T747" s="21" t="n"/>
      <c r="U747" s="21" t="n"/>
      <c r="V747" s="22">
        <f>IF(U747="A",K747,IF(U747="B",L747,IF(U747="C",M747,IF(N747="A",K747,IF(N747="B",L747,M747)))))</f>
        <v/>
      </c>
      <c r="W747" s="22">
        <f>IF(R747="",O747,MAX(V747-R747-N(S747),0))</f>
        <v/>
      </c>
      <c r="X747" s="20" t="n"/>
      <c r="Y747" s="23">
        <f>IF(OR(X747="",W747=0),"",X747/W747-1)</f>
        <v/>
      </c>
      <c r="Z747" s="24" t="n"/>
      <c r="AA747" s="21" t="n"/>
      <c r="AB747" s="25" t="n"/>
      <c r="AC747" s="26">
        <f>IF(T747="","Chưa quyết định",IF(OR(Z747="",AA747=""),"⚠ Thiếu lý do/người duyệt",IF(AND(X747&lt;&gt;"",N(X747)+N(R747)+N(S747)&gt;M747*1.001,R747&lt;&gt;""),"⚠ Vượt mục tiêu P90",IF(AND(Y747&lt;&gt;"",ABS(N(Y747))&gt;0.3),"⚠ Lệch &gt; 30% so với nhu cầu",IF(Q747="Có","ℹ Kiểm tra ngoại suy KM","✓ Hợp lệ")))))</f>
        <v/>
      </c>
    </row>
    <row r="748">
      <c r="A748" s="16" t="n">
        <v>744</v>
      </c>
      <c r="B748" s="17" t="inlineStr">
        <is>
          <t>DEC-S30-HOME_AND_KITCHEN_II</t>
        </is>
      </c>
      <c r="C748" s="16" t="n">
        <v>30</v>
      </c>
      <c r="D748" s="17" t="inlineStr">
        <is>
          <t>HOME AND KITCHEN II</t>
        </is>
      </c>
      <c r="E748" s="17" t="inlineStr">
        <is>
          <t>HIGH</t>
        </is>
      </c>
      <c r="F748" s="17" t="inlineStr">
        <is>
          <t>TRUNG BÌNH</t>
        </is>
      </c>
      <c r="G748" s="18" t="inlineStr">
        <is>
          <t>RISK_HIGH · PROMO_EXTRAPOLATION</t>
        </is>
      </c>
      <c r="H748" s="19" t="n">
        <v>18.96865105628968</v>
      </c>
      <c r="I748" s="19" t="n">
        <v>111.2097103595734</v>
      </c>
      <c r="J748" s="19" t="n">
        <v>246.1140081882477</v>
      </c>
      <c r="K748" s="19" t="n">
        <v>111.2097103595734</v>
      </c>
      <c r="L748" s="19" t="n">
        <v>195.5248965024948</v>
      </c>
      <c r="M748" s="19" t="n">
        <v>246.1140081882477</v>
      </c>
      <c r="N748" s="17" t="inlineStr">
        <is>
          <t>B</t>
        </is>
      </c>
      <c r="O748" s="19" t="n">
        <v>106.5571282148361</v>
      </c>
      <c r="P748" s="18" t="inlineStr">
        <is>
          <t>KHÔNG ĐỀ XUẤT TĂNG</t>
        </is>
      </c>
      <c r="Q748" s="17" t="inlineStr">
        <is>
          <t>Có</t>
        </is>
      </c>
      <c r="R748" s="20" t="n"/>
      <c r="S748" s="20" t="n"/>
      <c r="T748" s="21" t="n"/>
      <c r="U748" s="21" t="n"/>
      <c r="V748" s="22">
        <f>IF(U748="A",K748,IF(U748="B",L748,IF(U748="C",M748,IF(N748="A",K748,IF(N748="B",L748,M748)))))</f>
        <v/>
      </c>
      <c r="W748" s="22">
        <f>IF(R748="",O748,MAX(V748-R748-N(S748),0))</f>
        <v/>
      </c>
      <c r="X748" s="20" t="n"/>
      <c r="Y748" s="23">
        <f>IF(OR(X748="",W748=0),"",X748/W748-1)</f>
        <v/>
      </c>
      <c r="Z748" s="24" t="n"/>
      <c r="AA748" s="21" t="n"/>
      <c r="AB748" s="25" t="n"/>
      <c r="AC748" s="26">
        <f>IF(T748="","Chưa quyết định",IF(OR(Z748="",AA748=""),"⚠ Thiếu lý do/người duyệt",IF(AND(X748&lt;&gt;"",N(X748)+N(R748)+N(S748)&gt;M748*1.001,R748&lt;&gt;""),"⚠ Vượt mục tiêu P90",IF(AND(Y748&lt;&gt;"",ABS(N(Y748))&gt;0.3),"⚠ Lệch &gt; 30% so với nhu cầu",IF(Q748="Có","ℹ Kiểm tra ngoại suy KM","✓ Hợp lệ")))))</f>
        <v/>
      </c>
    </row>
    <row r="749">
      <c r="A749" s="16" t="n">
        <v>745</v>
      </c>
      <c r="B749" s="17" t="inlineStr">
        <is>
          <t>DEC-S07-PET_SUPPLIES</t>
        </is>
      </c>
      <c r="C749" s="16" t="n">
        <v>7</v>
      </c>
      <c r="D749" s="17" t="inlineStr">
        <is>
          <t>PET SUPPLIES</t>
        </is>
      </c>
      <c r="E749" s="17" t="inlineStr">
        <is>
          <t>HIGH</t>
        </is>
      </c>
      <c r="F749" s="17" t="inlineStr">
        <is>
          <t>TRUNG BÌNH</t>
        </is>
      </c>
      <c r="G749" s="18" t="inlineStr">
        <is>
          <t>RISK_HIGH · PROMO_EXTRAPOLATION</t>
        </is>
      </c>
      <c r="H749" s="19" t="n">
        <v>24.38039970397949</v>
      </c>
      <c r="I749" s="19" t="n">
        <v>110.8178806304932</v>
      </c>
      <c r="J749" s="19" t="n">
        <v>237.5483427047729</v>
      </c>
      <c r="K749" s="19" t="n">
        <v>110.8178806304932</v>
      </c>
      <c r="L749" s="19" t="n">
        <v>190.024419426918</v>
      </c>
      <c r="M749" s="19" t="n">
        <v>237.5483427047729</v>
      </c>
      <c r="N749" s="17" t="inlineStr">
        <is>
          <t>B</t>
        </is>
      </c>
      <c r="O749" s="19" t="n">
        <v>101.3701149225235</v>
      </c>
      <c r="P749" s="18" t="inlineStr">
        <is>
          <t>KHÔNG ĐỀ XUẤT TĂNG</t>
        </is>
      </c>
      <c r="Q749" s="17" t="inlineStr">
        <is>
          <t>Có</t>
        </is>
      </c>
      <c r="R749" s="20" t="n"/>
      <c r="S749" s="20" t="n"/>
      <c r="T749" s="21" t="n"/>
      <c r="U749" s="21" t="n"/>
      <c r="V749" s="22">
        <f>IF(U749="A",K749,IF(U749="B",L749,IF(U749="C",M749,IF(N749="A",K749,IF(N749="B",L749,M749)))))</f>
        <v/>
      </c>
      <c r="W749" s="22">
        <f>IF(R749="",O749,MAX(V749-R749-N(S749),0))</f>
        <v/>
      </c>
      <c r="X749" s="20" t="n"/>
      <c r="Y749" s="23">
        <f>IF(OR(X749="",W749=0),"",X749/W749-1)</f>
        <v/>
      </c>
      <c r="Z749" s="24" t="n"/>
      <c r="AA749" s="21" t="n"/>
      <c r="AB749" s="25" t="n"/>
      <c r="AC749" s="26">
        <f>IF(T749="","Chưa quyết định",IF(OR(Z749="",AA749=""),"⚠ Thiếu lý do/người duyệt",IF(AND(X749&lt;&gt;"",N(X749)+N(R749)+N(S749)&gt;M749*1.001,R749&lt;&gt;""),"⚠ Vượt mục tiêu P90",IF(AND(Y749&lt;&gt;"",ABS(N(Y749))&gt;0.3),"⚠ Lệch &gt; 30% so với nhu cầu",IF(Q749="Có","ℹ Kiểm tra ngoại suy KM","✓ Hợp lệ")))))</f>
        <v/>
      </c>
    </row>
    <row r="750">
      <c r="A750" s="16" t="n">
        <v>746</v>
      </c>
      <c r="B750" s="17" t="inlineStr">
        <is>
          <t>DEC-S01-AUTOMOTIVE</t>
        </is>
      </c>
      <c r="C750" s="16" t="n">
        <v>1</v>
      </c>
      <c r="D750" s="17" t="inlineStr">
        <is>
          <t>AUTOMOTIVE</t>
        </is>
      </c>
      <c r="E750" s="17" t="inlineStr">
        <is>
          <t>HIGH</t>
        </is>
      </c>
      <c r="F750" s="17" t="inlineStr">
        <is>
          <t>TRUNG BÌNH</t>
        </is>
      </c>
      <c r="G750" s="18" t="inlineStr">
        <is>
          <t>RISK_HIGH · PROMO_EXTRAPOLATION</t>
        </is>
      </c>
      <c r="H750" s="19" t="n">
        <v>25.818110704422</v>
      </c>
      <c r="I750" s="19" t="n">
        <v>108.6191005706787</v>
      </c>
      <c r="J750" s="19" t="n">
        <v>232.9606106281281</v>
      </c>
      <c r="K750" s="19" t="n">
        <v>108.6191005706787</v>
      </c>
      <c r="L750" s="19" t="n">
        <v>186.3325443565845</v>
      </c>
      <c r="M750" s="19" t="n">
        <v>232.9606106281281</v>
      </c>
      <c r="N750" s="17" t="inlineStr">
        <is>
          <t>B</t>
        </is>
      </c>
      <c r="O750" s="19" t="n">
        <v>99.43726390004156</v>
      </c>
      <c r="P750" s="18" t="inlineStr">
        <is>
          <t>KHÔNG ĐỀ XUẤT TĂNG</t>
        </is>
      </c>
      <c r="Q750" s="17" t="inlineStr">
        <is>
          <t>Có</t>
        </is>
      </c>
      <c r="R750" s="20" t="n"/>
      <c r="S750" s="20" t="n"/>
      <c r="T750" s="21" t="n"/>
      <c r="U750" s="21" t="n"/>
      <c r="V750" s="22">
        <f>IF(U750="A",K750,IF(U750="B",L750,IF(U750="C",M750,IF(N750="A",K750,IF(N750="B",L750,M750)))))</f>
        <v/>
      </c>
      <c r="W750" s="22">
        <f>IF(R750="",O750,MAX(V750-R750-N(S750),0))</f>
        <v/>
      </c>
      <c r="X750" s="20" t="n"/>
      <c r="Y750" s="23">
        <f>IF(OR(X750="",W750=0),"",X750/W750-1)</f>
        <v/>
      </c>
      <c r="Z750" s="24" t="n"/>
      <c r="AA750" s="21" t="n"/>
      <c r="AB750" s="25" t="n"/>
      <c r="AC750" s="26">
        <f>IF(T750="","Chưa quyết định",IF(OR(Z750="",AA750=""),"⚠ Thiếu lý do/người duyệt",IF(AND(X750&lt;&gt;"",N(X750)+N(R750)+N(S750)&gt;M750*1.001,R750&lt;&gt;""),"⚠ Vượt mục tiêu P90",IF(AND(Y750&lt;&gt;"",ABS(N(Y750))&gt;0.3),"⚠ Lệch &gt; 30% so với nhu cầu",IF(Q750="Có","ℹ Kiểm tra ngoại suy KM","✓ Hợp lệ")))))</f>
        <v/>
      </c>
    </row>
    <row r="751">
      <c r="A751" s="16" t="n">
        <v>747</v>
      </c>
      <c r="B751" s="17" t="inlineStr">
        <is>
          <t>DEC-S48-MAGAZINES</t>
        </is>
      </c>
      <c r="C751" s="16" t="n">
        <v>48</v>
      </c>
      <c r="D751" s="17" t="inlineStr">
        <is>
          <t>MAGAZINES</t>
        </is>
      </c>
      <c r="E751" s="17" t="inlineStr">
        <is>
          <t>HIGH</t>
        </is>
      </c>
      <c r="F751" s="17" t="inlineStr">
        <is>
          <t>TRUNG BÌNH</t>
        </is>
      </c>
      <c r="G751" s="18" t="inlineStr">
        <is>
          <t>RISK_HIGH · PROMO_EXTRAPOLATION</t>
        </is>
      </c>
      <c r="H751" s="19" t="n">
        <v>27.96550583839417</v>
      </c>
      <c r="I751" s="19" t="n">
        <v>107.2118532657623</v>
      </c>
      <c r="J751" s="19" t="n">
        <v>229.1644113063813</v>
      </c>
      <c r="K751" s="19" t="n">
        <v>107.2118532657623</v>
      </c>
      <c r="L751" s="19" t="n">
        <v>183.4322020411491</v>
      </c>
      <c r="M751" s="19" t="n">
        <v>229.1644113063813</v>
      </c>
      <c r="N751" s="17" t="inlineStr">
        <is>
          <t>B</t>
        </is>
      </c>
      <c r="O751" s="19" t="n">
        <v>97.66271942853928</v>
      </c>
      <c r="P751" s="18" t="inlineStr">
        <is>
          <t>KHÔNG ĐỀ XUẤT TĂNG</t>
        </is>
      </c>
      <c r="Q751" s="17" t="inlineStr">
        <is>
          <t>Có</t>
        </is>
      </c>
      <c r="R751" s="20" t="n"/>
      <c r="S751" s="20" t="n"/>
      <c r="T751" s="21" t="n"/>
      <c r="U751" s="21" t="n"/>
      <c r="V751" s="22">
        <f>IF(U751="A",K751,IF(U751="B",L751,IF(U751="C",M751,IF(N751="A",K751,IF(N751="B",L751,M751)))))</f>
        <v/>
      </c>
      <c r="W751" s="22">
        <f>IF(R751="",O751,MAX(V751-R751-N(S751),0))</f>
        <v/>
      </c>
      <c r="X751" s="20" t="n"/>
      <c r="Y751" s="23">
        <f>IF(OR(X751="",W751=0),"",X751/W751-1)</f>
        <v/>
      </c>
      <c r="Z751" s="24" t="n"/>
      <c r="AA751" s="21" t="n"/>
      <c r="AB751" s="25" t="n"/>
      <c r="AC751" s="26">
        <f>IF(T751="","Chưa quyết định",IF(OR(Z751="",AA751=""),"⚠ Thiếu lý do/người duyệt",IF(AND(X751&lt;&gt;"",N(X751)+N(R751)+N(S751)&gt;M751*1.001,R751&lt;&gt;""),"⚠ Vượt mục tiêu P90",IF(AND(Y751&lt;&gt;"",ABS(N(Y751))&gt;0.3),"⚠ Lệch &gt; 30% so với nhu cầu",IF(Q751="Có","ℹ Kiểm tra ngoại suy KM","✓ Hợp lệ")))))</f>
        <v/>
      </c>
    </row>
    <row r="752">
      <c r="A752" s="16" t="n">
        <v>748</v>
      </c>
      <c r="B752" s="17" t="inlineStr">
        <is>
          <t>DEC-S01-LINGERIE</t>
        </is>
      </c>
      <c r="C752" s="16" t="n">
        <v>1</v>
      </c>
      <c r="D752" s="17" t="inlineStr">
        <is>
          <t>LINGERIE</t>
        </is>
      </c>
      <c r="E752" s="17" t="inlineStr">
        <is>
          <t>HIGH</t>
        </is>
      </c>
      <c r="F752" s="17" t="inlineStr">
        <is>
          <t>TRUNG BÌNH</t>
        </is>
      </c>
      <c r="G752" s="18" t="inlineStr">
        <is>
          <t>RISK_HIGH · PROMO_EXTRAPOLATION</t>
        </is>
      </c>
      <c r="H752" s="19" t="n">
        <v>24.14743542671204</v>
      </c>
      <c r="I752" s="19" t="n">
        <v>106.05792760849</v>
      </c>
      <c r="J752" s="19" t="n">
        <v>230.3994376659393</v>
      </c>
      <c r="K752" s="19" t="n">
        <v>106.05792760849</v>
      </c>
      <c r="L752" s="19" t="n">
        <v>183.7713713943958</v>
      </c>
      <c r="M752" s="19" t="n">
        <v>230.3994376659393</v>
      </c>
      <c r="N752" s="17" t="inlineStr">
        <is>
          <t>B</t>
        </is>
      </c>
      <c r="O752" s="19" t="n">
        <v>98.92502930760384</v>
      </c>
      <c r="P752" s="18" t="inlineStr">
        <is>
          <t>KHÔNG ĐỀ XUẤT TĂNG</t>
        </is>
      </c>
      <c r="Q752" s="17" t="inlineStr">
        <is>
          <t>Có</t>
        </is>
      </c>
      <c r="R752" s="20" t="n"/>
      <c r="S752" s="20" t="n"/>
      <c r="T752" s="21" t="n"/>
      <c r="U752" s="21" t="n"/>
      <c r="V752" s="22">
        <f>IF(U752="A",K752,IF(U752="B",L752,IF(U752="C",M752,IF(N752="A",K752,IF(N752="B",L752,M752)))))</f>
        <v/>
      </c>
      <c r="W752" s="22">
        <f>IF(R752="",O752,MAX(V752-R752-N(S752),0))</f>
        <v/>
      </c>
      <c r="X752" s="20" t="n"/>
      <c r="Y752" s="23">
        <f>IF(OR(X752="",W752=0),"",X752/W752-1)</f>
        <v/>
      </c>
      <c r="Z752" s="24" t="n"/>
      <c r="AA752" s="21" t="n"/>
      <c r="AB752" s="25" t="n"/>
      <c r="AC752" s="26">
        <f>IF(T752="","Chưa quyết định",IF(OR(Z752="",AA752=""),"⚠ Thiếu lý do/người duyệt",IF(AND(X752&lt;&gt;"",N(X752)+N(R752)+N(S752)&gt;M752*1.001,R752&lt;&gt;""),"⚠ Vượt mục tiêu P90",IF(AND(Y752&lt;&gt;"",ABS(N(Y752))&gt;0.3),"⚠ Lệch &gt; 30% so với nhu cầu",IF(Q752="Có","ℹ Kiểm tra ngoại suy KM","✓ Hợp lệ")))))</f>
        <v/>
      </c>
    </row>
    <row r="753">
      <c r="A753" s="16" t="n">
        <v>749</v>
      </c>
      <c r="B753" s="17" t="inlineStr">
        <is>
          <t>DEC-S28-LINGERIE</t>
        </is>
      </c>
      <c r="C753" s="16" t="n">
        <v>28</v>
      </c>
      <c r="D753" s="17" t="inlineStr">
        <is>
          <t>LINGERIE</t>
        </is>
      </c>
      <c r="E753" s="17" t="inlineStr">
        <is>
          <t>HIGH</t>
        </is>
      </c>
      <c r="F753" s="17" t="inlineStr">
        <is>
          <t>TRUNG BÌNH</t>
        </is>
      </c>
      <c r="G753" s="18" t="inlineStr">
        <is>
          <t>RISK_HIGH · PROMO_EXTRAPOLATION</t>
        </is>
      </c>
      <c r="H753" s="19" t="n">
        <v>19.90440702438354</v>
      </c>
      <c r="I753" s="19" t="n">
        <v>105.9545924663544</v>
      </c>
      <c r="J753" s="19" t="n">
        <v>232.6850545406342</v>
      </c>
      <c r="K753" s="19" t="n">
        <v>105.9545924663544</v>
      </c>
      <c r="L753" s="19" t="n">
        <v>185.1611312627792</v>
      </c>
      <c r="M753" s="19" t="n">
        <v>232.6850545406342</v>
      </c>
      <c r="N753" s="17" t="inlineStr">
        <is>
          <t>B</t>
        </is>
      </c>
      <c r="O753" s="19" t="n">
        <v>100.3974572896957</v>
      </c>
      <c r="P753" s="18" t="inlineStr">
        <is>
          <t>KHÔNG ĐỀ XUẤT TĂNG</t>
        </is>
      </c>
      <c r="Q753" s="17" t="inlineStr">
        <is>
          <t>Có</t>
        </is>
      </c>
      <c r="R753" s="20" t="n"/>
      <c r="S753" s="20" t="n"/>
      <c r="T753" s="21" t="n"/>
      <c r="U753" s="21" t="n"/>
      <c r="V753" s="22">
        <f>IF(U753="A",K753,IF(U753="B",L753,IF(U753="C",M753,IF(N753="A",K753,IF(N753="B",L753,M753)))))</f>
        <v/>
      </c>
      <c r="W753" s="22">
        <f>IF(R753="",O753,MAX(V753-R753-N(S753),0))</f>
        <v/>
      </c>
      <c r="X753" s="20" t="n"/>
      <c r="Y753" s="23">
        <f>IF(OR(X753="",W753=0),"",X753/W753-1)</f>
        <v/>
      </c>
      <c r="Z753" s="24" t="n"/>
      <c r="AA753" s="21" t="n"/>
      <c r="AB753" s="25" t="n"/>
      <c r="AC753" s="26">
        <f>IF(T753="","Chưa quyết định",IF(OR(Z753="",AA753=""),"⚠ Thiếu lý do/người duyệt",IF(AND(X753&lt;&gt;"",N(X753)+N(R753)+N(S753)&gt;M753*1.001,R753&lt;&gt;""),"⚠ Vượt mục tiêu P90",IF(AND(Y753&lt;&gt;"",ABS(N(Y753))&gt;0.3),"⚠ Lệch &gt; 30% so với nhu cầu",IF(Q753="Có","ℹ Kiểm tra ngoại suy KM","✓ Hợp lệ")))))</f>
        <v/>
      </c>
    </row>
    <row r="754">
      <c r="A754" s="16" t="n">
        <v>750</v>
      </c>
      <c r="B754" s="17" t="inlineStr">
        <is>
          <t>DEC-S33-AUTOMOTIVE</t>
        </is>
      </c>
      <c r="C754" s="16" t="n">
        <v>33</v>
      </c>
      <c r="D754" s="17" t="inlineStr">
        <is>
          <t>AUTOMOTIVE</t>
        </is>
      </c>
      <c r="E754" s="17" t="inlineStr">
        <is>
          <t>HIGH</t>
        </is>
      </c>
      <c r="F754" s="17" t="inlineStr">
        <is>
          <t>TRUNG BÌNH</t>
        </is>
      </c>
      <c r="G754" s="18" t="inlineStr">
        <is>
          <t>RISK_HIGH · PROMO_EXTRAPOLATION</t>
        </is>
      </c>
      <c r="H754" s="19" t="n">
        <v>26.12539863586425</v>
      </c>
      <c r="I754" s="19" t="n">
        <v>104.6061060428619</v>
      </c>
      <c r="J754" s="19" t="n">
        <v>226.5586640834808</v>
      </c>
      <c r="K754" s="19" t="n">
        <v>104.6061060428619</v>
      </c>
      <c r="L754" s="19" t="n">
        <v>180.8264548182487</v>
      </c>
      <c r="M754" s="19" t="n">
        <v>226.5586640834808</v>
      </c>
      <c r="N754" s="17" t="inlineStr">
        <is>
          <t>B</t>
        </is>
      </c>
      <c r="O754" s="19" t="n">
        <v>97.1415699839592</v>
      </c>
      <c r="P754" s="18" t="inlineStr">
        <is>
          <t>KHÔNG ĐỀ XUẤT TĂNG</t>
        </is>
      </c>
      <c r="Q754" s="17" t="inlineStr">
        <is>
          <t>Có</t>
        </is>
      </c>
      <c r="R754" s="20" t="n"/>
      <c r="S754" s="20" t="n"/>
      <c r="T754" s="21" t="n"/>
      <c r="U754" s="21" t="n"/>
      <c r="V754" s="22">
        <f>IF(U754="A",K754,IF(U754="B",L754,IF(U754="C",M754,IF(N754="A",K754,IF(N754="B",L754,M754)))))</f>
        <v/>
      </c>
      <c r="W754" s="22">
        <f>IF(R754="",O754,MAX(V754-R754-N(S754),0))</f>
        <v/>
      </c>
      <c r="X754" s="20" t="n"/>
      <c r="Y754" s="23">
        <f>IF(OR(X754="",W754=0),"",X754/W754-1)</f>
        <v/>
      </c>
      <c r="Z754" s="24" t="n"/>
      <c r="AA754" s="21" t="n"/>
      <c r="AB754" s="25" t="n"/>
      <c r="AC754" s="26">
        <f>IF(T754="","Chưa quyết định",IF(OR(Z754="",AA754=""),"⚠ Thiếu lý do/người duyệt",IF(AND(X754&lt;&gt;"",N(X754)+N(R754)+N(S754)&gt;M754*1.001,R754&lt;&gt;""),"⚠ Vượt mục tiêu P90",IF(AND(Y754&lt;&gt;"",ABS(N(Y754))&gt;0.3),"⚠ Lệch &gt; 30% so với nhu cầu",IF(Q754="Có","ℹ Kiểm tra ngoại suy KM","✓ Hợp lệ")))))</f>
        <v/>
      </c>
    </row>
    <row r="755">
      <c r="A755" s="16" t="n">
        <v>751</v>
      </c>
      <c r="B755" s="17" t="inlineStr">
        <is>
          <t>DEC-S21-CELEBRATION</t>
        </is>
      </c>
      <c r="C755" s="16" t="n">
        <v>21</v>
      </c>
      <c r="D755" s="17" t="inlineStr">
        <is>
          <t>CELEBRATION</t>
        </is>
      </c>
      <c r="E755" s="17" t="inlineStr">
        <is>
          <t>HIGH</t>
        </is>
      </c>
      <c r="F755" s="17" t="inlineStr">
        <is>
          <t>TRUNG BÌNH</t>
        </is>
      </c>
      <c r="G755" s="18" t="inlineStr">
        <is>
          <t>RISK_HIGH · PROMO_EXTRAPOLATION</t>
        </is>
      </c>
      <c r="H755" s="19" t="n">
        <v>25.11349678039551</v>
      </c>
      <c r="I755" s="19" t="n">
        <v>104.3598442077637</v>
      </c>
      <c r="J755" s="19" t="n">
        <v>226.3124022483826</v>
      </c>
      <c r="K755" s="19" t="n">
        <v>104.3598442077637</v>
      </c>
      <c r="L755" s="19" t="n">
        <v>180.5801929831505</v>
      </c>
      <c r="M755" s="19" t="n">
        <v>226.3124022483826</v>
      </c>
      <c r="N755" s="17" t="inlineStr">
        <is>
          <t>B</t>
        </is>
      </c>
      <c r="O755" s="19" t="n">
        <v>97.09231761693954</v>
      </c>
      <c r="P755" s="18" t="inlineStr">
        <is>
          <t>KHÔNG ĐỀ XUẤT TĂNG</t>
        </is>
      </c>
      <c r="Q755" s="17" t="inlineStr">
        <is>
          <t>Có</t>
        </is>
      </c>
      <c r="R755" s="20" t="n"/>
      <c r="S755" s="20" t="n"/>
      <c r="T755" s="21" t="n"/>
      <c r="U755" s="21" t="n"/>
      <c r="V755" s="22">
        <f>IF(U755="A",K755,IF(U755="B",L755,IF(U755="C",M755,IF(N755="A",K755,IF(N755="B",L755,M755)))))</f>
        <v/>
      </c>
      <c r="W755" s="22">
        <f>IF(R755="",O755,MAX(V755-R755-N(S755),0))</f>
        <v/>
      </c>
      <c r="X755" s="20" t="n"/>
      <c r="Y755" s="23">
        <f>IF(OR(X755="",W755=0),"",X755/W755-1)</f>
        <v/>
      </c>
      <c r="Z755" s="24" t="n"/>
      <c r="AA755" s="21" t="n"/>
      <c r="AB755" s="25" t="n"/>
      <c r="AC755" s="26">
        <f>IF(T755="","Chưa quyết định",IF(OR(Z755="",AA755=""),"⚠ Thiếu lý do/người duyệt",IF(AND(X755&lt;&gt;"",N(X755)+N(R755)+N(S755)&gt;M755*1.001,R755&lt;&gt;""),"⚠ Vượt mục tiêu P90",IF(AND(Y755&lt;&gt;"",ABS(N(Y755))&gt;0.3),"⚠ Lệch &gt; 30% so với nhu cầu",IF(Q755="Có","ℹ Kiểm tra ngoại suy KM","✓ Hợp lệ")))))</f>
        <v/>
      </c>
    </row>
    <row r="756">
      <c r="A756" s="16" t="n">
        <v>752</v>
      </c>
      <c r="B756" s="17" t="inlineStr">
        <is>
          <t>DEC-S28-BEAUTY</t>
        </is>
      </c>
      <c r="C756" s="16" t="n">
        <v>28</v>
      </c>
      <c r="D756" s="17" t="inlineStr">
        <is>
          <t>BEAUTY</t>
        </is>
      </c>
      <c r="E756" s="17" t="inlineStr">
        <is>
          <t>HIGH</t>
        </is>
      </c>
      <c r="F756" s="17" t="inlineStr">
        <is>
          <t>TRUNG BÌNH</t>
        </is>
      </c>
      <c r="G756" s="18" t="inlineStr">
        <is>
          <t>RISK_HIGH · PROMO_EXTRAPOLATION</t>
        </is>
      </c>
      <c r="H756" s="19" t="n">
        <v>17.67289924621582</v>
      </c>
      <c r="I756" s="19" t="n">
        <v>104.0558631420136</v>
      </c>
      <c r="J756" s="19" t="n">
        <v>251.5369081497192</v>
      </c>
      <c r="K756" s="19" t="n">
        <v>104.0558631420136</v>
      </c>
      <c r="L756" s="19" t="n">
        <v>196.2315162718296</v>
      </c>
      <c r="M756" s="19" t="n">
        <v>251.5369081497192</v>
      </c>
      <c r="N756" s="17" t="inlineStr">
        <is>
          <t>B</t>
        </is>
      </c>
      <c r="O756" s="19" t="n">
        <v>112.9868257582188</v>
      </c>
      <c r="P756" s="18" t="inlineStr">
        <is>
          <t>CÂN NHẮC THỬ NGHIỆM</t>
        </is>
      </c>
      <c r="Q756" s="17" t="inlineStr">
        <is>
          <t>Có</t>
        </is>
      </c>
      <c r="R756" s="20" t="n"/>
      <c r="S756" s="20" t="n"/>
      <c r="T756" s="21" t="n"/>
      <c r="U756" s="21" t="n"/>
      <c r="V756" s="22">
        <f>IF(U756="A",K756,IF(U756="B",L756,IF(U756="C",M756,IF(N756="A",K756,IF(N756="B",L756,M756)))))</f>
        <v/>
      </c>
      <c r="W756" s="22">
        <f>IF(R756="",O756,MAX(V756-R756-N(S756),0))</f>
        <v/>
      </c>
      <c r="X756" s="20" t="n"/>
      <c r="Y756" s="23">
        <f>IF(OR(X756="",W756=0),"",X756/W756-1)</f>
        <v/>
      </c>
      <c r="Z756" s="24" t="n"/>
      <c r="AA756" s="21" t="n"/>
      <c r="AB756" s="25" t="n"/>
      <c r="AC756" s="26">
        <f>IF(T756="","Chưa quyết định",IF(OR(Z756="",AA756=""),"⚠ Thiếu lý do/người duyệt",IF(AND(X756&lt;&gt;"",N(X756)+N(R756)+N(S756)&gt;M756*1.001,R756&lt;&gt;""),"⚠ Vượt mục tiêu P90",IF(AND(Y756&lt;&gt;"",ABS(N(Y756))&gt;0.3),"⚠ Lệch &gt; 30% so với nhu cầu",IF(Q756="Có","ℹ Kiểm tra ngoại suy KM","✓ Hợp lệ")))))</f>
        <v/>
      </c>
    </row>
    <row r="757">
      <c r="A757" s="16" t="n">
        <v>753</v>
      </c>
      <c r="B757" s="17" t="inlineStr">
        <is>
          <t>DEC-S06-MAGAZINES</t>
        </is>
      </c>
      <c r="C757" s="16" t="n">
        <v>6</v>
      </c>
      <c r="D757" s="17" t="inlineStr">
        <is>
          <t>MAGAZINES</t>
        </is>
      </c>
      <c r="E757" s="17" t="inlineStr">
        <is>
          <t>HIGH</t>
        </is>
      </c>
      <c r="F757" s="17" t="inlineStr">
        <is>
          <t>TRUNG BÌNH</t>
        </is>
      </c>
      <c r="G757" s="18" t="inlineStr">
        <is>
          <t>RISK_HIGH · PROMO_EXTRAPOLATION</t>
        </is>
      </c>
      <c r="H757" s="19" t="n">
        <v>27.51894378662109</v>
      </c>
      <c r="I757" s="19" t="n">
        <v>103.1697244644165</v>
      </c>
      <c r="J757" s="19" t="n">
        <v>222.733330488205</v>
      </c>
      <c r="K757" s="19" t="n">
        <v>103.1697244644165</v>
      </c>
      <c r="L757" s="19" t="n">
        <v>177.8969782292843</v>
      </c>
      <c r="M757" s="19" t="n">
        <v>222.733330488205</v>
      </c>
      <c r="N757" s="17" t="inlineStr">
        <is>
          <t>B</t>
        </is>
      </c>
      <c r="O757" s="19" t="n">
        <v>95.36119865775107</v>
      </c>
      <c r="P757" s="18" t="inlineStr">
        <is>
          <t>KHÔNG ĐỀ XUẤT TĂNG</t>
        </is>
      </c>
      <c r="Q757" s="17" t="inlineStr">
        <is>
          <t>Có</t>
        </is>
      </c>
      <c r="R757" s="20" t="n"/>
      <c r="S757" s="20" t="n"/>
      <c r="T757" s="21" t="n"/>
      <c r="U757" s="21" t="n"/>
      <c r="V757" s="22">
        <f>IF(U757="A",K757,IF(U757="B",L757,IF(U757="C",M757,IF(N757="A",K757,IF(N757="B",L757,M757)))))</f>
        <v/>
      </c>
      <c r="W757" s="22">
        <f>IF(R757="",O757,MAX(V757-R757-N(S757),0))</f>
        <v/>
      </c>
      <c r="X757" s="20" t="n"/>
      <c r="Y757" s="23">
        <f>IF(OR(X757="",W757=0),"",X757/W757-1)</f>
        <v/>
      </c>
      <c r="Z757" s="24" t="n"/>
      <c r="AA757" s="21" t="n"/>
      <c r="AB757" s="25" t="n"/>
      <c r="AC757" s="26">
        <f>IF(T757="","Chưa quyết định",IF(OR(Z757="",AA757=""),"⚠ Thiếu lý do/người duyệt",IF(AND(X757&lt;&gt;"",N(X757)+N(R757)+N(S757)&gt;M757*1.001,R757&lt;&gt;""),"⚠ Vượt mục tiêu P90",IF(AND(Y757&lt;&gt;"",ABS(N(Y757))&gt;0.3),"⚠ Lệch &gt; 30% so với nhu cầu",IF(Q757="Có","ℹ Kiểm tra ngoại suy KM","✓ Hợp lệ")))))</f>
        <v/>
      </c>
    </row>
    <row r="758">
      <c r="A758" s="16" t="n">
        <v>754</v>
      </c>
      <c r="B758" s="17" t="inlineStr">
        <is>
          <t>DEC-S31-LAWN_AND_GARDEN</t>
        </is>
      </c>
      <c r="C758" s="16" t="n">
        <v>31</v>
      </c>
      <c r="D758" s="17" t="inlineStr">
        <is>
          <t>LAWN AND GARDEN</t>
        </is>
      </c>
      <c r="E758" s="17" t="inlineStr">
        <is>
          <t>HIGH</t>
        </is>
      </c>
      <c r="F758" s="17" t="inlineStr">
        <is>
          <t>TRUNG BÌNH</t>
        </is>
      </c>
      <c r="G758" s="18" t="inlineStr">
        <is>
          <t>RISK_HIGH · PROMO_EXTRAPOLATION</t>
        </is>
      </c>
      <c r="H758" s="19" t="n">
        <v>18.51836271286011</v>
      </c>
      <c r="I758" s="19" t="n">
        <v>103.1196007728577</v>
      </c>
      <c r="J758" s="19" t="n">
        <v>240.557590675354</v>
      </c>
      <c r="K758" s="19" t="n">
        <v>103.1196007728577</v>
      </c>
      <c r="L758" s="19" t="n">
        <v>189.0183444619179</v>
      </c>
      <c r="M758" s="19" t="n">
        <v>240.557590675354</v>
      </c>
      <c r="N758" s="17" t="inlineStr">
        <is>
          <t>B</t>
        </is>
      </c>
      <c r="O758" s="19" t="n">
        <v>106.5226638436317</v>
      </c>
      <c r="P758" s="18" t="inlineStr">
        <is>
          <t>KHÔNG ĐỀ XUẤT TĂNG</t>
        </is>
      </c>
      <c r="Q758" s="17" t="inlineStr">
        <is>
          <t>Có</t>
        </is>
      </c>
      <c r="R758" s="20" t="n"/>
      <c r="S758" s="20" t="n"/>
      <c r="T758" s="21" t="n"/>
      <c r="U758" s="21" t="n"/>
      <c r="V758" s="22">
        <f>IF(U758="A",K758,IF(U758="B",L758,IF(U758="C",M758,IF(N758="A",K758,IF(N758="B",L758,M758)))))</f>
        <v/>
      </c>
      <c r="W758" s="22">
        <f>IF(R758="",O758,MAX(V758-R758-N(S758),0))</f>
        <v/>
      </c>
      <c r="X758" s="20" t="n"/>
      <c r="Y758" s="23">
        <f>IF(OR(X758="",W758=0),"",X758/W758-1)</f>
        <v/>
      </c>
      <c r="Z758" s="24" t="n"/>
      <c r="AA758" s="21" t="n"/>
      <c r="AB758" s="25" t="n"/>
      <c r="AC758" s="26">
        <f>IF(T758="","Chưa quyết định",IF(OR(Z758="",AA758=""),"⚠ Thiếu lý do/người duyệt",IF(AND(X758&lt;&gt;"",N(X758)+N(R758)+N(S758)&gt;M758*1.001,R758&lt;&gt;""),"⚠ Vượt mục tiêu P90",IF(AND(Y758&lt;&gt;"",ABS(N(Y758))&gt;0.3),"⚠ Lệch &gt; 30% so với nhu cầu",IF(Q758="Có","ℹ Kiểm tra ngoại suy KM","✓ Hợp lệ")))))</f>
        <v/>
      </c>
    </row>
    <row r="759">
      <c r="A759" s="16" t="n">
        <v>755</v>
      </c>
      <c r="B759" s="17" t="inlineStr">
        <is>
          <t>DEC-S29-BEAUTY</t>
        </is>
      </c>
      <c r="C759" s="16" t="n">
        <v>29</v>
      </c>
      <c r="D759" s="17" t="inlineStr">
        <is>
          <t>BEAUTY</t>
        </is>
      </c>
      <c r="E759" s="17" t="inlineStr">
        <is>
          <t>HIGH</t>
        </is>
      </c>
      <c r="F759" s="17" t="inlineStr">
        <is>
          <t>TRUNG BÌNH</t>
        </is>
      </c>
      <c r="G759" s="18" t="inlineStr">
        <is>
          <t>RISK_HIGH · PROMO_EXTRAPOLATION</t>
        </is>
      </c>
      <c r="H759" s="19" t="n">
        <v>26.25372127890587</v>
      </c>
      <c r="I759" s="19" t="n">
        <v>103.08876273036</v>
      </c>
      <c r="J759" s="19" t="n">
        <v>240.5267526328564</v>
      </c>
      <c r="K759" s="19" t="n">
        <v>103.08876273036</v>
      </c>
      <c r="L759" s="19" t="n">
        <v>188.9875064194202</v>
      </c>
      <c r="M759" s="19" t="n">
        <v>240.5267526328564</v>
      </c>
      <c r="N759" s="17" t="inlineStr">
        <is>
          <t>B</t>
        </is>
      </c>
      <c r="O759" s="19" t="n">
        <v>106.5164962351322</v>
      </c>
      <c r="P759" s="18" t="inlineStr">
        <is>
          <t>CÂN NHẮC THỬ NGHIỆM</t>
        </is>
      </c>
      <c r="Q759" s="17" t="inlineStr">
        <is>
          <t>Có</t>
        </is>
      </c>
      <c r="R759" s="20" t="n"/>
      <c r="S759" s="20" t="n"/>
      <c r="T759" s="21" t="n"/>
      <c r="U759" s="21" t="n"/>
      <c r="V759" s="22">
        <f>IF(U759="A",K759,IF(U759="B",L759,IF(U759="C",M759,IF(N759="A",K759,IF(N759="B",L759,M759)))))</f>
        <v/>
      </c>
      <c r="W759" s="22">
        <f>IF(R759="",O759,MAX(V759-R759-N(S759),0))</f>
        <v/>
      </c>
      <c r="X759" s="20" t="n"/>
      <c r="Y759" s="23">
        <f>IF(OR(X759="",W759=0),"",X759/W759-1)</f>
        <v/>
      </c>
      <c r="Z759" s="24" t="n"/>
      <c r="AA759" s="21" t="n"/>
      <c r="AB759" s="25" t="n"/>
      <c r="AC759" s="26">
        <f>IF(T759="","Chưa quyết định",IF(OR(Z759="",AA759=""),"⚠ Thiếu lý do/người duyệt",IF(AND(X759&lt;&gt;"",N(X759)+N(R759)+N(S759)&gt;M759*1.001,R759&lt;&gt;""),"⚠ Vượt mục tiêu P90",IF(AND(Y759&lt;&gt;"",ABS(N(Y759))&gt;0.3),"⚠ Lệch &gt; 30% so với nhu cầu",IF(Q759="Có","ℹ Kiểm tra ngoại suy KM","✓ Hợp lệ")))))</f>
        <v/>
      </c>
    </row>
    <row r="760">
      <c r="A760" s="16" t="n">
        <v>756</v>
      </c>
      <c r="B760" s="17" t="inlineStr">
        <is>
          <t>DEC-S28-PLAYERS_AND_ELECTRONICS</t>
        </is>
      </c>
      <c r="C760" s="16" t="n">
        <v>28</v>
      </c>
      <c r="D760" s="17" t="inlineStr">
        <is>
          <t>PLAYERS AND ELECTRONICS</t>
        </is>
      </c>
      <c r="E760" s="17" t="inlineStr">
        <is>
          <t>HIGH</t>
        </is>
      </c>
      <c r="F760" s="17" t="inlineStr">
        <is>
          <t>TRUNG BÌNH</t>
        </is>
      </c>
      <c r="G760" s="18" t="inlineStr">
        <is>
          <t>RISK_HIGH · PROMO_EXTRAPOLATION</t>
        </is>
      </c>
      <c r="H760" s="19" t="n">
        <v>16.84870362281799</v>
      </c>
      <c r="I760" s="19" t="n">
        <v>102.3959605693817</v>
      </c>
      <c r="J760" s="19" t="n">
        <v>229.1264226436615</v>
      </c>
      <c r="K760" s="19" t="n">
        <v>102.3959605693817</v>
      </c>
      <c r="L760" s="19" t="n">
        <v>181.6024993658066</v>
      </c>
      <c r="M760" s="19" t="n">
        <v>229.1264226436615</v>
      </c>
      <c r="N760" s="17" t="inlineStr">
        <is>
          <t>B</t>
        </is>
      </c>
      <c r="O760" s="19" t="n">
        <v>99.6857309103012</v>
      </c>
      <c r="P760" s="18" t="inlineStr">
        <is>
          <t>KHÔNG ĐỀ XUẤT TĂNG</t>
        </is>
      </c>
      <c r="Q760" s="17" t="inlineStr">
        <is>
          <t>Có</t>
        </is>
      </c>
      <c r="R760" s="20" t="n"/>
      <c r="S760" s="20" t="n"/>
      <c r="T760" s="21" t="n"/>
      <c r="U760" s="21" t="n"/>
      <c r="V760" s="22">
        <f>IF(U760="A",K760,IF(U760="B",L760,IF(U760="C",M760,IF(N760="A",K760,IF(N760="B",L760,M760)))))</f>
        <v/>
      </c>
      <c r="W760" s="22">
        <f>IF(R760="",O760,MAX(V760-R760-N(S760),0))</f>
        <v/>
      </c>
      <c r="X760" s="20" t="n"/>
      <c r="Y760" s="23">
        <f>IF(OR(X760="",W760=0),"",X760/W760-1)</f>
        <v/>
      </c>
      <c r="Z760" s="24" t="n"/>
      <c r="AA760" s="21" t="n"/>
      <c r="AB760" s="25" t="n"/>
      <c r="AC760" s="26">
        <f>IF(T760="","Chưa quyết định",IF(OR(Z760="",AA760=""),"⚠ Thiếu lý do/người duyệt",IF(AND(X760&lt;&gt;"",N(X760)+N(R760)+N(S760)&gt;M760*1.001,R760&lt;&gt;""),"⚠ Vượt mục tiêu P90",IF(AND(Y760&lt;&gt;"",ABS(N(Y760))&gt;0.3),"⚠ Lệch &gt; 30% so với nhu cầu",IF(Q760="Có","ℹ Kiểm tra ngoại suy KM","✓ Hợp lệ")))))</f>
        <v/>
      </c>
    </row>
    <row r="761">
      <c r="A761" s="16" t="n">
        <v>757</v>
      </c>
      <c r="B761" s="17" t="inlineStr">
        <is>
          <t>DEC-S38-AUTOMOTIVE</t>
        </is>
      </c>
      <c r="C761" s="16" t="n">
        <v>38</v>
      </c>
      <c r="D761" s="17" t="inlineStr">
        <is>
          <t>AUTOMOTIVE</t>
        </is>
      </c>
      <c r="E761" s="17" t="inlineStr">
        <is>
          <t>HIGH</t>
        </is>
      </c>
      <c r="F761" s="17" t="inlineStr">
        <is>
          <t>TRUNG BÌNH</t>
        </is>
      </c>
      <c r="G761" s="18" t="inlineStr">
        <is>
          <t>RISK_HIGH · PROMO_EXTRAPOLATION</t>
        </is>
      </c>
      <c r="H761" s="19" t="n">
        <v>23.25140762329102</v>
      </c>
      <c r="I761" s="19" t="n">
        <v>101.9450969696045</v>
      </c>
      <c r="J761" s="19" t="n">
        <v>223.8976550102234</v>
      </c>
      <c r="K761" s="19" t="n">
        <v>101.9450969696045</v>
      </c>
      <c r="L761" s="19" t="n">
        <v>178.1654457449913</v>
      </c>
      <c r="M761" s="19" t="n">
        <v>223.8976550102234</v>
      </c>
      <c r="N761" s="17" t="inlineStr">
        <is>
          <t>B</t>
        </is>
      </c>
      <c r="O761" s="19" t="n">
        <v>96.6093681693077</v>
      </c>
      <c r="P761" s="18" t="inlineStr">
        <is>
          <t>KHÔNG ĐỀ XUẤT TĂNG</t>
        </is>
      </c>
      <c r="Q761" s="17" t="inlineStr">
        <is>
          <t>Có</t>
        </is>
      </c>
      <c r="R761" s="20" t="n"/>
      <c r="S761" s="20" t="n"/>
      <c r="T761" s="21" t="n"/>
      <c r="U761" s="21" t="n"/>
      <c r="V761" s="22">
        <f>IF(U761="A",K761,IF(U761="B",L761,IF(U761="C",M761,IF(N761="A",K761,IF(N761="B",L761,M761)))))</f>
        <v/>
      </c>
      <c r="W761" s="22">
        <f>IF(R761="",O761,MAX(V761-R761-N(S761),0))</f>
        <v/>
      </c>
      <c r="X761" s="20" t="n"/>
      <c r="Y761" s="23">
        <f>IF(OR(X761="",W761=0),"",X761/W761-1)</f>
        <v/>
      </c>
      <c r="Z761" s="24" t="n"/>
      <c r="AA761" s="21" t="n"/>
      <c r="AB761" s="25" t="n"/>
      <c r="AC761" s="26">
        <f>IF(T761="","Chưa quyết định",IF(OR(Z761="",AA761=""),"⚠ Thiếu lý do/người duyệt",IF(AND(X761&lt;&gt;"",N(X761)+N(R761)+N(S761)&gt;M761*1.001,R761&lt;&gt;""),"⚠ Vượt mục tiêu P90",IF(AND(Y761&lt;&gt;"",ABS(N(Y761))&gt;0.3),"⚠ Lệch &gt; 30% so với nhu cầu",IF(Q761="Có","ℹ Kiểm tra ngoại suy KM","✓ Hợp lệ")))))</f>
        <v/>
      </c>
    </row>
    <row r="762">
      <c r="A762" s="16" t="n">
        <v>758</v>
      </c>
      <c r="B762" s="17" t="inlineStr">
        <is>
          <t>DEC-S18-CELEBRATION</t>
        </is>
      </c>
      <c r="C762" s="16" t="n">
        <v>18</v>
      </c>
      <c r="D762" s="17" t="inlineStr">
        <is>
          <t>CELEBRATION</t>
        </is>
      </c>
      <c r="E762" s="17" t="inlineStr">
        <is>
          <t>HIGH</t>
        </is>
      </c>
      <c r="F762" s="17" t="inlineStr">
        <is>
          <t>TRUNG BÌNH</t>
        </is>
      </c>
      <c r="G762" s="18" t="inlineStr">
        <is>
          <t>RISK_HIGH · PROMO_EXTRAPOLATION</t>
        </is>
      </c>
      <c r="H762" s="19" t="n">
        <v>25.52763867378235</v>
      </c>
      <c r="I762" s="19" t="n">
        <v>101.1784193515778</v>
      </c>
      <c r="J762" s="19" t="n">
        <v>220.7420253753662</v>
      </c>
      <c r="K762" s="19" t="n">
        <v>101.1784193515778</v>
      </c>
      <c r="L762" s="19" t="n">
        <v>175.9056731164455</v>
      </c>
      <c r="M762" s="19" t="n">
        <v>220.7420253753662</v>
      </c>
      <c r="N762" s="17" t="inlineStr">
        <is>
          <t>B</t>
        </is>
      </c>
      <c r="O762" s="19" t="n">
        <v>94.96293763518332</v>
      </c>
      <c r="P762" s="18" t="inlineStr">
        <is>
          <t>KHÔNG ĐỀ XUẤT TĂNG</t>
        </is>
      </c>
      <c r="Q762" s="17" t="inlineStr">
        <is>
          <t>Có</t>
        </is>
      </c>
      <c r="R762" s="20" t="n"/>
      <c r="S762" s="20" t="n"/>
      <c r="T762" s="21" t="n"/>
      <c r="U762" s="21" t="n"/>
      <c r="V762" s="22">
        <f>IF(U762="A",K762,IF(U762="B",L762,IF(U762="C",M762,IF(N762="A",K762,IF(N762="B",L762,M762)))))</f>
        <v/>
      </c>
      <c r="W762" s="22">
        <f>IF(R762="",O762,MAX(V762-R762-N(S762),0))</f>
        <v/>
      </c>
      <c r="X762" s="20" t="n"/>
      <c r="Y762" s="23">
        <f>IF(OR(X762="",W762=0),"",X762/W762-1)</f>
        <v/>
      </c>
      <c r="Z762" s="24" t="n"/>
      <c r="AA762" s="21" t="n"/>
      <c r="AB762" s="25" t="n"/>
      <c r="AC762" s="26">
        <f>IF(T762="","Chưa quyết định",IF(OR(Z762="",AA762=""),"⚠ Thiếu lý do/người duyệt",IF(AND(X762&lt;&gt;"",N(X762)+N(R762)+N(S762)&gt;M762*1.001,R762&lt;&gt;""),"⚠ Vượt mục tiêu P90",IF(AND(Y762&lt;&gt;"",ABS(N(Y762))&gt;0.3),"⚠ Lệch &gt; 30% so với nhu cầu",IF(Q762="Có","ℹ Kiểm tra ngoại suy KM","✓ Hợp lệ")))))</f>
        <v/>
      </c>
    </row>
    <row r="763">
      <c r="A763" s="16" t="n">
        <v>759</v>
      </c>
      <c r="B763" s="17" t="inlineStr">
        <is>
          <t>DEC-S04-MAGAZINES</t>
        </is>
      </c>
      <c r="C763" s="16" t="n">
        <v>4</v>
      </c>
      <c r="D763" s="17" t="inlineStr">
        <is>
          <t>MAGAZINES</t>
        </is>
      </c>
      <c r="E763" s="17" t="inlineStr">
        <is>
          <t>HIGH</t>
        </is>
      </c>
      <c r="F763" s="17" t="inlineStr">
        <is>
          <t>TRUNG BÌNH</t>
        </is>
      </c>
      <c r="G763" s="18" t="inlineStr">
        <is>
          <t>RISK_HIGH · PROMO_EXTRAPOLATION</t>
        </is>
      </c>
      <c r="H763" s="19" t="n">
        <v>21.65663981437683</v>
      </c>
      <c r="I763" s="19" t="n">
        <v>100.8817403316498</v>
      </c>
      <c r="J763" s="19" t="n">
        <v>222.8342983722687</v>
      </c>
      <c r="K763" s="19" t="n">
        <v>100.8817403316498</v>
      </c>
      <c r="L763" s="19" t="n">
        <v>177.1020891070366</v>
      </c>
      <c r="M763" s="19" t="n">
        <v>222.8342983722687</v>
      </c>
      <c r="N763" s="17" t="inlineStr">
        <is>
          <t>B</t>
        </is>
      </c>
      <c r="O763" s="19" t="n">
        <v>96.39669684171676</v>
      </c>
      <c r="P763" s="18" t="inlineStr">
        <is>
          <t>KHÔNG ĐỀ XUẤT TĂNG</t>
        </is>
      </c>
      <c r="Q763" s="17" t="inlineStr">
        <is>
          <t>Có</t>
        </is>
      </c>
      <c r="R763" s="20" t="n"/>
      <c r="S763" s="20" t="n"/>
      <c r="T763" s="21" t="n"/>
      <c r="U763" s="21" t="n"/>
      <c r="V763" s="22">
        <f>IF(U763="A",K763,IF(U763="B",L763,IF(U763="C",M763,IF(N763="A",K763,IF(N763="B",L763,M763)))))</f>
        <v/>
      </c>
      <c r="W763" s="22">
        <f>IF(R763="",O763,MAX(V763-R763-N(S763),0))</f>
        <v/>
      </c>
      <c r="X763" s="20" t="n"/>
      <c r="Y763" s="23">
        <f>IF(OR(X763="",W763=0),"",X763/W763-1)</f>
        <v/>
      </c>
      <c r="Z763" s="24" t="n"/>
      <c r="AA763" s="21" t="n"/>
      <c r="AB763" s="25" t="n"/>
      <c r="AC763" s="26">
        <f>IF(T763="","Chưa quyết định",IF(OR(Z763="",AA763=""),"⚠ Thiếu lý do/người duyệt",IF(AND(X763&lt;&gt;"",N(X763)+N(R763)+N(S763)&gt;M763*1.001,R763&lt;&gt;""),"⚠ Vượt mục tiêu P90",IF(AND(Y763&lt;&gt;"",ABS(N(Y763))&gt;0.3),"⚠ Lệch &gt; 30% so với nhu cầu",IF(Q763="Có","ℹ Kiểm tra ngoại suy KM","✓ Hợp lệ")))))</f>
        <v/>
      </c>
    </row>
    <row r="764">
      <c r="A764" s="16" t="n">
        <v>760</v>
      </c>
      <c r="B764" s="17" t="inlineStr">
        <is>
          <t>DEC-S20-PET_SUPPLIES</t>
        </is>
      </c>
      <c r="C764" s="16" t="n">
        <v>20</v>
      </c>
      <c r="D764" s="17" t="inlineStr">
        <is>
          <t>PET SUPPLIES</t>
        </is>
      </c>
      <c r="E764" s="17" t="inlineStr">
        <is>
          <t>HIGH</t>
        </is>
      </c>
      <c r="F764" s="17" t="inlineStr">
        <is>
          <t>TRUNG BÌNH</t>
        </is>
      </c>
      <c r="G764" s="18" t="inlineStr">
        <is>
          <t>RISK_HIGH · PROMO_EXTRAPOLATION</t>
        </is>
      </c>
      <c r="H764" s="19" t="n">
        <v>18.43086266517639</v>
      </c>
      <c r="I764" s="19" t="n">
        <v>100.6146514415741</v>
      </c>
      <c r="J764" s="19" t="n">
        <v>224.9561614990234</v>
      </c>
      <c r="K764" s="19" t="n">
        <v>100.6146514415741</v>
      </c>
      <c r="L764" s="19" t="n">
        <v>178.3280952274799</v>
      </c>
      <c r="M764" s="19" t="n">
        <v>224.9561614990234</v>
      </c>
      <c r="N764" s="17" t="inlineStr">
        <is>
          <t>B</t>
        </is>
      </c>
      <c r="O764" s="19" t="n">
        <v>97.83637407422066</v>
      </c>
      <c r="P764" s="18" t="inlineStr">
        <is>
          <t>KHÔNG ĐỀ XUẤT TĂNG</t>
        </is>
      </c>
      <c r="Q764" s="17" t="inlineStr">
        <is>
          <t>Có</t>
        </is>
      </c>
      <c r="R764" s="20" t="n"/>
      <c r="S764" s="20" t="n"/>
      <c r="T764" s="21" t="n"/>
      <c r="U764" s="21" t="n"/>
      <c r="V764" s="22">
        <f>IF(U764="A",K764,IF(U764="B",L764,IF(U764="C",M764,IF(N764="A",K764,IF(N764="B",L764,M764)))))</f>
        <v/>
      </c>
      <c r="W764" s="22">
        <f>IF(R764="",O764,MAX(V764-R764-N(S764),0))</f>
        <v/>
      </c>
      <c r="X764" s="20" t="n"/>
      <c r="Y764" s="23">
        <f>IF(OR(X764="",W764=0),"",X764/W764-1)</f>
        <v/>
      </c>
      <c r="Z764" s="24" t="n"/>
      <c r="AA764" s="21" t="n"/>
      <c r="AB764" s="25" t="n"/>
      <c r="AC764" s="26">
        <f>IF(T764="","Chưa quyết định",IF(OR(Z764="",AA764=""),"⚠ Thiếu lý do/người duyệt",IF(AND(X764&lt;&gt;"",N(X764)+N(R764)+N(S764)&gt;M764*1.001,R764&lt;&gt;""),"⚠ Vượt mục tiêu P90",IF(AND(Y764&lt;&gt;"",ABS(N(Y764))&gt;0.3),"⚠ Lệch &gt; 30% so với nhu cầu",IF(Q764="Có","ℹ Kiểm tra ngoại suy KM","✓ Hợp lệ")))))</f>
        <v/>
      </c>
    </row>
    <row r="765">
      <c r="A765" s="16" t="n">
        <v>761</v>
      </c>
      <c r="B765" s="17" t="inlineStr">
        <is>
          <t>DEC-S25-PLAYERS_AND_ELECTRONICS</t>
        </is>
      </c>
      <c r="C765" s="16" t="n">
        <v>25</v>
      </c>
      <c r="D765" s="17" t="inlineStr">
        <is>
          <t>PLAYERS AND ELECTRONICS</t>
        </is>
      </c>
      <c r="E765" s="17" t="inlineStr">
        <is>
          <t>HIGH</t>
        </is>
      </c>
      <c r="F765" s="17" t="inlineStr">
        <is>
          <t>TRUNG BÌNH</t>
        </is>
      </c>
      <c r="G765" s="18" t="inlineStr">
        <is>
          <t>RISK_HIGH · PROMO_EXTRAPOLATION</t>
        </is>
      </c>
      <c r="H765" s="19" t="n">
        <v>21.10743594169617</v>
      </c>
      <c r="I765" s="19" t="n">
        <v>100.1186285018921</v>
      </c>
      <c r="J765" s="19" t="n">
        <v>222.071186542511</v>
      </c>
      <c r="K765" s="19" t="n">
        <v>100.1186285018921</v>
      </c>
      <c r="L765" s="19" t="n">
        <v>176.3389772772789</v>
      </c>
      <c r="M765" s="19" t="n">
        <v>222.071186542511</v>
      </c>
      <c r="N765" s="17" t="inlineStr">
        <is>
          <t>B</t>
        </is>
      </c>
      <c r="O765" s="19" t="n">
        <v>96.24407447576522</v>
      </c>
      <c r="P765" s="18" t="inlineStr">
        <is>
          <t>KHÔNG ĐỀ XUẤT TĂNG</t>
        </is>
      </c>
      <c r="Q765" s="17" t="inlineStr">
        <is>
          <t>Có</t>
        </is>
      </c>
      <c r="R765" s="20" t="n"/>
      <c r="S765" s="20" t="n"/>
      <c r="T765" s="21" t="n"/>
      <c r="U765" s="21" t="n"/>
      <c r="V765" s="22">
        <f>IF(U765="A",K765,IF(U765="B",L765,IF(U765="C",M765,IF(N765="A",K765,IF(N765="B",L765,M765)))))</f>
        <v/>
      </c>
      <c r="W765" s="22">
        <f>IF(R765="",O765,MAX(V765-R765-N(S765),0))</f>
        <v/>
      </c>
      <c r="X765" s="20" t="n"/>
      <c r="Y765" s="23">
        <f>IF(OR(X765="",W765=0),"",X765/W765-1)</f>
        <v/>
      </c>
      <c r="Z765" s="24" t="n"/>
      <c r="AA765" s="21" t="n"/>
      <c r="AB765" s="25" t="n"/>
      <c r="AC765" s="26">
        <f>IF(T765="","Chưa quyết định",IF(OR(Z765="",AA765=""),"⚠ Thiếu lý do/người duyệt",IF(AND(X765&lt;&gt;"",N(X765)+N(R765)+N(S765)&gt;M765*1.001,R765&lt;&gt;""),"⚠ Vượt mục tiêu P90",IF(AND(Y765&lt;&gt;"",ABS(N(Y765))&gt;0.3),"⚠ Lệch &gt; 30% so với nhu cầu",IF(Q765="Có","ℹ Kiểm tra ngoại suy KM","✓ Hợp lệ")))))</f>
        <v/>
      </c>
    </row>
    <row r="766">
      <c r="A766" s="16" t="n">
        <v>762</v>
      </c>
      <c r="B766" s="17" t="inlineStr">
        <is>
          <t>DEC-S29-SEAFOOD</t>
        </is>
      </c>
      <c r="C766" s="16" t="n">
        <v>29</v>
      </c>
      <c r="D766" s="17" t="inlineStr">
        <is>
          <t>SEAFOOD</t>
        </is>
      </c>
      <c r="E766" s="17" t="inlineStr">
        <is>
          <t>HIGH</t>
        </is>
      </c>
      <c r="F766" s="17" t="inlineStr">
        <is>
          <t>TRUNG BÌNH</t>
        </is>
      </c>
      <c r="G766" s="18" t="inlineStr">
        <is>
          <t>RISK_HIGH · PROMO_EXTRAPOLATION</t>
        </is>
      </c>
      <c r="H766" s="19" t="n">
        <v>36.81847381591797</v>
      </c>
      <c r="I766" s="19" t="n">
        <v>99.84708786010742</v>
      </c>
      <c r="J766" s="19" t="n">
        <v>214.290282869339</v>
      </c>
      <c r="K766" s="19" t="n">
        <v>99.84708786010742</v>
      </c>
      <c r="L766" s="19" t="n">
        <v>171.3740847408772</v>
      </c>
      <c r="M766" s="19" t="n">
        <v>214.290282869339</v>
      </c>
      <c r="N766" s="17" t="inlineStr">
        <is>
          <t>B</t>
        </is>
      </c>
      <c r="O766" s="19" t="n">
        <v>91.4964144527912</v>
      </c>
      <c r="P766" s="18" t="inlineStr">
        <is>
          <t>KHÔNG ĐỀ XUẤT TĂNG</t>
        </is>
      </c>
      <c r="Q766" s="17" t="inlineStr">
        <is>
          <t>Có</t>
        </is>
      </c>
      <c r="R766" s="20" t="n"/>
      <c r="S766" s="20" t="n"/>
      <c r="T766" s="21" t="n"/>
      <c r="U766" s="21" t="n"/>
      <c r="V766" s="22">
        <f>IF(U766="A",K766,IF(U766="B",L766,IF(U766="C",M766,IF(N766="A",K766,IF(N766="B",L766,M766)))))</f>
        <v/>
      </c>
      <c r="W766" s="22">
        <f>IF(R766="",O766,MAX(V766-R766-N(S766),0))</f>
        <v/>
      </c>
      <c r="X766" s="20" t="n"/>
      <c r="Y766" s="23">
        <f>IF(OR(X766="",W766=0),"",X766/W766-1)</f>
        <v/>
      </c>
      <c r="Z766" s="24" t="n"/>
      <c r="AA766" s="21" t="n"/>
      <c r="AB766" s="25" t="n"/>
      <c r="AC766" s="26">
        <f>IF(T766="","Chưa quyết định",IF(OR(Z766="",AA766=""),"⚠ Thiếu lý do/người duyệt",IF(AND(X766&lt;&gt;"",N(X766)+N(R766)+N(S766)&gt;M766*1.001,R766&lt;&gt;""),"⚠ Vượt mục tiêu P90",IF(AND(Y766&lt;&gt;"",ABS(N(Y766))&gt;0.3),"⚠ Lệch &gt; 30% so với nhu cầu",IF(Q766="Có","ℹ Kiểm tra ngoại suy KM","✓ Hợp lệ")))))</f>
        <v/>
      </c>
    </row>
    <row r="767">
      <c r="A767" s="16" t="n">
        <v>763</v>
      </c>
      <c r="B767" s="17" t="inlineStr">
        <is>
          <t>DEC-S30-GROCERY_II</t>
        </is>
      </c>
      <c r="C767" s="16" t="n">
        <v>30</v>
      </c>
      <c r="D767" s="17" t="inlineStr">
        <is>
          <t>GROCERY II</t>
        </is>
      </c>
      <c r="E767" s="17" t="inlineStr">
        <is>
          <t>HIGH</t>
        </is>
      </c>
      <c r="F767" s="17" t="inlineStr">
        <is>
          <t>TRUNG BÌNH</t>
        </is>
      </c>
      <c r="G767" s="18" t="inlineStr">
        <is>
          <t>RISK_HIGH · PROMO_EXTRAPOLATION</t>
        </is>
      </c>
      <c r="H767" s="19" t="n">
        <v>26.02151713967323</v>
      </c>
      <c r="I767" s="19" t="n">
        <v>99.82472744584084</v>
      </c>
      <c r="J767" s="19" t="n">
        <v>226.6999295771122</v>
      </c>
      <c r="K767" s="19" t="n">
        <v>99.82472744584084</v>
      </c>
      <c r="L767" s="19" t="n">
        <v>179.1217287778854</v>
      </c>
      <c r="M767" s="19" t="n">
        <v>226.6999295771122</v>
      </c>
      <c r="N767" s="17" t="inlineStr">
        <is>
          <t>B</t>
        </is>
      </c>
      <c r="O767" s="19" t="n">
        <v>99.26194682121276</v>
      </c>
      <c r="P767" s="18" t="inlineStr">
        <is>
          <t>KHÔNG ĐỀ XUẤT TĂNG</t>
        </is>
      </c>
      <c r="Q767" s="17" t="inlineStr">
        <is>
          <t>Có</t>
        </is>
      </c>
      <c r="R767" s="20" t="n"/>
      <c r="S767" s="20" t="n"/>
      <c r="T767" s="21" t="n"/>
      <c r="U767" s="21" t="n"/>
      <c r="V767" s="22">
        <f>IF(U767="A",K767,IF(U767="B",L767,IF(U767="C",M767,IF(N767="A",K767,IF(N767="B",L767,M767)))))</f>
        <v/>
      </c>
      <c r="W767" s="22">
        <f>IF(R767="",O767,MAX(V767-R767-N(S767),0))</f>
        <v/>
      </c>
      <c r="X767" s="20" t="n"/>
      <c r="Y767" s="23">
        <f>IF(OR(X767="",W767=0),"",X767/W767-1)</f>
        <v/>
      </c>
      <c r="Z767" s="24" t="n"/>
      <c r="AA767" s="21" t="n"/>
      <c r="AB767" s="25" t="n"/>
      <c r="AC767" s="26">
        <f>IF(T767="","Chưa quyết định",IF(OR(Z767="",AA767=""),"⚠ Thiếu lý do/người duyệt",IF(AND(X767&lt;&gt;"",N(X767)+N(R767)+N(S767)&gt;M767*1.001,R767&lt;&gt;""),"⚠ Vượt mục tiêu P90",IF(AND(Y767&lt;&gt;"",ABS(N(Y767))&gt;0.3),"⚠ Lệch &gt; 30% so với nhu cầu",IF(Q767="Có","ℹ Kiểm tra ngoại suy KM","✓ Hợp lệ")))))</f>
        <v/>
      </c>
    </row>
    <row r="768">
      <c r="A768" s="16" t="n">
        <v>764</v>
      </c>
      <c r="B768" s="17" t="inlineStr">
        <is>
          <t>DEC-S20-LINGERIE</t>
        </is>
      </c>
      <c r="C768" s="16" t="n">
        <v>20</v>
      </c>
      <c r="D768" s="17" t="inlineStr">
        <is>
          <t>LINGERIE</t>
        </is>
      </c>
      <c r="E768" s="17" t="inlineStr">
        <is>
          <t>HIGH</t>
        </is>
      </c>
      <c r="F768" s="17" t="inlineStr">
        <is>
          <t>TRUNG BÌNH</t>
        </is>
      </c>
      <c r="G768" s="18" t="inlineStr">
        <is>
          <t>RISK_HIGH · PROMO_EXTRAPOLATION</t>
        </is>
      </c>
      <c r="H768" s="19" t="n">
        <v>13.8181803226471</v>
      </c>
      <c r="I768" s="19" t="n">
        <v>99.20223116874696</v>
      </c>
      <c r="J768" s="19" t="n">
        <v>235.1135087013245</v>
      </c>
      <c r="K768" s="19" t="n">
        <v>99.20223116874696</v>
      </c>
      <c r="L768" s="19" t="n">
        <v>184.1467796266079</v>
      </c>
      <c r="M768" s="19" t="n">
        <v>235.1135087013245</v>
      </c>
      <c r="N768" s="17" t="inlineStr">
        <is>
          <t>B</t>
        </is>
      </c>
      <c r="O768" s="19" t="n">
        <v>104.7849946916103</v>
      </c>
      <c r="P768" s="18" t="inlineStr">
        <is>
          <t>KHÔNG ĐỀ XUẤT TĂNG</t>
        </is>
      </c>
      <c r="Q768" s="17" t="inlineStr">
        <is>
          <t>Có</t>
        </is>
      </c>
      <c r="R768" s="20" t="n"/>
      <c r="S768" s="20" t="n"/>
      <c r="T768" s="21" t="n"/>
      <c r="U768" s="21" t="n"/>
      <c r="V768" s="22">
        <f>IF(U768="A",K768,IF(U768="B",L768,IF(U768="C",M768,IF(N768="A",K768,IF(N768="B",L768,M768)))))</f>
        <v/>
      </c>
      <c r="W768" s="22">
        <f>IF(R768="",O768,MAX(V768-R768-N(S768),0))</f>
        <v/>
      </c>
      <c r="X768" s="20" t="n"/>
      <c r="Y768" s="23">
        <f>IF(OR(X768="",W768=0),"",X768/W768-1)</f>
        <v/>
      </c>
      <c r="Z768" s="24" t="n"/>
      <c r="AA768" s="21" t="n"/>
      <c r="AB768" s="25" t="n"/>
      <c r="AC768" s="26">
        <f>IF(T768="","Chưa quyết định",IF(OR(Z768="",AA768=""),"⚠ Thiếu lý do/người duyệt",IF(AND(X768&lt;&gt;"",N(X768)+N(R768)+N(S768)&gt;M768*1.001,R768&lt;&gt;""),"⚠ Vượt mục tiêu P90",IF(AND(Y768&lt;&gt;"",ABS(N(Y768))&gt;0.3),"⚠ Lệch &gt; 30% so với nhu cầu",IF(Q768="Có","ℹ Kiểm tra ngoại suy KM","✓ Hợp lệ")))))</f>
        <v/>
      </c>
    </row>
    <row r="769">
      <c r="A769" s="16" t="n">
        <v>765</v>
      </c>
      <c r="B769" s="17" t="inlineStr">
        <is>
          <t>DEC-S10-HOME_AND_KITCHEN_II</t>
        </is>
      </c>
      <c r="C769" s="16" t="n">
        <v>10</v>
      </c>
      <c r="D769" s="17" t="inlineStr">
        <is>
          <t>HOME AND KITCHEN II</t>
        </is>
      </c>
      <c r="E769" s="17" t="inlineStr">
        <is>
          <t>HIGH</t>
        </is>
      </c>
      <c r="F769" s="17" t="inlineStr">
        <is>
          <t>TRUNG BÌNH</t>
        </is>
      </c>
      <c r="G769" s="18" t="inlineStr">
        <is>
          <t>RISK_HIGH · PROMO_EXTRAPOLATION</t>
        </is>
      </c>
      <c r="H769" s="19" t="n">
        <v>17.64242089390755</v>
      </c>
      <c r="I769" s="19" t="n">
        <v>98.25293669104576</v>
      </c>
      <c r="J769" s="19" t="n">
        <v>229.6461765229702</v>
      </c>
      <c r="K769" s="19" t="n">
        <v>98.25293669104576</v>
      </c>
      <c r="L769" s="19" t="n">
        <v>180.3737115859985</v>
      </c>
      <c r="M769" s="19" t="n">
        <v>229.6461765229702</v>
      </c>
      <c r="N769" s="17" t="inlineStr">
        <is>
          <t>B</t>
        </is>
      </c>
      <c r="O769" s="19" t="n">
        <v>101.7713622331619</v>
      </c>
      <c r="P769" s="18" t="inlineStr">
        <is>
          <t>KHÔNG ĐỀ XUẤT TĂNG</t>
        </is>
      </c>
      <c r="Q769" s="17" t="inlineStr">
        <is>
          <t>Có</t>
        </is>
      </c>
      <c r="R769" s="20" t="n"/>
      <c r="S769" s="20" t="n"/>
      <c r="T769" s="21" t="n"/>
      <c r="U769" s="21" t="n"/>
      <c r="V769" s="22">
        <f>IF(U769="A",K769,IF(U769="B",L769,IF(U769="C",M769,IF(N769="A",K769,IF(N769="B",L769,M769)))))</f>
        <v/>
      </c>
      <c r="W769" s="22">
        <f>IF(R769="",O769,MAX(V769-R769-N(S769),0))</f>
        <v/>
      </c>
      <c r="X769" s="20" t="n"/>
      <c r="Y769" s="23">
        <f>IF(OR(X769="",W769=0),"",X769/W769-1)</f>
        <v/>
      </c>
      <c r="Z769" s="24" t="n"/>
      <c r="AA769" s="21" t="n"/>
      <c r="AB769" s="25" t="n"/>
      <c r="AC769" s="26">
        <f>IF(T769="","Chưa quyết định",IF(OR(Z769="",AA769=""),"⚠ Thiếu lý do/người duyệt",IF(AND(X769&lt;&gt;"",N(X769)+N(R769)+N(S769)&gt;M769*1.001,R769&lt;&gt;""),"⚠ Vượt mục tiêu P90",IF(AND(Y769&lt;&gt;"",ABS(N(Y769))&gt;0.3),"⚠ Lệch &gt; 30% so với nhu cầu",IF(Q769="Có","ℹ Kiểm tra ngoại suy KM","✓ Hợp lệ")))))</f>
        <v/>
      </c>
    </row>
    <row r="770">
      <c r="A770" s="16" t="n">
        <v>766</v>
      </c>
      <c r="B770" s="17" t="inlineStr">
        <is>
          <t>DEC-S29-LINGERIE</t>
        </is>
      </c>
      <c r="C770" s="16" t="n">
        <v>29</v>
      </c>
      <c r="D770" s="17" t="inlineStr">
        <is>
          <t>LINGERIE</t>
        </is>
      </c>
      <c r="E770" s="17" t="inlineStr">
        <is>
          <t>HIGH</t>
        </is>
      </c>
      <c r="F770" s="17" t="inlineStr">
        <is>
          <t>TRUNG BÌNH</t>
        </is>
      </c>
      <c r="G770" s="18" t="inlineStr">
        <is>
          <t>RISK_HIGH · PROMO_EXTRAPOLATION</t>
        </is>
      </c>
      <c r="H770" s="19" t="n">
        <v>19.00281143188477</v>
      </c>
      <c r="I770" s="19" t="n">
        <v>96.77633595466614</v>
      </c>
      <c r="J770" s="19" t="n">
        <v>218.728893995285</v>
      </c>
      <c r="K770" s="19" t="n">
        <v>96.77633595466614</v>
      </c>
      <c r="L770" s="19" t="n">
        <v>172.9966847300529</v>
      </c>
      <c r="M770" s="19" t="n">
        <v>218.728893995285</v>
      </c>
      <c r="N770" s="17" t="inlineStr">
        <is>
          <t>B</t>
        </is>
      </c>
      <c r="O770" s="19" t="n">
        <v>95.57561596632004</v>
      </c>
      <c r="P770" s="18" t="inlineStr">
        <is>
          <t>KHÔNG ĐỀ XUẤT TĂNG</t>
        </is>
      </c>
      <c r="Q770" s="17" t="inlineStr">
        <is>
          <t>Có</t>
        </is>
      </c>
      <c r="R770" s="20" t="n"/>
      <c r="S770" s="20" t="n"/>
      <c r="T770" s="21" t="n"/>
      <c r="U770" s="21" t="n"/>
      <c r="V770" s="22">
        <f>IF(U770="A",K770,IF(U770="B",L770,IF(U770="C",M770,IF(N770="A",K770,IF(N770="B",L770,M770)))))</f>
        <v/>
      </c>
      <c r="W770" s="22">
        <f>IF(R770="",O770,MAX(V770-R770-N(S770),0))</f>
        <v/>
      </c>
      <c r="X770" s="20" t="n"/>
      <c r="Y770" s="23">
        <f>IF(OR(X770="",W770=0),"",X770/W770-1)</f>
        <v/>
      </c>
      <c r="Z770" s="24" t="n"/>
      <c r="AA770" s="21" t="n"/>
      <c r="AB770" s="25" t="n"/>
      <c r="AC770" s="26">
        <f>IF(T770="","Chưa quyết định",IF(OR(Z770="",AA770=""),"⚠ Thiếu lý do/người duyệt",IF(AND(X770&lt;&gt;"",N(X770)+N(R770)+N(S770)&gt;M770*1.001,R770&lt;&gt;""),"⚠ Vượt mục tiêu P90",IF(AND(Y770&lt;&gt;"",ABS(N(Y770))&gt;0.3),"⚠ Lệch &gt; 30% so với nhu cầu",IF(Q770="Có","ℹ Kiểm tra ngoại suy KM","✓ Hợp lệ")))))</f>
        <v/>
      </c>
    </row>
    <row r="771">
      <c r="A771" s="16" t="n">
        <v>767</v>
      </c>
      <c r="B771" s="17" t="inlineStr">
        <is>
          <t>DEC-S12-LADIESWEAR</t>
        </is>
      </c>
      <c r="C771" s="16" t="n">
        <v>12</v>
      </c>
      <c r="D771" s="17" t="inlineStr">
        <is>
          <t>LADIESWEAR</t>
        </is>
      </c>
      <c r="E771" s="17" t="inlineStr">
        <is>
          <t>HIGH</t>
        </is>
      </c>
      <c r="F771" s="17" t="inlineStr">
        <is>
          <t>TRUNG BÌNH</t>
        </is>
      </c>
      <c r="G771" s="18" t="inlineStr">
        <is>
          <t>RISK_HIGH · PROMO_EXTRAPOLATION</t>
        </is>
      </c>
      <c r="H771" s="19" t="n">
        <v>17.45021557807922</v>
      </c>
      <c r="I771" s="19" t="n">
        <v>96.50729489326476</v>
      </c>
      <c r="J771" s="19" t="n">
        <v>218.4598529338837</v>
      </c>
      <c r="K771" s="19" t="n">
        <v>96.50729489326476</v>
      </c>
      <c r="L771" s="19" t="n">
        <v>172.7276436686516</v>
      </c>
      <c r="M771" s="19" t="n">
        <v>218.4598529338837</v>
      </c>
      <c r="N771" s="17" t="inlineStr">
        <is>
          <t>B</t>
        </is>
      </c>
      <c r="O771" s="19" t="n">
        <v>95.52180775403976</v>
      </c>
      <c r="P771" s="18" t="inlineStr">
        <is>
          <t>KHÔNG ĐỀ XUẤT TĂNG</t>
        </is>
      </c>
      <c r="Q771" s="17" t="inlineStr">
        <is>
          <t>Có</t>
        </is>
      </c>
      <c r="R771" s="20" t="n"/>
      <c r="S771" s="20" t="n"/>
      <c r="T771" s="21" t="n"/>
      <c r="U771" s="21" t="n"/>
      <c r="V771" s="22">
        <f>IF(U771="A",K771,IF(U771="B",L771,IF(U771="C",M771,IF(N771="A",K771,IF(N771="B",L771,M771)))))</f>
        <v/>
      </c>
      <c r="W771" s="22">
        <f>IF(R771="",O771,MAX(V771-R771-N(S771),0))</f>
        <v/>
      </c>
      <c r="X771" s="20" t="n"/>
      <c r="Y771" s="23">
        <f>IF(OR(X771="",W771=0),"",X771/W771-1)</f>
        <v/>
      </c>
      <c r="Z771" s="24" t="n"/>
      <c r="AA771" s="21" t="n"/>
      <c r="AB771" s="25" t="n"/>
      <c r="AC771" s="26">
        <f>IF(T771="","Chưa quyết định",IF(OR(Z771="",AA771=""),"⚠ Thiếu lý do/người duyệt",IF(AND(X771&lt;&gt;"",N(X771)+N(R771)+N(S771)&gt;M771*1.001,R771&lt;&gt;""),"⚠ Vượt mục tiêu P90",IF(AND(Y771&lt;&gt;"",ABS(N(Y771))&gt;0.3),"⚠ Lệch &gt; 30% so với nhu cầu",IF(Q771="Có","ℹ Kiểm tra ngoại suy KM","✓ Hợp lệ")))))</f>
        <v/>
      </c>
    </row>
    <row r="772">
      <c r="A772" s="16" t="n">
        <v>768</v>
      </c>
      <c r="B772" s="17" t="inlineStr">
        <is>
          <t>DEC-S18-PLAYERS_AND_ELECTRONICS</t>
        </is>
      </c>
      <c r="C772" s="16" t="n">
        <v>18</v>
      </c>
      <c r="D772" s="17" t="inlineStr">
        <is>
          <t>PLAYERS AND ELECTRONICS</t>
        </is>
      </c>
      <c r="E772" s="17" t="inlineStr">
        <is>
          <t>HIGH</t>
        </is>
      </c>
      <c r="F772" s="17" t="inlineStr">
        <is>
          <t>TRUNG BÌNH</t>
        </is>
      </c>
      <c r="G772" s="18" t="inlineStr">
        <is>
          <t>RISK_HIGH · PROMO_EXTRAPOLATION</t>
        </is>
      </c>
      <c r="H772" s="19" t="n">
        <v>16.75526189804077</v>
      </c>
      <c r="I772" s="19" t="n">
        <v>95.9449520111084</v>
      </c>
      <c r="J772" s="19" t="n">
        <v>217.8975100517273</v>
      </c>
      <c r="K772" s="19" t="n">
        <v>95.9449520111084</v>
      </c>
      <c r="L772" s="19" t="n">
        <v>172.1653007864952</v>
      </c>
      <c r="M772" s="19" t="n">
        <v>217.8975100517273</v>
      </c>
      <c r="N772" s="17" t="inlineStr">
        <is>
          <t>B</t>
        </is>
      </c>
      <c r="O772" s="19" t="n">
        <v>95.40933917760847</v>
      </c>
      <c r="P772" s="18" t="inlineStr">
        <is>
          <t>KHÔNG ĐỀ XUẤT TĂNG</t>
        </is>
      </c>
      <c r="Q772" s="17" t="inlineStr">
        <is>
          <t>Có</t>
        </is>
      </c>
      <c r="R772" s="20" t="n"/>
      <c r="S772" s="20" t="n"/>
      <c r="T772" s="21" t="n"/>
      <c r="U772" s="21" t="n"/>
      <c r="V772" s="22">
        <f>IF(U772="A",K772,IF(U772="B",L772,IF(U772="C",M772,IF(N772="A",K772,IF(N772="B",L772,M772)))))</f>
        <v/>
      </c>
      <c r="W772" s="22">
        <f>IF(R772="",O772,MAX(V772-R772-N(S772),0))</f>
        <v/>
      </c>
      <c r="X772" s="20" t="n"/>
      <c r="Y772" s="23">
        <f>IF(OR(X772="",W772=0),"",X772/W772-1)</f>
        <v/>
      </c>
      <c r="Z772" s="24" t="n"/>
      <c r="AA772" s="21" t="n"/>
      <c r="AB772" s="25" t="n"/>
      <c r="AC772" s="26">
        <f>IF(T772="","Chưa quyết định",IF(OR(Z772="",AA772=""),"⚠ Thiếu lý do/người duyệt",IF(AND(X772&lt;&gt;"",N(X772)+N(R772)+N(S772)&gt;M772*1.001,R772&lt;&gt;""),"⚠ Vượt mục tiêu P90",IF(AND(Y772&lt;&gt;"",ABS(N(Y772))&gt;0.3),"⚠ Lệch &gt; 30% so với nhu cầu",IF(Q772="Có","ℹ Kiểm tra ngoại suy KM","✓ Hợp lệ")))))</f>
        <v/>
      </c>
    </row>
    <row r="773">
      <c r="A773" s="16" t="n">
        <v>769</v>
      </c>
      <c r="B773" s="17" t="inlineStr">
        <is>
          <t>DEC-S06-AUTOMOTIVE</t>
        </is>
      </c>
      <c r="C773" s="16" t="n">
        <v>6</v>
      </c>
      <c r="D773" s="17" t="inlineStr">
        <is>
          <t>AUTOMOTIVE</t>
        </is>
      </c>
      <c r="E773" s="17" t="inlineStr">
        <is>
          <t>HIGH</t>
        </is>
      </c>
      <c r="F773" s="17" t="inlineStr">
        <is>
          <t>TRUNG BÌNH</t>
        </is>
      </c>
      <c r="G773" s="18" t="inlineStr">
        <is>
          <t>RISK_HIGH · PROMO_EXTRAPOLATION</t>
        </is>
      </c>
      <c r="H773" s="19" t="n">
        <v>13.86833357810974</v>
      </c>
      <c r="I773" s="19" t="n">
        <v>95.93450474739076</v>
      </c>
      <c r="J773" s="19" t="n">
        <v>220.2760148048401</v>
      </c>
      <c r="K773" s="19" t="n">
        <v>95.93450474739076</v>
      </c>
      <c r="L773" s="19" t="n">
        <v>173.6479485332966</v>
      </c>
      <c r="M773" s="19" t="n">
        <v>220.2760148048401</v>
      </c>
      <c r="N773" s="17" t="inlineStr">
        <is>
          <t>B</t>
        </is>
      </c>
      <c r="O773" s="19" t="n">
        <v>96.90034473538398</v>
      </c>
      <c r="P773" s="18" t="inlineStr">
        <is>
          <t>KHÔNG ĐỀ XUẤT TĂNG</t>
        </is>
      </c>
      <c r="Q773" s="17" t="inlineStr">
        <is>
          <t>Có</t>
        </is>
      </c>
      <c r="R773" s="20" t="n"/>
      <c r="S773" s="20" t="n"/>
      <c r="T773" s="21" t="n"/>
      <c r="U773" s="21" t="n"/>
      <c r="V773" s="22">
        <f>IF(U773="A",K773,IF(U773="B",L773,IF(U773="C",M773,IF(N773="A",K773,IF(N773="B",L773,M773)))))</f>
        <v/>
      </c>
      <c r="W773" s="22">
        <f>IF(R773="",O773,MAX(V773-R773-N(S773),0))</f>
        <v/>
      </c>
      <c r="X773" s="20" t="n"/>
      <c r="Y773" s="23">
        <f>IF(OR(X773="",W773=0),"",X773/W773-1)</f>
        <v/>
      </c>
      <c r="Z773" s="24" t="n"/>
      <c r="AA773" s="21" t="n"/>
      <c r="AB773" s="25" t="n"/>
      <c r="AC773" s="26">
        <f>IF(T773="","Chưa quyết định",IF(OR(Z773="",AA773=""),"⚠ Thiếu lý do/người duyệt",IF(AND(X773&lt;&gt;"",N(X773)+N(R773)+N(S773)&gt;M773*1.001,R773&lt;&gt;""),"⚠ Vượt mục tiêu P90",IF(AND(Y773&lt;&gt;"",ABS(N(Y773))&gt;0.3),"⚠ Lệch &gt; 30% so với nhu cầu",IF(Q773="Có","ℹ Kiểm tra ngoại suy KM","✓ Hợp lệ")))))</f>
        <v/>
      </c>
    </row>
    <row r="774">
      <c r="A774" s="16" t="n">
        <v>770</v>
      </c>
      <c r="B774" s="17" t="inlineStr">
        <is>
          <t>DEC-S29-AUTOMOTIVE</t>
        </is>
      </c>
      <c r="C774" s="16" t="n">
        <v>29</v>
      </c>
      <c r="D774" s="17" t="inlineStr">
        <is>
          <t>AUTOMOTIVE</t>
        </is>
      </c>
      <c r="E774" s="17" t="inlineStr">
        <is>
          <t>HIGH</t>
        </is>
      </c>
      <c r="F774" s="17" t="inlineStr">
        <is>
          <t>TRUNG BÌNH</t>
        </is>
      </c>
      <c r="G774" s="18" t="inlineStr">
        <is>
          <t>RISK_HIGH · PROMO_EXTRAPOLATION</t>
        </is>
      </c>
      <c r="H774" s="19" t="n">
        <v>17.4940083026886</v>
      </c>
      <c r="I774" s="19" t="n">
        <v>95.82645523548126</v>
      </c>
      <c r="J774" s="19" t="n">
        <v>217.7790132761002</v>
      </c>
      <c r="K774" s="19" t="n">
        <v>95.82645523548126</v>
      </c>
      <c r="L774" s="19" t="n">
        <v>172.0468040108681</v>
      </c>
      <c r="M774" s="19" t="n">
        <v>217.7790132761002</v>
      </c>
      <c r="N774" s="17" t="inlineStr">
        <is>
          <t>B</t>
        </is>
      </c>
      <c r="O774" s="19" t="n">
        <v>95.38563982248306</v>
      </c>
      <c r="P774" s="18" t="inlineStr">
        <is>
          <t>KHÔNG ĐỀ XUẤT TĂNG</t>
        </is>
      </c>
      <c r="Q774" s="17" t="inlineStr">
        <is>
          <t>Có</t>
        </is>
      </c>
      <c r="R774" s="20" t="n"/>
      <c r="S774" s="20" t="n"/>
      <c r="T774" s="21" t="n"/>
      <c r="U774" s="21" t="n"/>
      <c r="V774" s="22">
        <f>IF(U774="A",K774,IF(U774="B",L774,IF(U774="C",M774,IF(N774="A",K774,IF(N774="B",L774,M774)))))</f>
        <v/>
      </c>
      <c r="W774" s="22">
        <f>IF(R774="",O774,MAX(V774-R774-N(S774),0))</f>
        <v/>
      </c>
      <c r="X774" s="20" t="n"/>
      <c r="Y774" s="23">
        <f>IF(OR(X774="",W774=0),"",X774/W774-1)</f>
        <v/>
      </c>
      <c r="Z774" s="24" t="n"/>
      <c r="AA774" s="21" t="n"/>
      <c r="AB774" s="25" t="n"/>
      <c r="AC774" s="26">
        <f>IF(T774="","Chưa quyết định",IF(OR(Z774="",AA774=""),"⚠ Thiếu lý do/người duyệt",IF(AND(X774&lt;&gt;"",N(X774)+N(R774)+N(S774)&gt;M774*1.001,R774&lt;&gt;""),"⚠ Vượt mục tiêu P90",IF(AND(Y774&lt;&gt;"",ABS(N(Y774))&gt;0.3),"⚠ Lệch &gt; 30% so với nhu cầu",IF(Q774="Có","ℹ Kiểm tra ngoại suy KM","✓ Hợp lệ")))))</f>
        <v/>
      </c>
    </row>
    <row r="775">
      <c r="A775" s="16" t="n">
        <v>771</v>
      </c>
      <c r="B775" s="17" t="inlineStr">
        <is>
          <t>DEC-S02-AUTOMOTIVE</t>
        </is>
      </c>
      <c r="C775" s="16" t="n">
        <v>2</v>
      </c>
      <c r="D775" s="17" t="inlineStr">
        <is>
          <t>AUTOMOTIVE</t>
        </is>
      </c>
      <c r="E775" s="17" t="inlineStr">
        <is>
          <t>HIGH</t>
        </is>
      </c>
      <c r="F775" s="17" t="inlineStr">
        <is>
          <t>TRUNG BÌNH</t>
        </is>
      </c>
      <c r="G775" s="18" t="inlineStr">
        <is>
          <t>RISK_HIGH · PROMO_EXTRAPOLATION</t>
        </is>
      </c>
      <c r="H775" s="19" t="n">
        <v>19.7369556427002</v>
      </c>
      <c r="I775" s="19" t="n">
        <v>95.28355741500854</v>
      </c>
      <c r="J775" s="19" t="n">
        <v>214.847163438797</v>
      </c>
      <c r="K775" s="19" t="n">
        <v>95.28355741500854</v>
      </c>
      <c r="L775" s="19" t="n">
        <v>170.0108111798763</v>
      </c>
      <c r="M775" s="19" t="n">
        <v>214.847163438797</v>
      </c>
      <c r="N775" s="17" t="inlineStr">
        <is>
          <t>B</t>
        </is>
      </c>
      <c r="O775" s="19" t="n">
        <v>93.78396524786947</v>
      </c>
      <c r="P775" s="18" t="inlineStr">
        <is>
          <t>KHÔNG ĐỀ XUẤT TĂNG</t>
        </is>
      </c>
      <c r="Q775" s="17" t="inlineStr">
        <is>
          <t>Có</t>
        </is>
      </c>
      <c r="R775" s="20" t="n"/>
      <c r="S775" s="20" t="n"/>
      <c r="T775" s="21" t="n"/>
      <c r="U775" s="21" t="n"/>
      <c r="V775" s="22">
        <f>IF(U775="A",K775,IF(U775="B",L775,IF(U775="C",M775,IF(N775="A",K775,IF(N775="B",L775,M775)))))</f>
        <v/>
      </c>
      <c r="W775" s="22">
        <f>IF(R775="",O775,MAX(V775-R775-N(S775),0))</f>
        <v/>
      </c>
      <c r="X775" s="20" t="n"/>
      <c r="Y775" s="23">
        <f>IF(OR(X775="",W775=0),"",X775/W775-1)</f>
        <v/>
      </c>
      <c r="Z775" s="24" t="n"/>
      <c r="AA775" s="21" t="n"/>
      <c r="AB775" s="25" t="n"/>
      <c r="AC775" s="26">
        <f>IF(T775="","Chưa quyết định",IF(OR(Z775="",AA775=""),"⚠ Thiếu lý do/người duyệt",IF(AND(X775&lt;&gt;"",N(X775)+N(R775)+N(S775)&gt;M775*1.001,R775&lt;&gt;""),"⚠ Vượt mục tiêu P90",IF(AND(Y775&lt;&gt;"",ABS(N(Y775))&gt;0.3),"⚠ Lệch &gt; 30% so với nhu cầu",IF(Q775="Có","ℹ Kiểm tra ngoại suy KM","✓ Hợp lệ")))))</f>
        <v/>
      </c>
    </row>
    <row r="776">
      <c r="A776" s="16" t="n">
        <v>772</v>
      </c>
      <c r="B776" s="17" t="inlineStr">
        <is>
          <t>DEC-S13-PLAYERS_AND_ELECTRONICS</t>
        </is>
      </c>
      <c r="C776" s="16" t="n">
        <v>13</v>
      </c>
      <c r="D776" s="17" t="inlineStr">
        <is>
          <t>PLAYERS AND ELECTRONICS</t>
        </is>
      </c>
      <c r="E776" s="17" t="inlineStr">
        <is>
          <t>HIGH</t>
        </is>
      </c>
      <c r="F776" s="17" t="inlineStr">
        <is>
          <t>TRUNG BÌNH</t>
        </is>
      </c>
      <c r="G776" s="18" t="inlineStr">
        <is>
          <t>RISK_HIGH · PROMO_EXTRAPOLATION</t>
        </is>
      </c>
      <c r="H776" s="19" t="n">
        <v>20.18507347106934</v>
      </c>
      <c r="I776" s="19" t="n">
        <v>93.35052853822708</v>
      </c>
      <c r="J776" s="19" t="n">
        <v>210.7850488781929</v>
      </c>
      <c r="K776" s="19" t="n">
        <v>93.35052853822708</v>
      </c>
      <c r="L776" s="19" t="n">
        <v>166.7471037507057</v>
      </c>
      <c r="M776" s="19" t="n">
        <v>210.7850488781929</v>
      </c>
      <c r="N776" s="17" t="inlineStr">
        <is>
          <t>B</t>
        </is>
      </c>
      <c r="O776" s="19" t="n">
        <v>92.06668092012406</v>
      </c>
      <c r="P776" s="18" t="inlineStr">
        <is>
          <t>KHÔNG ĐỀ XUẤT TĂNG</t>
        </is>
      </c>
      <c r="Q776" s="17" t="inlineStr">
        <is>
          <t>Có</t>
        </is>
      </c>
      <c r="R776" s="20" t="n"/>
      <c r="S776" s="20" t="n"/>
      <c r="T776" s="21" t="n"/>
      <c r="U776" s="21" t="n"/>
      <c r="V776" s="22">
        <f>IF(U776="A",K776,IF(U776="B",L776,IF(U776="C",M776,IF(N776="A",K776,IF(N776="B",L776,M776)))))</f>
        <v/>
      </c>
      <c r="W776" s="22">
        <f>IF(R776="",O776,MAX(V776-R776-N(S776),0))</f>
        <v/>
      </c>
      <c r="X776" s="20" t="n"/>
      <c r="Y776" s="23">
        <f>IF(OR(X776="",W776=0),"",X776/W776-1)</f>
        <v/>
      </c>
      <c r="Z776" s="24" t="n"/>
      <c r="AA776" s="21" t="n"/>
      <c r="AB776" s="25" t="n"/>
      <c r="AC776" s="26">
        <f>IF(T776="","Chưa quyết định",IF(OR(Z776="",AA776=""),"⚠ Thiếu lý do/người duyệt",IF(AND(X776&lt;&gt;"",N(X776)+N(R776)+N(S776)&gt;M776*1.001,R776&lt;&gt;""),"⚠ Vượt mục tiêu P90",IF(AND(Y776&lt;&gt;"",ABS(N(Y776))&gt;0.3),"⚠ Lệch &gt; 30% so với nhu cầu",IF(Q776="Có","ℹ Kiểm tra ngoại suy KM","✓ Hợp lệ")))))</f>
        <v/>
      </c>
    </row>
    <row r="777">
      <c r="A777" s="16" t="n">
        <v>773</v>
      </c>
      <c r="B777" s="17" t="inlineStr">
        <is>
          <t>DEC-S08-HARDWARE</t>
        </is>
      </c>
      <c r="C777" s="16" t="n">
        <v>8</v>
      </c>
      <c r="D777" s="17" t="inlineStr">
        <is>
          <t>HARDWARE</t>
        </is>
      </c>
      <c r="E777" s="17" t="inlineStr">
        <is>
          <t>HIGH</t>
        </is>
      </c>
      <c r="F777" s="17" t="inlineStr">
        <is>
          <t>TRUNG BÌNH</t>
        </is>
      </c>
      <c r="G777" s="18" t="inlineStr">
        <is>
          <t>RISK_HIGH · PROMO_EXTRAPOLATION</t>
        </is>
      </c>
      <c r="H777" s="19" t="n">
        <v>18.10831999778748</v>
      </c>
      <c r="I777" s="19" t="n">
        <v>93.30615973472597</v>
      </c>
      <c r="J777" s="19" t="n">
        <v>212.8697657585144</v>
      </c>
      <c r="K777" s="19" t="n">
        <v>93.30615973472597</v>
      </c>
      <c r="L777" s="19" t="n">
        <v>168.0334134995937</v>
      </c>
      <c r="M777" s="19" t="n">
        <v>212.8697657585144</v>
      </c>
      <c r="N777" s="17" t="inlineStr">
        <is>
          <t>B</t>
        </is>
      </c>
      <c r="O777" s="19" t="n">
        <v>93.38848571181298</v>
      </c>
      <c r="P777" s="18" t="inlineStr">
        <is>
          <t>KHÔNG ĐỀ XUẤT TĂNG</t>
        </is>
      </c>
      <c r="Q777" s="17" t="inlineStr">
        <is>
          <t>Có</t>
        </is>
      </c>
      <c r="R777" s="20" t="n"/>
      <c r="S777" s="20" t="n"/>
      <c r="T777" s="21" t="n"/>
      <c r="U777" s="21" t="n"/>
      <c r="V777" s="22">
        <f>IF(U777="A",K777,IF(U777="B",L777,IF(U777="C",M777,IF(N777="A",K777,IF(N777="B",L777,M777)))))</f>
        <v/>
      </c>
      <c r="W777" s="22">
        <f>IF(R777="",O777,MAX(V777-R777-N(S777),0))</f>
        <v/>
      </c>
      <c r="X777" s="20" t="n"/>
      <c r="Y777" s="23">
        <f>IF(OR(X777="",W777=0),"",X777/W777-1)</f>
        <v/>
      </c>
      <c r="Z777" s="24" t="n"/>
      <c r="AA777" s="21" t="n"/>
      <c r="AB777" s="25" t="n"/>
      <c r="AC777" s="26">
        <f>IF(T777="","Chưa quyết định",IF(OR(Z777="",AA777=""),"⚠ Thiếu lý do/người duyệt",IF(AND(X777&lt;&gt;"",N(X777)+N(R777)+N(S777)&gt;M777*1.001,R777&lt;&gt;""),"⚠ Vượt mục tiêu P90",IF(AND(Y777&lt;&gt;"",ABS(N(Y777))&gt;0.3),"⚠ Lệch &gt; 30% so với nhu cầu",IF(Q777="Có","ℹ Kiểm tra ngoại suy KM","✓ Hợp lệ")))))</f>
        <v/>
      </c>
    </row>
    <row r="778">
      <c r="A778" s="16" t="n">
        <v>774</v>
      </c>
      <c r="B778" s="17" t="inlineStr">
        <is>
          <t>DEC-S18-LAWN_AND_GARDEN</t>
        </is>
      </c>
      <c r="C778" s="16" t="n">
        <v>18</v>
      </c>
      <c r="D778" s="17" t="inlineStr">
        <is>
          <t>LAWN AND GARDEN</t>
        </is>
      </c>
      <c r="E778" s="17" t="inlineStr">
        <is>
          <t>HIGH</t>
        </is>
      </c>
      <c r="F778" s="17" t="inlineStr">
        <is>
          <t>TRUNG BÌNH</t>
        </is>
      </c>
      <c r="G778" s="18" t="inlineStr">
        <is>
          <t>RISK_HIGH · PROMO_EXTRAPOLATION</t>
        </is>
      </c>
      <c r="H778" s="19" t="n">
        <v>18.70488933324814</v>
      </c>
      <c r="I778" s="19" t="n">
        <v>93.12292349338531</v>
      </c>
      <c r="J778" s="19" t="n">
        <v>216.3423275709152</v>
      </c>
      <c r="K778" s="19" t="n">
        <v>93.12292349338531</v>
      </c>
      <c r="L778" s="19" t="n">
        <v>170.1350510418415</v>
      </c>
      <c r="M778" s="19" t="n">
        <v>216.3423275709152</v>
      </c>
      <c r="N778" s="17" t="inlineStr">
        <is>
          <t>B</t>
        </is>
      </c>
      <c r="O778" s="19" t="n">
        <v>95.63671224713322</v>
      </c>
      <c r="P778" s="18" t="inlineStr">
        <is>
          <t>KHÔNG ĐỀ XUẤT TĂNG</t>
        </is>
      </c>
      <c r="Q778" s="17" t="inlineStr">
        <is>
          <t>Có</t>
        </is>
      </c>
      <c r="R778" s="20" t="n"/>
      <c r="S778" s="20" t="n"/>
      <c r="T778" s="21" t="n"/>
      <c r="U778" s="21" t="n"/>
      <c r="V778" s="22">
        <f>IF(U778="A",K778,IF(U778="B",L778,IF(U778="C",M778,IF(N778="A",K778,IF(N778="B",L778,M778)))))</f>
        <v/>
      </c>
      <c r="W778" s="22">
        <f>IF(R778="",O778,MAX(V778-R778-N(S778),0))</f>
        <v/>
      </c>
      <c r="X778" s="20" t="n"/>
      <c r="Y778" s="23">
        <f>IF(OR(X778="",W778=0),"",X778/W778-1)</f>
        <v/>
      </c>
      <c r="Z778" s="24" t="n"/>
      <c r="AA778" s="21" t="n"/>
      <c r="AB778" s="25" t="n"/>
      <c r="AC778" s="26">
        <f>IF(T778="","Chưa quyết định",IF(OR(Z778="",AA778=""),"⚠ Thiếu lý do/người duyệt",IF(AND(X778&lt;&gt;"",N(X778)+N(R778)+N(S778)&gt;M778*1.001,R778&lt;&gt;""),"⚠ Vượt mục tiêu P90",IF(AND(Y778&lt;&gt;"",ABS(N(Y778))&gt;0.3),"⚠ Lệch &gt; 30% so với nhu cầu",IF(Q778="Có","ℹ Kiểm tra ngoại suy KM","✓ Hợp lệ")))))</f>
        <v/>
      </c>
    </row>
    <row r="779">
      <c r="A779" s="16" t="n">
        <v>775</v>
      </c>
      <c r="B779" s="17" t="inlineStr">
        <is>
          <t>DEC-S53-PLAYERS_AND_ELECTRONICS</t>
        </is>
      </c>
      <c r="C779" s="16" t="n">
        <v>53</v>
      </c>
      <c r="D779" s="17" t="inlineStr">
        <is>
          <t>PLAYERS AND ELECTRONICS</t>
        </is>
      </c>
      <c r="E779" s="17" t="inlineStr">
        <is>
          <t>HIGH</t>
        </is>
      </c>
      <c r="F779" s="17" t="inlineStr">
        <is>
          <t>TRUNG BÌNH</t>
        </is>
      </c>
      <c r="G779" s="18" t="inlineStr">
        <is>
          <t>RISK_HIGH · PROMO_EXTRAPOLATION</t>
        </is>
      </c>
      <c r="H779" s="19" t="n">
        <v>20.46013498306274</v>
      </c>
      <c r="I779" s="19" t="n">
        <v>92.29612565040588</v>
      </c>
      <c r="J779" s="19" t="n">
        <v>209.4707796573639</v>
      </c>
      <c r="K779" s="19" t="n">
        <v>92.29612565040588</v>
      </c>
      <c r="L779" s="19" t="n">
        <v>165.5302844047546</v>
      </c>
      <c r="M779" s="19" t="n">
        <v>209.4707796573639</v>
      </c>
      <c r="N779" s="17" t="inlineStr">
        <is>
          <t>B</t>
        </is>
      </c>
      <c r="O779" s="19" t="n">
        <v>91.69338388442992</v>
      </c>
      <c r="P779" s="18" t="inlineStr">
        <is>
          <t>KHÔNG ĐỀ XUẤT TĂNG</t>
        </is>
      </c>
      <c r="Q779" s="17" t="inlineStr">
        <is>
          <t>Có</t>
        </is>
      </c>
      <c r="R779" s="20" t="n"/>
      <c r="S779" s="20" t="n"/>
      <c r="T779" s="21" t="n"/>
      <c r="U779" s="21" t="n"/>
      <c r="V779" s="22">
        <f>IF(U779="A",K779,IF(U779="B",L779,IF(U779="C",M779,IF(N779="A",K779,IF(N779="B",L779,M779)))))</f>
        <v/>
      </c>
      <c r="W779" s="22">
        <f>IF(R779="",O779,MAX(V779-R779-N(S779),0))</f>
        <v/>
      </c>
      <c r="X779" s="20" t="n"/>
      <c r="Y779" s="23">
        <f>IF(OR(X779="",W779=0),"",X779/W779-1)</f>
        <v/>
      </c>
      <c r="Z779" s="24" t="n"/>
      <c r="AA779" s="21" t="n"/>
      <c r="AB779" s="25" t="n"/>
      <c r="AC779" s="26">
        <f>IF(T779="","Chưa quyết định",IF(OR(Z779="",AA779=""),"⚠ Thiếu lý do/người duyệt",IF(AND(X779&lt;&gt;"",N(X779)+N(R779)+N(S779)&gt;M779*1.001,R779&lt;&gt;""),"⚠ Vượt mục tiêu P90",IF(AND(Y779&lt;&gt;"",ABS(N(Y779))&gt;0.3),"⚠ Lệch &gt; 30% so với nhu cầu",IF(Q779="Có","ℹ Kiểm tra ngoại suy KM","✓ Hợp lệ")))))</f>
        <v/>
      </c>
    </row>
    <row r="780">
      <c r="A780" s="16" t="n">
        <v>776</v>
      </c>
      <c r="B780" s="17" t="inlineStr">
        <is>
          <t>DEC-S52-SEAFOOD</t>
        </is>
      </c>
      <c r="C780" s="16" t="n">
        <v>52</v>
      </c>
      <c r="D780" s="17" t="inlineStr">
        <is>
          <t>SEAFOOD</t>
        </is>
      </c>
      <c r="E780" s="17" t="inlineStr">
        <is>
          <t>HIGH</t>
        </is>
      </c>
      <c r="F780" s="17" t="inlineStr">
        <is>
          <t>TRUNG BÌNH</t>
        </is>
      </c>
      <c r="G780" s="18" t="inlineStr">
        <is>
          <t>RISK_HIGH · PROMO_EXTRAPOLATION</t>
        </is>
      </c>
      <c r="H780" s="19" t="n">
        <v>33.37261297404766</v>
      </c>
      <c r="I780" s="19" t="n">
        <v>91.94824473559856</v>
      </c>
      <c r="J780" s="19" t="n">
        <v>207.9181521147489</v>
      </c>
      <c r="K780" s="19" t="n">
        <v>91.94824473559856</v>
      </c>
      <c r="L780" s="19" t="n">
        <v>164.4294368475675</v>
      </c>
      <c r="M780" s="19" t="n">
        <v>207.9181521147489</v>
      </c>
      <c r="N780" s="17" t="inlineStr">
        <is>
          <t>B</t>
        </is>
      </c>
      <c r="O780" s="19" t="n">
        <v>90.87084105908868</v>
      </c>
      <c r="P780" s="18" t="inlineStr">
        <is>
          <t>CÂN NHẮC THỬ NGHIỆM</t>
        </is>
      </c>
      <c r="Q780" s="17" t="inlineStr">
        <is>
          <t>Có</t>
        </is>
      </c>
      <c r="R780" s="20" t="n"/>
      <c r="S780" s="20" t="n"/>
      <c r="T780" s="21" t="n"/>
      <c r="U780" s="21" t="n"/>
      <c r="V780" s="22">
        <f>IF(U780="A",K780,IF(U780="B",L780,IF(U780="C",M780,IF(N780="A",K780,IF(N780="B",L780,M780)))))</f>
        <v/>
      </c>
      <c r="W780" s="22">
        <f>IF(R780="",O780,MAX(V780-R780-N(S780),0))</f>
        <v/>
      </c>
      <c r="X780" s="20" t="n"/>
      <c r="Y780" s="23">
        <f>IF(OR(X780="",W780=0),"",X780/W780-1)</f>
        <v/>
      </c>
      <c r="Z780" s="24" t="n"/>
      <c r="AA780" s="21" t="n"/>
      <c r="AB780" s="25" t="n"/>
      <c r="AC780" s="26">
        <f>IF(T780="","Chưa quyết định",IF(OR(Z780="",AA780=""),"⚠ Thiếu lý do/người duyệt",IF(AND(X780&lt;&gt;"",N(X780)+N(R780)+N(S780)&gt;M780*1.001,R780&lt;&gt;""),"⚠ Vượt mục tiêu P90",IF(AND(Y780&lt;&gt;"",ABS(N(Y780))&gt;0.3),"⚠ Lệch &gt; 30% so với nhu cầu",IF(Q780="Có","ℹ Kiểm tra ngoại suy KM","✓ Hợp lệ")))))</f>
        <v/>
      </c>
    </row>
    <row r="781">
      <c r="A781" s="16" t="n">
        <v>777</v>
      </c>
      <c r="B781" s="17" t="inlineStr">
        <is>
          <t>DEC-S19-BEAUTY</t>
        </is>
      </c>
      <c r="C781" s="16" t="n">
        <v>19</v>
      </c>
      <c r="D781" s="17" t="inlineStr">
        <is>
          <t>BEAUTY</t>
        </is>
      </c>
      <c r="E781" s="17" t="inlineStr">
        <is>
          <t>HIGH</t>
        </is>
      </c>
      <c r="F781" s="17" t="inlineStr">
        <is>
          <t>TRUNG BÌNH</t>
        </is>
      </c>
      <c r="G781" s="18" t="inlineStr">
        <is>
          <t>RISK_HIGH · PROMO_EXTRAPOLATION</t>
        </is>
      </c>
      <c r="H781" s="19" t="n">
        <v>33.2525378882885</v>
      </c>
      <c r="I781" s="19" t="n">
        <v>91.39970953762533</v>
      </c>
      <c r="J781" s="19" t="n">
        <v>203.7138188630342</v>
      </c>
      <c r="K781" s="19" t="n">
        <v>91.39970953762533</v>
      </c>
      <c r="L781" s="19" t="n">
        <v>161.5960278660059</v>
      </c>
      <c r="M781" s="19" t="n">
        <v>203.7138188630342</v>
      </c>
      <c r="N781" s="17" t="inlineStr">
        <is>
          <t>B</t>
        </is>
      </c>
      <c r="O781" s="19" t="n">
        <v>88.47626023590564</v>
      </c>
      <c r="P781" s="18" t="inlineStr">
        <is>
          <t>KHÔNG ĐỀ XUẤT TĂNG</t>
        </is>
      </c>
      <c r="Q781" s="17" t="inlineStr">
        <is>
          <t>Có</t>
        </is>
      </c>
      <c r="R781" s="20" t="n"/>
      <c r="S781" s="20" t="n"/>
      <c r="T781" s="21" t="n"/>
      <c r="U781" s="21" t="n"/>
      <c r="V781" s="22">
        <f>IF(U781="A",K781,IF(U781="B",L781,IF(U781="C",M781,IF(N781="A",K781,IF(N781="B",L781,M781)))))</f>
        <v/>
      </c>
      <c r="W781" s="22">
        <f>IF(R781="",O781,MAX(V781-R781-N(S781),0))</f>
        <v/>
      </c>
      <c r="X781" s="20" t="n"/>
      <c r="Y781" s="23">
        <f>IF(OR(X781="",W781=0),"",X781/W781-1)</f>
        <v/>
      </c>
      <c r="Z781" s="24" t="n"/>
      <c r="AA781" s="21" t="n"/>
      <c r="AB781" s="25" t="n"/>
      <c r="AC781" s="26">
        <f>IF(T781="","Chưa quyết định",IF(OR(Z781="",AA781=""),"⚠ Thiếu lý do/người duyệt",IF(AND(X781&lt;&gt;"",N(X781)+N(R781)+N(S781)&gt;M781*1.001,R781&lt;&gt;""),"⚠ Vượt mục tiêu P90",IF(AND(Y781&lt;&gt;"",ABS(N(Y781))&gt;0.3),"⚠ Lệch &gt; 30% so với nhu cầu",IF(Q781="Có","ℹ Kiểm tra ngoại suy KM","✓ Hợp lệ")))))</f>
        <v/>
      </c>
    </row>
    <row r="782">
      <c r="A782" s="16" t="n">
        <v>778</v>
      </c>
      <c r="B782" s="17" t="inlineStr">
        <is>
          <t>DEC-S07-AUTOMOTIVE</t>
        </is>
      </c>
      <c r="C782" s="16" t="n">
        <v>7</v>
      </c>
      <c r="D782" s="17" t="inlineStr">
        <is>
          <t>AUTOMOTIVE</t>
        </is>
      </c>
      <c r="E782" s="17" t="inlineStr">
        <is>
          <t>HIGH</t>
        </is>
      </c>
      <c r="F782" s="17" t="inlineStr">
        <is>
          <t>TRUNG BÌNH</t>
        </is>
      </c>
      <c r="G782" s="18" t="inlineStr">
        <is>
          <t>RISK_HIGH · PROMO_EXTRAPOLATION</t>
        </is>
      </c>
      <c r="H782" s="19" t="n">
        <v>14.84059405326843</v>
      </c>
      <c r="I782" s="19" t="n">
        <v>89.97600793838501</v>
      </c>
      <c r="J782" s="19" t="n">
        <v>209.5396139621734</v>
      </c>
      <c r="K782" s="19" t="n">
        <v>89.97600793838501</v>
      </c>
      <c r="L782" s="19" t="n">
        <v>164.7032617032528</v>
      </c>
      <c r="M782" s="19" t="n">
        <v>209.5396139621734</v>
      </c>
      <c r="N782" s="17" t="inlineStr">
        <is>
          <t>B</t>
        </is>
      </c>
      <c r="O782" s="19" t="n">
        <v>92.72245535254476</v>
      </c>
      <c r="P782" s="18" t="inlineStr">
        <is>
          <t>KHÔNG ĐỀ XUẤT TĂNG</t>
        </is>
      </c>
      <c r="Q782" s="17" t="inlineStr">
        <is>
          <t>Có</t>
        </is>
      </c>
      <c r="R782" s="20" t="n"/>
      <c r="S782" s="20" t="n"/>
      <c r="T782" s="21" t="n"/>
      <c r="U782" s="21" t="n"/>
      <c r="V782" s="22">
        <f>IF(U782="A",K782,IF(U782="B",L782,IF(U782="C",M782,IF(N782="A",K782,IF(N782="B",L782,M782)))))</f>
        <v/>
      </c>
      <c r="W782" s="22">
        <f>IF(R782="",O782,MAX(V782-R782-N(S782),0))</f>
        <v/>
      </c>
      <c r="X782" s="20" t="n"/>
      <c r="Y782" s="23">
        <f>IF(OR(X782="",W782=0),"",X782/W782-1)</f>
        <v/>
      </c>
      <c r="Z782" s="24" t="n"/>
      <c r="AA782" s="21" t="n"/>
      <c r="AB782" s="25" t="n"/>
      <c r="AC782" s="26">
        <f>IF(T782="","Chưa quyết định",IF(OR(Z782="",AA782=""),"⚠ Thiếu lý do/người duyệt",IF(AND(X782&lt;&gt;"",N(X782)+N(R782)+N(S782)&gt;M782*1.001,R782&lt;&gt;""),"⚠ Vượt mục tiêu P90",IF(AND(Y782&lt;&gt;"",ABS(N(Y782))&gt;0.3),"⚠ Lệch &gt; 30% so với nhu cầu",IF(Q782="Có","ℹ Kiểm tra ngoại suy KM","✓ Hợp lệ")))))</f>
        <v/>
      </c>
    </row>
    <row r="783">
      <c r="A783" s="16" t="n">
        <v>779</v>
      </c>
      <c r="B783" s="17" t="inlineStr">
        <is>
          <t>DEC-S28-PET_SUPPLIES</t>
        </is>
      </c>
      <c r="C783" s="16" t="n">
        <v>28</v>
      </c>
      <c r="D783" s="17" t="inlineStr">
        <is>
          <t>PET SUPPLIES</t>
        </is>
      </c>
      <c r="E783" s="17" t="inlineStr">
        <is>
          <t>HIGH</t>
        </is>
      </c>
      <c r="F783" s="17" t="inlineStr">
        <is>
          <t>TRUNG BÌNH</t>
        </is>
      </c>
      <c r="G783" s="18" t="inlineStr">
        <is>
          <t>RISK_HIGH · PROMO_EXTRAPOLATION</t>
        </is>
      </c>
      <c r="H783" s="19" t="n">
        <v>13.47376775741577</v>
      </c>
      <c r="I783" s="19" t="n">
        <v>89.12454843521118</v>
      </c>
      <c r="J783" s="19" t="n">
        <v>208.6881544589996</v>
      </c>
      <c r="K783" s="19" t="n">
        <v>89.12454843521118</v>
      </c>
      <c r="L783" s="19" t="n">
        <v>163.851802200079</v>
      </c>
      <c r="M783" s="19" t="n">
        <v>208.6881544589996</v>
      </c>
      <c r="N783" s="17" t="inlineStr">
        <is>
          <t>B</t>
        </is>
      </c>
      <c r="O783" s="19" t="n">
        <v>92.55216345191002</v>
      </c>
      <c r="P783" s="18" t="inlineStr">
        <is>
          <t>KHÔNG ĐỀ XUẤT TĂNG</t>
        </is>
      </c>
      <c r="Q783" s="17" t="inlineStr">
        <is>
          <t>Có</t>
        </is>
      </c>
      <c r="R783" s="20" t="n"/>
      <c r="S783" s="20" t="n"/>
      <c r="T783" s="21" t="n"/>
      <c r="U783" s="21" t="n"/>
      <c r="V783" s="22">
        <f>IF(U783="A",K783,IF(U783="B",L783,IF(U783="C",M783,IF(N783="A",K783,IF(N783="B",L783,M783)))))</f>
        <v/>
      </c>
      <c r="W783" s="22">
        <f>IF(R783="",O783,MAX(V783-R783-N(S783),0))</f>
        <v/>
      </c>
      <c r="X783" s="20" t="n"/>
      <c r="Y783" s="23">
        <f>IF(OR(X783="",W783=0),"",X783/W783-1)</f>
        <v/>
      </c>
      <c r="Z783" s="24" t="n"/>
      <c r="AA783" s="21" t="n"/>
      <c r="AB783" s="25" t="n"/>
      <c r="AC783" s="26">
        <f>IF(T783="","Chưa quyết định",IF(OR(Z783="",AA783=""),"⚠ Thiếu lý do/người duyệt",IF(AND(X783&lt;&gt;"",N(X783)+N(R783)+N(S783)&gt;M783*1.001,R783&lt;&gt;""),"⚠ Vượt mục tiêu P90",IF(AND(Y783&lt;&gt;"",ABS(N(Y783))&gt;0.3),"⚠ Lệch &gt; 30% so với nhu cầu",IF(Q783="Có","ℹ Kiểm tra ngoại suy KM","✓ Hợp lệ")))))</f>
        <v/>
      </c>
    </row>
    <row r="784">
      <c r="A784" s="16" t="n">
        <v>780</v>
      </c>
      <c r="B784" s="17" t="inlineStr">
        <is>
          <t>DEC-S26-CELEBRATION</t>
        </is>
      </c>
      <c r="C784" s="16" t="n">
        <v>26</v>
      </c>
      <c r="D784" s="17" t="inlineStr">
        <is>
          <t>CELEBRATION</t>
        </is>
      </c>
      <c r="E784" s="17" t="inlineStr">
        <is>
          <t>HIGH</t>
        </is>
      </c>
      <c r="F784" s="17" t="inlineStr">
        <is>
          <t>TRUNG BÌNH</t>
        </is>
      </c>
      <c r="G784" s="18" t="inlineStr">
        <is>
          <t>RISK_HIGH · PROMO_EXTRAPOLATION</t>
        </is>
      </c>
      <c r="H784" s="19" t="n">
        <v>17.97979521751404</v>
      </c>
      <c r="I784" s="19" t="n">
        <v>88.55998086929321</v>
      </c>
      <c r="J784" s="19" t="n">
        <v>205.7346348762512</v>
      </c>
      <c r="K784" s="19" t="n">
        <v>88.55998086929321</v>
      </c>
      <c r="L784" s="19" t="n">
        <v>161.7941396236419</v>
      </c>
      <c r="M784" s="19" t="n">
        <v>205.7346348762512</v>
      </c>
      <c r="N784" s="17" t="inlineStr">
        <is>
          <t>B</t>
        </is>
      </c>
      <c r="O784" s="19" t="n">
        <v>90.94615492820736</v>
      </c>
      <c r="P784" s="18" t="inlineStr">
        <is>
          <t>KHÔNG ĐỀ XUẤT TĂNG</t>
        </is>
      </c>
      <c r="Q784" s="17" t="inlineStr">
        <is>
          <t>Có</t>
        </is>
      </c>
      <c r="R784" s="20" t="n"/>
      <c r="S784" s="20" t="n"/>
      <c r="T784" s="21" t="n"/>
      <c r="U784" s="21" t="n"/>
      <c r="V784" s="22">
        <f>IF(U784="A",K784,IF(U784="B",L784,IF(U784="C",M784,IF(N784="A",K784,IF(N784="B",L784,M784)))))</f>
        <v/>
      </c>
      <c r="W784" s="22">
        <f>IF(R784="",O784,MAX(V784-R784-N(S784),0))</f>
        <v/>
      </c>
      <c r="X784" s="20" t="n"/>
      <c r="Y784" s="23">
        <f>IF(OR(X784="",W784=0),"",X784/W784-1)</f>
        <v/>
      </c>
      <c r="Z784" s="24" t="n"/>
      <c r="AA784" s="21" t="n"/>
      <c r="AB784" s="25" t="n"/>
      <c r="AC784" s="26">
        <f>IF(T784="","Chưa quyết định",IF(OR(Z784="",AA784=""),"⚠ Thiếu lý do/người duyệt",IF(AND(X784&lt;&gt;"",N(X784)+N(R784)+N(S784)&gt;M784*1.001,R784&lt;&gt;""),"⚠ Vượt mục tiêu P90",IF(AND(Y784&lt;&gt;"",ABS(N(Y784))&gt;0.3),"⚠ Lệch &gt; 30% so với nhu cầu",IF(Q784="Có","ℹ Kiểm tra ngoại suy KM","✓ Hợp lệ")))))</f>
        <v/>
      </c>
    </row>
    <row r="785">
      <c r="A785" s="16" t="n">
        <v>781</v>
      </c>
      <c r="B785" s="17" t="inlineStr">
        <is>
          <t>DEC-S23-PLAYERS_AND_ELECTRONICS</t>
        </is>
      </c>
      <c r="C785" s="16" t="n">
        <v>23</v>
      </c>
      <c r="D785" s="17" t="inlineStr">
        <is>
          <t>PLAYERS AND ELECTRONICS</t>
        </is>
      </c>
      <c r="E785" s="17" t="inlineStr">
        <is>
          <t>HIGH</t>
        </is>
      </c>
      <c r="F785" s="17" t="inlineStr">
        <is>
          <t>TRUNG BÌNH</t>
        </is>
      </c>
      <c r="G785" s="18" t="inlineStr">
        <is>
          <t>RISK_HIGH · PROMO_EXTRAPOLATION</t>
        </is>
      </c>
      <c r="H785" s="19" t="n">
        <v>15.50129342079163</v>
      </c>
      <c r="I785" s="19" t="n">
        <v>87.55650734901428</v>
      </c>
      <c r="J785" s="19" t="n">
        <v>204.7311613559723</v>
      </c>
      <c r="K785" s="19" t="n">
        <v>87.55650734901428</v>
      </c>
      <c r="L785" s="19" t="n">
        <v>160.790666103363</v>
      </c>
      <c r="M785" s="19" t="n">
        <v>204.7311613559723</v>
      </c>
      <c r="N785" s="17" t="inlineStr">
        <is>
          <t>B</t>
        </is>
      </c>
      <c r="O785" s="19" t="n">
        <v>90.7454602241516</v>
      </c>
      <c r="P785" s="18" t="inlineStr">
        <is>
          <t>KHÔNG ĐỀ XUẤT TĂNG</t>
        </is>
      </c>
      <c r="Q785" s="17" t="inlineStr">
        <is>
          <t>Có</t>
        </is>
      </c>
      <c r="R785" s="20" t="n"/>
      <c r="S785" s="20" t="n"/>
      <c r="T785" s="21" t="n"/>
      <c r="U785" s="21" t="n"/>
      <c r="V785" s="22">
        <f>IF(U785="A",K785,IF(U785="B",L785,IF(U785="C",M785,IF(N785="A",K785,IF(N785="B",L785,M785)))))</f>
        <v/>
      </c>
      <c r="W785" s="22">
        <f>IF(R785="",O785,MAX(V785-R785-N(S785),0))</f>
        <v/>
      </c>
      <c r="X785" s="20" t="n"/>
      <c r="Y785" s="23">
        <f>IF(OR(X785="",W785=0),"",X785/W785-1)</f>
        <v/>
      </c>
      <c r="Z785" s="24" t="n"/>
      <c r="AA785" s="21" t="n"/>
      <c r="AB785" s="25" t="n"/>
      <c r="AC785" s="26">
        <f>IF(T785="","Chưa quyết định",IF(OR(Z785="",AA785=""),"⚠ Thiếu lý do/người duyệt",IF(AND(X785&lt;&gt;"",N(X785)+N(R785)+N(S785)&gt;M785*1.001,R785&lt;&gt;""),"⚠ Vượt mục tiêu P90",IF(AND(Y785&lt;&gt;"",ABS(N(Y785))&gt;0.3),"⚠ Lệch &gt; 30% so với nhu cầu",IF(Q785="Có","ℹ Kiểm tra ngoại suy KM","✓ Hợp lệ")))))</f>
        <v/>
      </c>
    </row>
    <row r="786">
      <c r="A786" s="16" t="n">
        <v>782</v>
      </c>
      <c r="B786" s="17" t="inlineStr">
        <is>
          <t>DEC-S43-AUTOMOTIVE</t>
        </is>
      </c>
      <c r="C786" s="16" t="n">
        <v>43</v>
      </c>
      <c r="D786" s="17" t="inlineStr">
        <is>
          <t>AUTOMOTIVE</t>
        </is>
      </c>
      <c r="E786" s="17" t="inlineStr">
        <is>
          <t>HIGH</t>
        </is>
      </c>
      <c r="F786" s="17" t="inlineStr">
        <is>
          <t>TRUNG BÌNH</t>
        </is>
      </c>
      <c r="G786" s="18" t="inlineStr">
        <is>
          <t>RISK_HIGH · PROMO_EXTRAPOLATION</t>
        </is>
      </c>
      <c r="H786" s="19" t="n">
        <v>19.68699908256531</v>
      </c>
      <c r="I786" s="19" t="n">
        <v>87.34743237495422</v>
      </c>
      <c r="J786" s="19" t="n">
        <v>202.1331343650818</v>
      </c>
      <c r="K786" s="19" t="n">
        <v>87.34743237495422</v>
      </c>
      <c r="L786" s="19" t="n">
        <v>159.088496118784</v>
      </c>
      <c r="M786" s="19" t="n">
        <v>202.1331343650818</v>
      </c>
      <c r="N786" s="17" t="inlineStr">
        <is>
          <t>B</t>
        </is>
      </c>
      <c r="O786" s="19" t="n">
        <v>89.21055021882057</v>
      </c>
      <c r="P786" s="18" t="inlineStr">
        <is>
          <t>KHÔNG ĐỀ XUẤT TĂNG</t>
        </is>
      </c>
      <c r="Q786" s="17" t="inlineStr">
        <is>
          <t>Có</t>
        </is>
      </c>
      <c r="R786" s="20" t="n"/>
      <c r="S786" s="20" t="n"/>
      <c r="T786" s="21" t="n"/>
      <c r="U786" s="21" t="n"/>
      <c r="V786" s="22">
        <f>IF(U786="A",K786,IF(U786="B",L786,IF(U786="C",M786,IF(N786="A",K786,IF(N786="B",L786,M786)))))</f>
        <v/>
      </c>
      <c r="W786" s="22">
        <f>IF(R786="",O786,MAX(V786-R786-N(S786),0))</f>
        <v/>
      </c>
      <c r="X786" s="20" t="n"/>
      <c r="Y786" s="23">
        <f>IF(OR(X786="",W786=0),"",X786/W786-1)</f>
        <v/>
      </c>
      <c r="Z786" s="24" t="n"/>
      <c r="AA786" s="21" t="n"/>
      <c r="AB786" s="25" t="n"/>
      <c r="AC786" s="26">
        <f>IF(T786="","Chưa quyết định",IF(OR(Z786="",AA786=""),"⚠ Thiếu lý do/người duyệt",IF(AND(X786&lt;&gt;"",N(X786)+N(R786)+N(S786)&gt;M786*1.001,R786&lt;&gt;""),"⚠ Vượt mục tiêu P90",IF(AND(Y786&lt;&gt;"",ABS(N(Y786))&gt;0.3),"⚠ Lệch &gt; 30% so với nhu cầu",IF(Q786="Có","ℹ Kiểm tra ngoại suy KM","✓ Hợp lệ")))))</f>
        <v/>
      </c>
    </row>
    <row r="787">
      <c r="A787" s="16" t="n">
        <v>783</v>
      </c>
      <c r="B787" s="17" t="inlineStr">
        <is>
          <t>DEC-S05-PLAYERS_AND_ELECTRONICS</t>
        </is>
      </c>
      <c r="C787" s="16" t="n">
        <v>5</v>
      </c>
      <c r="D787" s="17" t="inlineStr">
        <is>
          <t>PLAYERS AND ELECTRONICS</t>
        </is>
      </c>
      <c r="E787" s="17" t="inlineStr">
        <is>
          <t>HIGH</t>
        </is>
      </c>
      <c r="F787" s="17" t="inlineStr">
        <is>
          <t>TRUNG BÌNH</t>
        </is>
      </c>
      <c r="G787" s="18" t="inlineStr">
        <is>
          <t>RISK_HIGH · PROMO_EXTRAPOLATION</t>
        </is>
      </c>
      <c r="H787" s="19" t="n">
        <v>16.43214273452759</v>
      </c>
      <c r="I787" s="19" t="n">
        <v>87.26172304153442</v>
      </c>
      <c r="J787" s="19" t="n">
        <v>204.4363770484924</v>
      </c>
      <c r="K787" s="19" t="n">
        <v>87.26172304153442</v>
      </c>
      <c r="L787" s="19" t="n">
        <v>160.4958817958832</v>
      </c>
      <c r="M787" s="19" t="n">
        <v>204.4363770484924</v>
      </c>
      <c r="N787" s="17" t="inlineStr">
        <is>
          <t>B</t>
        </is>
      </c>
      <c r="O787" s="19" t="n">
        <v>90.68650336265564</v>
      </c>
      <c r="P787" s="18" t="inlineStr">
        <is>
          <t>KHÔNG ĐỀ XUẤT TĂNG</t>
        </is>
      </c>
      <c r="Q787" s="17" t="inlineStr">
        <is>
          <t>Có</t>
        </is>
      </c>
      <c r="R787" s="20" t="n"/>
      <c r="S787" s="20" t="n"/>
      <c r="T787" s="21" t="n"/>
      <c r="U787" s="21" t="n"/>
      <c r="V787" s="22">
        <f>IF(U787="A",K787,IF(U787="B",L787,IF(U787="C",M787,IF(N787="A",K787,IF(N787="B",L787,M787)))))</f>
        <v/>
      </c>
      <c r="W787" s="22">
        <f>IF(R787="",O787,MAX(V787-R787-N(S787),0))</f>
        <v/>
      </c>
      <c r="X787" s="20" t="n"/>
      <c r="Y787" s="23">
        <f>IF(OR(X787="",W787=0),"",X787/W787-1)</f>
        <v/>
      </c>
      <c r="Z787" s="24" t="n"/>
      <c r="AA787" s="21" t="n"/>
      <c r="AB787" s="25" t="n"/>
      <c r="AC787" s="26">
        <f>IF(T787="","Chưa quyết định",IF(OR(Z787="",AA787=""),"⚠ Thiếu lý do/người duyệt",IF(AND(X787&lt;&gt;"",N(X787)+N(R787)+N(S787)&gt;M787*1.001,R787&lt;&gt;""),"⚠ Vượt mục tiêu P90",IF(AND(Y787&lt;&gt;"",ABS(N(Y787))&gt;0.3),"⚠ Lệch &gt; 30% so với nhu cầu",IF(Q787="Có","ℹ Kiểm tra ngoại suy KM","✓ Hợp lệ")))))</f>
        <v/>
      </c>
    </row>
    <row r="788">
      <c r="A788" s="16" t="n">
        <v>784</v>
      </c>
      <c r="B788" s="17" t="inlineStr">
        <is>
          <t>DEC-S01-MAGAZINES</t>
        </is>
      </c>
      <c r="C788" s="16" t="n">
        <v>1</v>
      </c>
      <c r="D788" s="17" t="inlineStr">
        <is>
          <t>MAGAZINES</t>
        </is>
      </c>
      <c r="E788" s="17" t="inlineStr">
        <is>
          <t>HIGH</t>
        </is>
      </c>
      <c r="F788" s="17" t="inlineStr">
        <is>
          <t>TRUNG BÌNH</t>
        </is>
      </c>
      <c r="G788" s="18" t="inlineStr">
        <is>
          <t>RISK_HIGH · PROMO_EXTRAPOLATION</t>
        </is>
      </c>
      <c r="H788" s="19" t="n">
        <v>14.36465406417847</v>
      </c>
      <c r="I788" s="19" t="n">
        <v>86.22083616256714</v>
      </c>
      <c r="J788" s="19" t="n">
        <v>203.3954901695251</v>
      </c>
      <c r="K788" s="19" t="n">
        <v>86.22083616256714</v>
      </c>
      <c r="L788" s="19" t="n">
        <v>159.4549949169159</v>
      </c>
      <c r="M788" s="19" t="n">
        <v>203.3954901695251</v>
      </c>
      <c r="N788" s="17" t="inlineStr">
        <is>
          <t>B</t>
        </is>
      </c>
      <c r="O788" s="19" t="n">
        <v>90.47832598686216</v>
      </c>
      <c r="P788" s="18" t="inlineStr">
        <is>
          <t>KHÔNG ĐỀ XUẤT TĂNG</t>
        </is>
      </c>
      <c r="Q788" s="17" t="inlineStr">
        <is>
          <t>Có</t>
        </is>
      </c>
      <c r="R788" s="20" t="n"/>
      <c r="S788" s="20" t="n"/>
      <c r="T788" s="21" t="n"/>
      <c r="U788" s="21" t="n"/>
      <c r="V788" s="22">
        <f>IF(U788="A",K788,IF(U788="B",L788,IF(U788="C",M788,IF(N788="A",K788,IF(N788="B",L788,M788)))))</f>
        <v/>
      </c>
      <c r="W788" s="22">
        <f>IF(R788="",O788,MAX(V788-R788-N(S788),0))</f>
        <v/>
      </c>
      <c r="X788" s="20" t="n"/>
      <c r="Y788" s="23">
        <f>IF(OR(X788="",W788=0),"",X788/W788-1)</f>
        <v/>
      </c>
      <c r="Z788" s="24" t="n"/>
      <c r="AA788" s="21" t="n"/>
      <c r="AB788" s="25" t="n"/>
      <c r="AC788" s="26">
        <f>IF(T788="","Chưa quyết định",IF(OR(Z788="",AA788=""),"⚠ Thiếu lý do/người duyệt",IF(AND(X788&lt;&gt;"",N(X788)+N(R788)+N(S788)&gt;M788*1.001,R788&lt;&gt;""),"⚠ Vượt mục tiêu P90",IF(AND(Y788&lt;&gt;"",ABS(N(Y788))&gt;0.3),"⚠ Lệch &gt; 30% so với nhu cầu",IF(Q788="Có","ℹ Kiểm tra ngoại suy KM","✓ Hợp lệ")))))</f>
        <v/>
      </c>
    </row>
    <row r="789">
      <c r="A789" s="16" t="n">
        <v>785</v>
      </c>
      <c r="B789" s="17" t="inlineStr">
        <is>
          <t>DEC-S14-BEAUTY</t>
        </is>
      </c>
      <c r="C789" s="16" t="n">
        <v>14</v>
      </c>
      <c r="D789" s="17" t="inlineStr">
        <is>
          <t>BEAUTY</t>
        </is>
      </c>
      <c r="E789" s="17" t="inlineStr">
        <is>
          <t>HIGH</t>
        </is>
      </c>
      <c r="F789" s="17" t="inlineStr">
        <is>
          <t>TRUNG BÌNH</t>
        </is>
      </c>
      <c r="G789" s="18" t="inlineStr">
        <is>
          <t>RISK_HIGH · PROMO_EXTRAPOLATION</t>
        </is>
      </c>
      <c r="H789" s="19" t="n">
        <v>20.67112588882446</v>
      </c>
      <c r="I789" s="19" t="n">
        <v>85.55041827261448</v>
      </c>
      <c r="J789" s="19" t="n">
        <v>203.9919183164835</v>
      </c>
      <c r="K789" s="19" t="n">
        <v>85.55041827261448</v>
      </c>
      <c r="L789" s="19" t="n">
        <v>159.5763558000326</v>
      </c>
      <c r="M789" s="19" t="n">
        <v>203.9919183164835</v>
      </c>
      <c r="N789" s="17" t="inlineStr">
        <is>
          <t>B</t>
        </is>
      </c>
      <c r="O789" s="19" t="n">
        <v>91.13602118194105</v>
      </c>
      <c r="P789" s="18" t="inlineStr">
        <is>
          <t>KHÔNG ĐỀ XUẤT TĂNG</t>
        </is>
      </c>
      <c r="Q789" s="17" t="inlineStr">
        <is>
          <t>Có</t>
        </is>
      </c>
      <c r="R789" s="20" t="n"/>
      <c r="S789" s="20" t="n"/>
      <c r="T789" s="21" t="n"/>
      <c r="U789" s="21" t="n"/>
      <c r="V789" s="22">
        <f>IF(U789="A",K789,IF(U789="B",L789,IF(U789="C",M789,IF(N789="A",K789,IF(N789="B",L789,M789)))))</f>
        <v/>
      </c>
      <c r="W789" s="22">
        <f>IF(R789="",O789,MAX(V789-R789-N(S789),0))</f>
        <v/>
      </c>
      <c r="X789" s="20" t="n"/>
      <c r="Y789" s="23">
        <f>IF(OR(X789="",W789=0),"",X789/W789-1)</f>
        <v/>
      </c>
      <c r="Z789" s="24" t="n"/>
      <c r="AA789" s="21" t="n"/>
      <c r="AB789" s="25" t="n"/>
      <c r="AC789" s="26">
        <f>IF(T789="","Chưa quyết định",IF(OR(Z789="",AA789=""),"⚠ Thiếu lý do/người duyệt",IF(AND(X789&lt;&gt;"",N(X789)+N(R789)+N(S789)&gt;M789*1.001,R789&lt;&gt;""),"⚠ Vượt mục tiêu P90",IF(AND(Y789&lt;&gt;"",ABS(N(Y789))&gt;0.3),"⚠ Lệch &gt; 30% so với nhu cầu",IF(Q789="Có","ℹ Kiểm tra ngoại suy KM","✓ Hợp lệ")))))</f>
        <v/>
      </c>
    </row>
    <row r="790">
      <c r="A790" s="16" t="n">
        <v>786</v>
      </c>
      <c r="B790" s="17" t="inlineStr">
        <is>
          <t>DEC-S29-PLAYERS_AND_ELECTRONICS</t>
        </is>
      </c>
      <c r="C790" s="16" t="n">
        <v>29</v>
      </c>
      <c r="D790" s="17" t="inlineStr">
        <is>
          <t>PLAYERS AND ELECTRONICS</t>
        </is>
      </c>
      <c r="E790" s="17" t="inlineStr">
        <is>
          <t>HIGH</t>
        </is>
      </c>
      <c r="F790" s="17" t="inlineStr">
        <is>
          <t>TRUNG BÌNH</t>
        </is>
      </c>
      <c r="G790" s="18" t="inlineStr">
        <is>
          <t>RISK_HIGH · PROMO_EXTRAPOLATION</t>
        </is>
      </c>
      <c r="H790" s="19" t="n">
        <v>15.89088439941406</v>
      </c>
      <c r="I790" s="19" t="n">
        <v>83.34726715087891</v>
      </c>
      <c r="J790" s="19" t="n">
        <v>198.1329691410065</v>
      </c>
      <c r="K790" s="19" t="n">
        <v>83.34726715087891</v>
      </c>
      <c r="L790" s="19" t="n">
        <v>155.0883308947086</v>
      </c>
      <c r="M790" s="19" t="n">
        <v>198.1329691410065</v>
      </c>
      <c r="N790" s="17" t="inlineStr">
        <is>
          <t>B</t>
        </is>
      </c>
      <c r="O790" s="19" t="n">
        <v>88.41051717400551</v>
      </c>
      <c r="P790" s="18" t="inlineStr">
        <is>
          <t>KHÔNG ĐỀ XUẤT TĂNG</t>
        </is>
      </c>
      <c r="Q790" s="17" t="inlineStr">
        <is>
          <t>Có</t>
        </is>
      </c>
      <c r="R790" s="20" t="n"/>
      <c r="S790" s="20" t="n"/>
      <c r="T790" s="21" t="n"/>
      <c r="U790" s="21" t="n"/>
      <c r="V790" s="22">
        <f>IF(U790="A",K790,IF(U790="B",L790,IF(U790="C",M790,IF(N790="A",K790,IF(N790="B",L790,M790)))))</f>
        <v/>
      </c>
      <c r="W790" s="22">
        <f>IF(R790="",O790,MAX(V790-R790-N(S790),0))</f>
        <v/>
      </c>
      <c r="X790" s="20" t="n"/>
      <c r="Y790" s="23">
        <f>IF(OR(X790="",W790=0),"",X790/W790-1)</f>
        <v/>
      </c>
      <c r="Z790" s="24" t="n"/>
      <c r="AA790" s="21" t="n"/>
      <c r="AB790" s="25" t="n"/>
      <c r="AC790" s="26">
        <f>IF(T790="","Chưa quyết định",IF(OR(Z790="",AA790=""),"⚠ Thiếu lý do/người duyệt",IF(AND(X790&lt;&gt;"",N(X790)+N(R790)+N(S790)&gt;M790*1.001,R790&lt;&gt;""),"⚠ Vượt mục tiêu P90",IF(AND(Y790&lt;&gt;"",ABS(N(Y790))&gt;0.3),"⚠ Lệch &gt; 30% so với nhu cầu",IF(Q790="Có","ℹ Kiểm tra ngoại suy KM","✓ Hợp lệ")))))</f>
        <v/>
      </c>
    </row>
    <row r="791">
      <c r="A791" s="16" t="n">
        <v>787</v>
      </c>
      <c r="B791" s="17" t="inlineStr">
        <is>
          <t>DEC-S15-BEAUTY</t>
        </is>
      </c>
      <c r="C791" s="16" t="n">
        <v>15</v>
      </c>
      <c r="D791" s="17" t="inlineStr">
        <is>
          <t>BEAUTY</t>
        </is>
      </c>
      <c r="E791" s="17" t="inlineStr">
        <is>
          <t>HIGH</t>
        </is>
      </c>
      <c r="F791" s="17" t="inlineStr">
        <is>
          <t>TRUNG BÌNH</t>
        </is>
      </c>
      <c r="G791" s="18" t="inlineStr">
        <is>
          <t>RISK_HIGH · PROMO_EXTRAPOLATION</t>
        </is>
      </c>
      <c r="H791" s="19" t="n">
        <v>19.56326742768288</v>
      </c>
      <c r="I791" s="19" t="n">
        <v>83.09674939513206</v>
      </c>
      <c r="J791" s="19" t="n">
        <v>199.6690300881863</v>
      </c>
      <c r="K791" s="19" t="n">
        <v>83.09674939513206</v>
      </c>
      <c r="L791" s="19" t="n">
        <v>155.9544248282909</v>
      </c>
      <c r="M791" s="19" t="n">
        <v>199.6690300881863</v>
      </c>
      <c r="N791" s="17" t="inlineStr">
        <is>
          <t>B</t>
        </is>
      </c>
      <c r="O791" s="19" t="n">
        <v>89.47702531218529</v>
      </c>
      <c r="P791" s="18" t="inlineStr">
        <is>
          <t>KHÔNG ĐỀ XUẤT TĂNG</t>
        </is>
      </c>
      <c r="Q791" s="17" t="inlineStr">
        <is>
          <t>Có</t>
        </is>
      </c>
      <c r="R791" s="20" t="n"/>
      <c r="S791" s="20" t="n"/>
      <c r="T791" s="21" t="n"/>
      <c r="U791" s="21" t="n"/>
      <c r="V791" s="22">
        <f>IF(U791="A",K791,IF(U791="B",L791,IF(U791="C",M791,IF(N791="A",K791,IF(N791="B",L791,M791)))))</f>
        <v/>
      </c>
      <c r="W791" s="22">
        <f>IF(R791="",O791,MAX(V791-R791-N(S791),0))</f>
        <v/>
      </c>
      <c r="X791" s="20" t="n"/>
      <c r="Y791" s="23">
        <f>IF(OR(X791="",W791=0),"",X791/W791-1)</f>
        <v/>
      </c>
      <c r="Z791" s="24" t="n"/>
      <c r="AA791" s="21" t="n"/>
      <c r="AB791" s="25" t="n"/>
      <c r="AC791" s="26">
        <f>IF(T791="","Chưa quyết định",IF(OR(Z791="",AA791=""),"⚠ Thiếu lý do/người duyệt",IF(AND(X791&lt;&gt;"",N(X791)+N(R791)+N(S791)&gt;M791*1.001,R791&lt;&gt;""),"⚠ Vượt mục tiêu P90",IF(AND(Y791&lt;&gt;"",ABS(N(Y791))&gt;0.3),"⚠ Lệch &gt; 30% so với nhu cầu",IF(Q791="Có","ℹ Kiểm tra ngoại suy KM","✓ Hợp lệ")))))</f>
        <v/>
      </c>
    </row>
    <row r="792">
      <c r="A792" s="16" t="n">
        <v>788</v>
      </c>
      <c r="B792" s="17" t="inlineStr">
        <is>
          <t>DEC-S21-LAWN_AND_GARDEN</t>
        </is>
      </c>
      <c r="C792" s="16" t="n">
        <v>21</v>
      </c>
      <c r="D792" s="17" t="inlineStr">
        <is>
          <t>LAWN AND GARDEN</t>
        </is>
      </c>
      <c r="E792" s="17" t="inlineStr">
        <is>
          <t>HIGH</t>
        </is>
      </c>
      <c r="F792" s="17" t="inlineStr">
        <is>
          <t>TRUNG BÌNH</t>
        </is>
      </c>
      <c r="G792" s="18" t="inlineStr">
        <is>
          <t>RISK_HIGH · PROMO_EXTRAPOLATION</t>
        </is>
      </c>
      <c r="H792" s="19" t="n">
        <v>19.31598861217499</v>
      </c>
      <c r="I792" s="19" t="n">
        <v>82.95575702190399</v>
      </c>
      <c r="J792" s="19" t="n">
        <v>206.5797674894333</v>
      </c>
      <c r="K792" s="19" t="n">
        <v>82.95575702190399</v>
      </c>
      <c r="L792" s="19" t="n">
        <v>160.2207635641098</v>
      </c>
      <c r="M792" s="19" t="n">
        <v>206.5797674894333</v>
      </c>
      <c r="N792" s="17" t="inlineStr">
        <is>
          <t>B</t>
        </is>
      </c>
      <c r="O792" s="19" t="n">
        <v>93.85615794658661</v>
      </c>
      <c r="P792" s="18" t="inlineStr">
        <is>
          <t>KHÔNG ĐỀ XUẤT TĂNG</t>
        </is>
      </c>
      <c r="Q792" s="17" t="inlineStr">
        <is>
          <t>Có</t>
        </is>
      </c>
      <c r="R792" s="20" t="n"/>
      <c r="S792" s="20" t="n"/>
      <c r="T792" s="21" t="n"/>
      <c r="U792" s="21" t="n"/>
      <c r="V792" s="22">
        <f>IF(U792="A",K792,IF(U792="B",L792,IF(U792="C",M792,IF(N792="A",K792,IF(N792="B",L792,M792)))))</f>
        <v/>
      </c>
      <c r="W792" s="22">
        <f>IF(R792="",O792,MAX(V792-R792-N(S792),0))</f>
        <v/>
      </c>
      <c r="X792" s="20" t="n"/>
      <c r="Y792" s="23">
        <f>IF(OR(X792="",W792=0),"",X792/W792-1)</f>
        <v/>
      </c>
      <c r="Z792" s="24" t="n"/>
      <c r="AA792" s="21" t="n"/>
      <c r="AB792" s="25" t="n"/>
      <c r="AC792" s="26">
        <f>IF(T792="","Chưa quyết định",IF(OR(Z792="",AA792=""),"⚠ Thiếu lý do/người duyệt",IF(AND(X792&lt;&gt;"",N(X792)+N(R792)+N(S792)&gt;M792*1.001,R792&lt;&gt;""),"⚠ Vượt mục tiêu P90",IF(AND(Y792&lt;&gt;"",ABS(N(Y792))&gt;0.3),"⚠ Lệch &gt; 30% so với nhu cầu",IF(Q792="Có","ℹ Kiểm tra ngoại suy KM","✓ Hợp lệ")))))</f>
        <v/>
      </c>
    </row>
    <row r="793">
      <c r="A793" s="16" t="n">
        <v>789</v>
      </c>
      <c r="B793" s="17" t="inlineStr">
        <is>
          <t>DEC-S25-CELEBRATION</t>
        </is>
      </c>
      <c r="C793" s="16" t="n">
        <v>25</v>
      </c>
      <c r="D793" s="17" t="inlineStr">
        <is>
          <t>CELEBRATION</t>
        </is>
      </c>
      <c r="E793" s="17" t="inlineStr">
        <is>
          <t>HIGH</t>
        </is>
      </c>
      <c r="F793" s="17" t="inlineStr">
        <is>
          <t>TRUNG BÌNH</t>
        </is>
      </c>
      <c r="G793" s="18" t="inlineStr">
        <is>
          <t>RISK_HIGH · PROMO_EXTRAPOLATION</t>
        </is>
      </c>
      <c r="H793" s="19" t="n">
        <v>14.95969700813294</v>
      </c>
      <c r="I793" s="19" t="n">
        <v>82.76288628578186</v>
      </c>
      <c r="J793" s="19" t="n">
        <v>197.5485882759095</v>
      </c>
      <c r="K793" s="19" t="n">
        <v>82.76288628578186</v>
      </c>
      <c r="L793" s="19" t="n">
        <v>154.5039500296116</v>
      </c>
      <c r="M793" s="19" t="n">
        <v>197.5485882759095</v>
      </c>
      <c r="N793" s="17" t="inlineStr">
        <is>
          <t>B</t>
        </is>
      </c>
      <c r="O793" s="19" t="n">
        <v>88.2936410009861</v>
      </c>
      <c r="P793" s="18" t="inlineStr">
        <is>
          <t>KHÔNG ĐỀ XUẤT TĂNG</t>
        </is>
      </c>
      <c r="Q793" s="17" t="inlineStr">
        <is>
          <t>Có</t>
        </is>
      </c>
      <c r="R793" s="20" t="n"/>
      <c r="S793" s="20" t="n"/>
      <c r="T793" s="21" t="n"/>
      <c r="U793" s="21" t="n"/>
      <c r="V793" s="22">
        <f>IF(U793="A",K793,IF(U793="B",L793,IF(U793="C",M793,IF(N793="A",K793,IF(N793="B",L793,M793)))))</f>
        <v/>
      </c>
      <c r="W793" s="22">
        <f>IF(R793="",O793,MAX(V793-R793-N(S793),0))</f>
        <v/>
      </c>
      <c r="X793" s="20" t="n"/>
      <c r="Y793" s="23">
        <f>IF(OR(X793="",W793=0),"",X793/W793-1)</f>
        <v/>
      </c>
      <c r="Z793" s="24" t="n"/>
      <c r="AA793" s="21" t="n"/>
      <c r="AB793" s="25" t="n"/>
      <c r="AC793" s="26">
        <f>IF(T793="","Chưa quyết định",IF(OR(Z793="",AA793=""),"⚠ Thiếu lý do/người duyệt",IF(AND(X793&lt;&gt;"",N(X793)+N(R793)+N(S793)&gt;M793*1.001,R793&lt;&gt;""),"⚠ Vượt mục tiêu P90",IF(AND(Y793&lt;&gt;"",ABS(N(Y793))&gt;0.3),"⚠ Lệch &gt; 30% so với nhu cầu",IF(Q793="Có","ℹ Kiểm tra ngoại suy KM","✓ Hợp lệ")))))</f>
        <v/>
      </c>
    </row>
    <row r="794">
      <c r="A794" s="16" t="n">
        <v>790</v>
      </c>
      <c r="B794" s="17" t="inlineStr">
        <is>
          <t>DEC-S34-LADIESWEAR</t>
        </is>
      </c>
      <c r="C794" s="16" t="n">
        <v>34</v>
      </c>
      <c r="D794" s="17" t="inlineStr">
        <is>
          <t>LADIESWEAR</t>
        </is>
      </c>
      <c r="E794" s="17" t="inlineStr">
        <is>
          <t>HIGH</t>
        </is>
      </c>
      <c r="F794" s="17" t="inlineStr">
        <is>
          <t>TRUNG BÌNH</t>
        </is>
      </c>
      <c r="G794" s="18" t="inlineStr">
        <is>
          <t>RISK_HIGH · PROMO_EXTRAPOLATION</t>
        </is>
      </c>
      <c r="H794" s="19" t="n">
        <v>12.54643154144287</v>
      </c>
      <c r="I794" s="19" t="n">
        <v>82.14253330230713</v>
      </c>
      <c r="J794" s="19" t="n">
        <v>202.7131190299988</v>
      </c>
      <c r="K794" s="19" t="n">
        <v>82.14253330230713</v>
      </c>
      <c r="L794" s="19" t="n">
        <v>157.4991493821144</v>
      </c>
      <c r="M794" s="19" t="n">
        <v>202.7131190299988</v>
      </c>
      <c r="N794" s="17" t="inlineStr">
        <is>
          <t>B</t>
        </is>
      </c>
      <c r="O794" s="19" t="n">
        <v>91.7851227402687</v>
      </c>
      <c r="P794" s="18" t="inlineStr">
        <is>
          <t>KHÔNG ĐỀ XUẤT TĂNG</t>
        </is>
      </c>
      <c r="Q794" s="17" t="inlineStr">
        <is>
          <t>Có</t>
        </is>
      </c>
      <c r="R794" s="20" t="n"/>
      <c r="S794" s="20" t="n"/>
      <c r="T794" s="21" t="n"/>
      <c r="U794" s="21" t="n"/>
      <c r="V794" s="22">
        <f>IF(U794="A",K794,IF(U794="B",L794,IF(U794="C",M794,IF(N794="A",K794,IF(N794="B",L794,M794)))))</f>
        <v/>
      </c>
      <c r="W794" s="22">
        <f>IF(R794="",O794,MAX(V794-R794-N(S794),0))</f>
        <v/>
      </c>
      <c r="X794" s="20" t="n"/>
      <c r="Y794" s="23">
        <f>IF(OR(X794="",W794=0),"",X794/W794-1)</f>
        <v/>
      </c>
      <c r="Z794" s="24" t="n"/>
      <c r="AA794" s="21" t="n"/>
      <c r="AB794" s="25" t="n"/>
      <c r="AC794" s="26">
        <f>IF(T794="","Chưa quyết định",IF(OR(Z794="",AA794=""),"⚠ Thiếu lý do/người duyệt",IF(AND(X794&lt;&gt;"",N(X794)+N(R794)+N(S794)&gt;M794*1.001,R794&lt;&gt;""),"⚠ Vượt mục tiêu P90",IF(AND(Y794&lt;&gt;"",ABS(N(Y794))&gt;0.3),"⚠ Lệch &gt; 30% so với nhu cầu",IF(Q794="Có","ℹ Kiểm tra ngoại suy KM","✓ Hợp lệ")))))</f>
        <v/>
      </c>
    </row>
    <row r="795">
      <c r="A795" s="16" t="n">
        <v>791</v>
      </c>
      <c r="B795" s="17" t="inlineStr">
        <is>
          <t>DEC-S05-BABY_CARE</t>
        </is>
      </c>
      <c r="C795" s="16" t="n">
        <v>5</v>
      </c>
      <c r="D795" s="17" t="inlineStr">
        <is>
          <t>BABY CARE</t>
        </is>
      </c>
      <c r="E795" s="17" t="inlineStr">
        <is>
          <t>HIGH</t>
        </is>
      </c>
      <c r="F795" s="17" t="inlineStr">
        <is>
          <t>TRUNG BÌNH</t>
        </is>
      </c>
      <c r="G795" s="18" t="inlineStr">
        <is>
          <t>RISK_HIGH · PROMO_EXTRAPOLATION</t>
        </is>
      </c>
      <c r="H795" s="19" t="n">
        <v>49.92260687351227</v>
      </c>
      <c r="I795" s="19" t="n">
        <v>80.87844847142696</v>
      </c>
      <c r="J795" s="19" t="n">
        <v>178.2125961631536</v>
      </c>
      <c r="K795" s="19" t="n">
        <v>80.87844847142696</v>
      </c>
      <c r="L795" s="19" t="n">
        <v>141.7122907787561</v>
      </c>
      <c r="M795" s="19" t="n">
        <v>178.2125961631536</v>
      </c>
      <c r="N795" s="17" t="inlineStr">
        <is>
          <t>B</t>
        </is>
      </c>
      <c r="O795" s="19" t="n">
        <v>77.00953200161457</v>
      </c>
      <c r="P795" s="18" t="inlineStr">
        <is>
          <t>KHÔNG ĐỀ XUẤT TĂNG</t>
        </is>
      </c>
      <c r="Q795" s="17" t="inlineStr">
        <is>
          <t>Có</t>
        </is>
      </c>
      <c r="R795" s="20" t="n"/>
      <c r="S795" s="20" t="n"/>
      <c r="T795" s="21" t="n"/>
      <c r="U795" s="21" t="n"/>
      <c r="V795" s="22">
        <f>IF(U795="A",K795,IF(U795="B",L795,IF(U795="C",M795,IF(N795="A",K795,IF(N795="B",L795,M795)))))</f>
        <v/>
      </c>
      <c r="W795" s="22">
        <f>IF(R795="",O795,MAX(V795-R795-N(S795),0))</f>
        <v/>
      </c>
      <c r="X795" s="20" t="n"/>
      <c r="Y795" s="23">
        <f>IF(OR(X795="",W795=0),"",X795/W795-1)</f>
        <v/>
      </c>
      <c r="Z795" s="24" t="n"/>
      <c r="AA795" s="21" t="n"/>
      <c r="AB795" s="25" t="n"/>
      <c r="AC795" s="26">
        <f>IF(T795="","Chưa quyết định",IF(OR(Z795="",AA795=""),"⚠ Thiếu lý do/người duyệt",IF(AND(X795&lt;&gt;"",N(X795)+N(R795)+N(S795)&gt;M795*1.001,R795&lt;&gt;""),"⚠ Vượt mục tiêu P90",IF(AND(Y795&lt;&gt;"",ABS(N(Y795))&gt;0.3),"⚠ Lệch &gt; 30% so với nhu cầu",IF(Q795="Có","ℹ Kiểm tra ngoại suy KM","✓ Hợp lệ")))))</f>
        <v/>
      </c>
    </row>
    <row r="796">
      <c r="A796" s="16" t="n">
        <v>792</v>
      </c>
      <c r="B796" s="17" t="inlineStr">
        <is>
          <t>DEC-S22-PLAYERS_AND_ELECTRONICS</t>
        </is>
      </c>
      <c r="C796" s="16" t="n">
        <v>22</v>
      </c>
      <c r="D796" s="17" t="inlineStr">
        <is>
          <t>PLAYERS AND ELECTRONICS</t>
        </is>
      </c>
      <c r="E796" s="17" t="inlineStr">
        <is>
          <t>HIGH</t>
        </is>
      </c>
      <c r="F796" s="17" t="inlineStr">
        <is>
          <t>TRUNG BÌNH</t>
        </is>
      </c>
      <c r="G796" s="18" t="inlineStr">
        <is>
          <t>RISK_HIGH · PROMO_EXTRAPOLATION</t>
        </is>
      </c>
      <c r="H796" s="19" t="n">
        <v>16.29560112953186</v>
      </c>
      <c r="I796" s="19" t="n">
        <v>79.78660428524017</v>
      </c>
      <c r="J796" s="19" t="n">
        <v>192.1833542585373</v>
      </c>
      <c r="K796" s="19" t="n">
        <v>79.78660428524017</v>
      </c>
      <c r="L796" s="19" t="n">
        <v>150.0345730185509</v>
      </c>
      <c r="M796" s="19" t="n">
        <v>192.1833542585373</v>
      </c>
      <c r="N796" s="17" t="inlineStr">
        <is>
          <t>B</t>
        </is>
      </c>
      <c r="O796" s="19" t="n">
        <v>86.20528959035873</v>
      </c>
      <c r="P796" s="18" t="inlineStr">
        <is>
          <t>KHÔNG ĐỀ XUẤT TĂNG</t>
        </is>
      </c>
      <c r="Q796" s="17" t="inlineStr">
        <is>
          <t>Có</t>
        </is>
      </c>
      <c r="R796" s="20" t="n"/>
      <c r="S796" s="20" t="n"/>
      <c r="T796" s="21" t="n"/>
      <c r="U796" s="21" t="n"/>
      <c r="V796" s="22">
        <f>IF(U796="A",K796,IF(U796="B",L796,IF(U796="C",M796,IF(N796="A",K796,IF(N796="B",L796,M796)))))</f>
        <v/>
      </c>
      <c r="W796" s="22">
        <f>IF(R796="",O796,MAX(V796-R796-N(S796),0))</f>
        <v/>
      </c>
      <c r="X796" s="20" t="n"/>
      <c r="Y796" s="23">
        <f>IF(OR(X796="",W796=0),"",X796/W796-1)</f>
        <v/>
      </c>
      <c r="Z796" s="24" t="n"/>
      <c r="AA796" s="21" t="n"/>
      <c r="AB796" s="25" t="n"/>
      <c r="AC796" s="26">
        <f>IF(T796="","Chưa quyết định",IF(OR(Z796="",AA796=""),"⚠ Thiếu lý do/người duyệt",IF(AND(X796&lt;&gt;"",N(X796)+N(R796)+N(S796)&gt;M796*1.001,R796&lt;&gt;""),"⚠ Vượt mục tiêu P90",IF(AND(Y796&lt;&gt;"",ABS(N(Y796))&gt;0.3),"⚠ Lệch &gt; 30% so với nhu cầu",IF(Q796="Có","ℹ Kiểm tra ngoại suy KM","✓ Hợp lệ")))))</f>
        <v/>
      </c>
    </row>
    <row r="797">
      <c r="A797" s="16" t="n">
        <v>793</v>
      </c>
      <c r="B797" s="17" t="inlineStr">
        <is>
          <t>DEC-S40-AUTOMOTIVE</t>
        </is>
      </c>
      <c r="C797" s="16" t="n">
        <v>40</v>
      </c>
      <c r="D797" s="17" t="inlineStr">
        <is>
          <t>AUTOMOTIVE</t>
        </is>
      </c>
      <c r="E797" s="17" t="inlineStr">
        <is>
          <t>HIGH</t>
        </is>
      </c>
      <c r="F797" s="17" t="inlineStr">
        <is>
          <t>TRUNG BÌNH</t>
        </is>
      </c>
      <c r="G797" s="18" t="inlineStr">
        <is>
          <t>RISK_HIGH · PROMO_EXTRAPOLATION</t>
        </is>
      </c>
      <c r="H797" s="19" t="n">
        <v>11.93287110328674</v>
      </c>
      <c r="I797" s="19" t="n">
        <v>79.47335147857666</v>
      </c>
      <c r="J797" s="19" t="n">
        <v>194.2590534687043</v>
      </c>
      <c r="K797" s="19" t="n">
        <v>79.47335147857666</v>
      </c>
      <c r="L797" s="19" t="n">
        <v>151.2144152224064</v>
      </c>
      <c r="M797" s="19" t="n">
        <v>194.2590534687043</v>
      </c>
      <c r="N797" s="17" t="inlineStr">
        <is>
          <t>B</t>
        </is>
      </c>
      <c r="O797" s="19" t="n">
        <v>87.63573403954506</v>
      </c>
      <c r="P797" s="18" t="inlineStr">
        <is>
          <t>KHÔNG ĐỀ XUẤT TĂNG</t>
        </is>
      </c>
      <c r="Q797" s="17" t="inlineStr">
        <is>
          <t>Có</t>
        </is>
      </c>
      <c r="R797" s="20" t="n"/>
      <c r="S797" s="20" t="n"/>
      <c r="T797" s="21" t="n"/>
      <c r="U797" s="21" t="n"/>
      <c r="V797" s="22">
        <f>IF(U797="A",K797,IF(U797="B",L797,IF(U797="C",M797,IF(N797="A",K797,IF(N797="B",L797,M797)))))</f>
        <v/>
      </c>
      <c r="W797" s="22">
        <f>IF(R797="",O797,MAX(V797-R797-N(S797),0))</f>
        <v/>
      </c>
      <c r="X797" s="20" t="n"/>
      <c r="Y797" s="23">
        <f>IF(OR(X797="",W797=0),"",X797/W797-1)</f>
        <v/>
      </c>
      <c r="Z797" s="24" t="n"/>
      <c r="AA797" s="21" t="n"/>
      <c r="AB797" s="25" t="n"/>
      <c r="AC797" s="26">
        <f>IF(T797="","Chưa quyết định",IF(OR(Z797="",AA797=""),"⚠ Thiếu lý do/người duyệt",IF(AND(X797&lt;&gt;"",N(X797)+N(R797)+N(S797)&gt;M797*1.001,R797&lt;&gt;""),"⚠ Vượt mục tiêu P90",IF(AND(Y797&lt;&gt;"",ABS(N(Y797))&gt;0.3),"⚠ Lệch &gt; 30% so với nhu cầu",IF(Q797="Có","ℹ Kiểm tra ngoại suy KM","✓ Hợp lệ")))))</f>
        <v/>
      </c>
    </row>
    <row r="798">
      <c r="A798" s="16" t="n">
        <v>794</v>
      </c>
      <c r="B798" s="17" t="inlineStr">
        <is>
          <t>DEC-S34-HARDWARE</t>
        </is>
      </c>
      <c r="C798" s="16" t="n">
        <v>34</v>
      </c>
      <c r="D798" s="17" t="inlineStr">
        <is>
          <t>HARDWARE</t>
        </is>
      </c>
      <c r="E798" s="17" t="inlineStr">
        <is>
          <t>HIGH</t>
        </is>
      </c>
      <c r="F798" s="17" t="inlineStr">
        <is>
          <t>TRUNG BÌNH</t>
        </is>
      </c>
      <c r="G798" s="18" t="inlineStr">
        <is>
          <t>RISK_HIGH · PROMO_EXTRAPOLATION</t>
        </is>
      </c>
      <c r="H798" s="19" t="n">
        <v>14.68815875053406</v>
      </c>
      <c r="I798" s="19" t="n">
        <v>79.44265198707581</v>
      </c>
      <c r="J798" s="19" t="n">
        <v>191.8394019603729</v>
      </c>
      <c r="K798" s="19" t="n">
        <v>79.44265198707581</v>
      </c>
      <c r="L798" s="19" t="n">
        <v>149.6906207203864</v>
      </c>
      <c r="M798" s="19" t="n">
        <v>191.8394019603729</v>
      </c>
      <c r="N798" s="17" t="inlineStr">
        <is>
          <t>B</t>
        </is>
      </c>
      <c r="O798" s="19" t="n">
        <v>86.13649913072581</v>
      </c>
      <c r="P798" s="18" t="inlineStr">
        <is>
          <t>KHÔNG ĐỀ XUẤT TĂNG</t>
        </is>
      </c>
      <c r="Q798" s="17" t="inlineStr">
        <is>
          <t>Có</t>
        </is>
      </c>
      <c r="R798" s="20" t="n"/>
      <c r="S798" s="20" t="n"/>
      <c r="T798" s="21" t="n"/>
      <c r="U798" s="21" t="n"/>
      <c r="V798" s="22">
        <f>IF(U798="A",K798,IF(U798="B",L798,IF(U798="C",M798,IF(N798="A",K798,IF(N798="B",L798,M798)))))</f>
        <v/>
      </c>
      <c r="W798" s="22">
        <f>IF(R798="",O798,MAX(V798-R798-N(S798),0))</f>
        <v/>
      </c>
      <c r="X798" s="20" t="n"/>
      <c r="Y798" s="23">
        <f>IF(OR(X798="",W798=0),"",X798/W798-1)</f>
        <v/>
      </c>
      <c r="Z798" s="24" t="n"/>
      <c r="AA798" s="21" t="n"/>
      <c r="AB798" s="25" t="n"/>
      <c r="AC798" s="26">
        <f>IF(T798="","Chưa quyết định",IF(OR(Z798="",AA798=""),"⚠ Thiếu lý do/người duyệt",IF(AND(X798&lt;&gt;"",N(X798)+N(R798)+N(S798)&gt;M798*1.001,R798&lt;&gt;""),"⚠ Vượt mục tiêu P90",IF(AND(Y798&lt;&gt;"",ABS(N(Y798))&gt;0.3),"⚠ Lệch &gt; 30% so với nhu cầu",IF(Q798="Có","ℹ Kiểm tra ngoại suy KM","✓ Hợp lệ")))))</f>
        <v/>
      </c>
    </row>
    <row r="799">
      <c r="A799" s="16" t="n">
        <v>795</v>
      </c>
      <c r="B799" s="17" t="inlineStr">
        <is>
          <t>DEC-S39-MAGAZINES</t>
        </is>
      </c>
      <c r="C799" s="16" t="n">
        <v>39</v>
      </c>
      <c r="D799" s="17" t="inlineStr">
        <is>
          <t>MAGAZINES</t>
        </is>
      </c>
      <c r="E799" s="17" t="inlineStr">
        <is>
          <t>HIGH</t>
        </is>
      </c>
      <c r="F799" s="17" t="inlineStr">
        <is>
          <t>TRUNG BÌNH</t>
        </is>
      </c>
      <c r="G799" s="18" t="inlineStr">
        <is>
          <t>RISK_HIGH · PROMO_EXTRAPOLATION</t>
        </is>
      </c>
      <c r="H799" s="19" t="n">
        <v>14.28819847106934</v>
      </c>
      <c r="I799" s="19" t="n">
        <v>79.06038451194763</v>
      </c>
      <c r="J799" s="19" t="n">
        <v>193.8460865020752</v>
      </c>
      <c r="K799" s="19" t="n">
        <v>79.06038451194763</v>
      </c>
      <c r="L799" s="19" t="n">
        <v>150.8014482557774</v>
      </c>
      <c r="M799" s="19" t="n">
        <v>193.8460865020752</v>
      </c>
      <c r="N799" s="17" t="inlineStr">
        <is>
          <t>B</t>
        </is>
      </c>
      <c r="O799" s="19" t="n">
        <v>87.55314064621925</v>
      </c>
      <c r="P799" s="18" t="inlineStr">
        <is>
          <t>KHÔNG ĐỀ XUẤT TĂNG</t>
        </is>
      </c>
      <c r="Q799" s="17" t="inlineStr">
        <is>
          <t>Có</t>
        </is>
      </c>
      <c r="R799" s="20" t="n"/>
      <c r="S799" s="20" t="n"/>
      <c r="T799" s="21" t="n"/>
      <c r="U799" s="21" t="n"/>
      <c r="V799" s="22">
        <f>IF(U799="A",K799,IF(U799="B",L799,IF(U799="C",M799,IF(N799="A",K799,IF(N799="B",L799,M799)))))</f>
        <v/>
      </c>
      <c r="W799" s="22">
        <f>IF(R799="",O799,MAX(V799-R799-N(S799),0))</f>
        <v/>
      </c>
      <c r="X799" s="20" t="n"/>
      <c r="Y799" s="23">
        <f>IF(OR(X799="",W799=0),"",X799/W799-1)</f>
        <v/>
      </c>
      <c r="Z799" s="24" t="n"/>
      <c r="AA799" s="21" t="n"/>
      <c r="AB799" s="25" t="n"/>
      <c r="AC799" s="26">
        <f>IF(T799="","Chưa quyết định",IF(OR(Z799="",AA799=""),"⚠ Thiếu lý do/người duyệt",IF(AND(X799&lt;&gt;"",N(X799)+N(R799)+N(S799)&gt;M799*1.001,R799&lt;&gt;""),"⚠ Vượt mục tiêu P90",IF(AND(Y799&lt;&gt;"",ABS(N(Y799))&gt;0.3),"⚠ Lệch &gt; 30% so với nhu cầu",IF(Q799="Có","ℹ Kiểm tra ngoại suy KM","✓ Hợp lệ")))))</f>
        <v/>
      </c>
    </row>
    <row r="800">
      <c r="A800" s="16" t="n">
        <v>796</v>
      </c>
      <c r="B800" s="17" t="inlineStr">
        <is>
          <t>DEC-S33-GROCERY_II</t>
        </is>
      </c>
      <c r="C800" s="16" t="n">
        <v>33</v>
      </c>
      <c r="D800" s="17" t="inlineStr">
        <is>
          <t>GROCERY II</t>
        </is>
      </c>
      <c r="E800" s="17" t="inlineStr">
        <is>
          <t>HIGH</t>
        </is>
      </c>
      <c r="F800" s="17" t="inlineStr">
        <is>
          <t>TRUNG BÌNH</t>
        </is>
      </c>
      <c r="G800" s="18" t="inlineStr">
        <is>
          <t>RISK_HIGH · PROMO_EXTRAPOLATION</t>
        </is>
      </c>
      <c r="H800" s="19" t="n">
        <v>16.51059350967407</v>
      </c>
      <c r="I800" s="19" t="n">
        <v>79.04226587712765</v>
      </c>
      <c r="J800" s="19" t="n">
        <v>198.7506119579077</v>
      </c>
      <c r="K800" s="19" t="n">
        <v>79.04226587712765</v>
      </c>
      <c r="L800" s="19" t="n">
        <v>153.8599821776152</v>
      </c>
      <c r="M800" s="19" t="n">
        <v>198.7506119579077</v>
      </c>
      <c r="N800" s="17" t="inlineStr">
        <is>
          <t>B</t>
        </is>
      </c>
      <c r="O800" s="19" t="n">
        <v>90.62616947591304</v>
      </c>
      <c r="P800" s="18" t="inlineStr">
        <is>
          <t>KHÔNG ĐỀ XUẤT TĂNG</t>
        </is>
      </c>
      <c r="Q800" s="17" t="inlineStr">
        <is>
          <t>Có</t>
        </is>
      </c>
      <c r="R800" s="20" t="n"/>
      <c r="S800" s="20" t="n"/>
      <c r="T800" s="21" t="n"/>
      <c r="U800" s="21" t="n"/>
      <c r="V800" s="22">
        <f>IF(U800="A",K800,IF(U800="B",L800,IF(U800="C",M800,IF(N800="A",K800,IF(N800="B",L800,M800)))))</f>
        <v/>
      </c>
      <c r="W800" s="22">
        <f>IF(R800="",O800,MAX(V800-R800-N(S800),0))</f>
        <v/>
      </c>
      <c r="X800" s="20" t="n"/>
      <c r="Y800" s="23">
        <f>IF(OR(X800="",W800=0),"",X800/W800-1)</f>
        <v/>
      </c>
      <c r="Z800" s="24" t="n"/>
      <c r="AA800" s="21" t="n"/>
      <c r="AB800" s="25" t="n"/>
      <c r="AC800" s="26">
        <f>IF(T800="","Chưa quyết định",IF(OR(Z800="",AA800=""),"⚠ Thiếu lý do/người duyệt",IF(AND(X800&lt;&gt;"",N(X800)+N(R800)+N(S800)&gt;M800*1.001,R800&lt;&gt;""),"⚠ Vượt mục tiêu P90",IF(AND(Y800&lt;&gt;"",ABS(N(Y800))&gt;0.3),"⚠ Lệch &gt; 30% so với nhu cầu",IF(Q800="Có","ℹ Kiểm tra ngoại suy KM","✓ Hợp lệ")))))</f>
        <v/>
      </c>
    </row>
    <row r="801">
      <c r="A801" s="16" t="n">
        <v>797</v>
      </c>
      <c r="B801" s="17" t="inlineStr">
        <is>
          <t>DEC-S54-CELEBRATION</t>
        </is>
      </c>
      <c r="C801" s="16" t="n">
        <v>54</v>
      </c>
      <c r="D801" s="17" t="inlineStr">
        <is>
          <t>CELEBRATION</t>
        </is>
      </c>
      <c r="E801" s="17" t="inlineStr">
        <is>
          <t>HIGH</t>
        </is>
      </c>
      <c r="F801" s="17" t="inlineStr">
        <is>
          <t>TRUNG BÌNH</t>
        </is>
      </c>
      <c r="G801" s="18" t="inlineStr">
        <is>
          <t>RISK_HIGH · PROMO_EXTRAPOLATION</t>
        </is>
      </c>
      <c r="H801" s="19" t="n">
        <v>22.93788046240807</v>
      </c>
      <c r="I801" s="19" t="n">
        <v>78.95534525811672</v>
      </c>
      <c r="J801" s="19" t="n">
        <v>194.1456536382437</v>
      </c>
      <c r="K801" s="19" t="n">
        <v>78.95534525811672</v>
      </c>
      <c r="L801" s="19" t="n">
        <v>150.9492879956961</v>
      </c>
      <c r="M801" s="19" t="n">
        <v>194.1456536382437</v>
      </c>
      <c r="N801" s="17" t="inlineStr">
        <is>
          <t>B</t>
        </is>
      </c>
      <c r="O801" s="19" t="n">
        <v>87.78501178920268</v>
      </c>
      <c r="P801" s="18" t="inlineStr">
        <is>
          <t>KHÔNG ĐỀ XUẤT TĂNG</t>
        </is>
      </c>
      <c r="Q801" s="17" t="inlineStr">
        <is>
          <t>Có</t>
        </is>
      </c>
      <c r="R801" s="20" t="n"/>
      <c r="S801" s="20" t="n"/>
      <c r="T801" s="21" t="n"/>
      <c r="U801" s="21" t="n"/>
      <c r="V801" s="22">
        <f>IF(U801="A",K801,IF(U801="B",L801,IF(U801="C",M801,IF(N801="A",K801,IF(N801="B",L801,M801)))))</f>
        <v/>
      </c>
      <c r="W801" s="22">
        <f>IF(R801="",O801,MAX(V801-R801-N(S801),0))</f>
        <v/>
      </c>
      <c r="X801" s="20" t="n"/>
      <c r="Y801" s="23">
        <f>IF(OR(X801="",W801=0),"",X801/W801-1)</f>
        <v/>
      </c>
      <c r="Z801" s="24" t="n"/>
      <c r="AA801" s="21" t="n"/>
      <c r="AB801" s="25" t="n"/>
      <c r="AC801" s="26">
        <f>IF(T801="","Chưa quyết định",IF(OR(Z801="",AA801=""),"⚠ Thiếu lý do/người duyệt",IF(AND(X801&lt;&gt;"",N(X801)+N(R801)+N(S801)&gt;M801*1.001,R801&lt;&gt;""),"⚠ Vượt mục tiêu P90",IF(AND(Y801&lt;&gt;"",ABS(N(Y801))&gt;0.3),"⚠ Lệch &gt; 30% so với nhu cầu",IF(Q801="Có","ℹ Kiểm tra ngoại suy KM","✓ Hợp lệ")))))</f>
        <v/>
      </c>
    </row>
    <row r="802">
      <c r="A802" s="16" t="n">
        <v>798</v>
      </c>
      <c r="B802" s="17" t="inlineStr">
        <is>
          <t>DEC-S33-PLAYERS_AND_ELECTRONICS</t>
        </is>
      </c>
      <c r="C802" s="16" t="n">
        <v>33</v>
      </c>
      <c r="D802" s="17" t="inlineStr">
        <is>
          <t>PLAYERS AND ELECTRONICS</t>
        </is>
      </c>
      <c r="E802" s="17" t="inlineStr">
        <is>
          <t>HIGH</t>
        </is>
      </c>
      <c r="F802" s="17" t="inlineStr">
        <is>
          <t>TRUNG BÌNH</t>
        </is>
      </c>
      <c r="G802" s="18" t="inlineStr">
        <is>
          <t>RISK_HIGH · PROMO_EXTRAPOLATION</t>
        </is>
      </c>
      <c r="H802" s="19" t="n">
        <v>19.13252139091492</v>
      </c>
      <c r="I802" s="19" t="n">
        <v>78.87010908126831</v>
      </c>
      <c r="J802" s="19" t="n">
        <v>188.877907037735</v>
      </c>
      <c r="K802" s="19" t="n">
        <v>78.87010908126831</v>
      </c>
      <c r="L802" s="19" t="n">
        <v>147.62498280406</v>
      </c>
      <c r="M802" s="19" t="n">
        <v>188.877907037735</v>
      </c>
      <c r="N802" s="17" t="inlineStr">
        <is>
          <t>B</t>
        </is>
      </c>
      <c r="O802" s="19" t="n">
        <v>84.52889553904529</v>
      </c>
      <c r="P802" s="18" t="inlineStr">
        <is>
          <t>KHÔNG ĐỀ XUẤT TĂNG</t>
        </is>
      </c>
      <c r="Q802" s="17" t="inlineStr">
        <is>
          <t>Có</t>
        </is>
      </c>
      <c r="R802" s="20" t="n"/>
      <c r="S802" s="20" t="n"/>
      <c r="T802" s="21" t="n"/>
      <c r="U802" s="21" t="n"/>
      <c r="V802" s="22">
        <f>IF(U802="A",K802,IF(U802="B",L802,IF(U802="C",M802,IF(N802="A",K802,IF(N802="B",L802,M802)))))</f>
        <v/>
      </c>
      <c r="W802" s="22">
        <f>IF(R802="",O802,MAX(V802-R802-N(S802),0))</f>
        <v/>
      </c>
      <c r="X802" s="20" t="n"/>
      <c r="Y802" s="23">
        <f>IF(OR(X802="",W802=0),"",X802/W802-1)</f>
        <v/>
      </c>
      <c r="Z802" s="24" t="n"/>
      <c r="AA802" s="21" t="n"/>
      <c r="AB802" s="25" t="n"/>
      <c r="AC802" s="26">
        <f>IF(T802="","Chưa quyết định",IF(OR(Z802="",AA802=""),"⚠ Thiếu lý do/người duyệt",IF(AND(X802&lt;&gt;"",N(X802)+N(R802)+N(S802)&gt;M802*1.001,R802&lt;&gt;""),"⚠ Vượt mục tiêu P90",IF(AND(Y802&lt;&gt;"",ABS(N(Y802))&gt;0.3),"⚠ Lệch &gt; 30% so với nhu cầu",IF(Q802="Có","ℹ Kiểm tra ngoại suy KM","✓ Hợp lệ")))))</f>
        <v/>
      </c>
    </row>
    <row r="803">
      <c r="A803" s="16" t="n">
        <v>799</v>
      </c>
      <c r="B803" s="17" t="inlineStr">
        <is>
          <t>DEC-S12-BEAUTY</t>
        </is>
      </c>
      <c r="C803" s="16" t="n">
        <v>12</v>
      </c>
      <c r="D803" s="17" t="inlineStr">
        <is>
          <t>BEAUTY</t>
        </is>
      </c>
      <c r="E803" s="17" t="inlineStr">
        <is>
          <t>HIGH</t>
        </is>
      </c>
      <c r="F803" s="17" t="inlineStr">
        <is>
          <t>TRUNG BÌNH</t>
        </is>
      </c>
      <c r="G803" s="18" t="inlineStr">
        <is>
          <t>RISK_HIGH · PROMO_EXTRAPOLATION</t>
        </is>
      </c>
      <c r="H803" s="19" t="n">
        <v>33.4749027043581</v>
      </c>
      <c r="I803" s="19" t="n">
        <v>78.61822812631726</v>
      </c>
      <c r="J803" s="19" t="n">
        <v>176.1113783128559</v>
      </c>
      <c r="K803" s="19" t="n">
        <v>78.61822812631726</v>
      </c>
      <c r="L803" s="19" t="n">
        <v>139.5514469929039</v>
      </c>
      <c r="M803" s="19" t="n">
        <v>176.1113783128559</v>
      </c>
      <c r="N803" s="17" t="inlineStr">
        <is>
          <t>B</t>
        </is>
      </c>
      <c r="O803" s="19" t="n">
        <v>76.65686449185014</v>
      </c>
      <c r="P803" s="18" t="inlineStr">
        <is>
          <t>KHÔNG ĐỀ XUẤT TĂNG</t>
        </is>
      </c>
      <c r="Q803" s="17" t="inlineStr">
        <is>
          <t>Có</t>
        </is>
      </c>
      <c r="R803" s="20" t="n"/>
      <c r="S803" s="20" t="n"/>
      <c r="T803" s="21" t="n"/>
      <c r="U803" s="21" t="n"/>
      <c r="V803" s="22">
        <f>IF(U803="A",K803,IF(U803="B",L803,IF(U803="C",M803,IF(N803="A",K803,IF(N803="B",L803,M803)))))</f>
        <v/>
      </c>
      <c r="W803" s="22">
        <f>IF(R803="",O803,MAX(V803-R803-N(S803),0))</f>
        <v/>
      </c>
      <c r="X803" s="20" t="n"/>
      <c r="Y803" s="23">
        <f>IF(OR(X803="",W803=0),"",X803/W803-1)</f>
        <v/>
      </c>
      <c r="Z803" s="24" t="n"/>
      <c r="AA803" s="21" t="n"/>
      <c r="AB803" s="25" t="n"/>
      <c r="AC803" s="26">
        <f>IF(T803="","Chưa quyết định",IF(OR(Z803="",AA803=""),"⚠ Thiếu lý do/người duyệt",IF(AND(X803&lt;&gt;"",N(X803)+N(R803)+N(S803)&gt;M803*1.001,R803&lt;&gt;""),"⚠ Vượt mục tiêu P90",IF(AND(Y803&lt;&gt;"",ABS(N(Y803))&gt;0.3),"⚠ Lệch &gt; 30% so với nhu cầu",IF(Q803="Có","ℹ Kiểm tra ngoại suy KM","✓ Hợp lệ")))))</f>
        <v/>
      </c>
    </row>
    <row r="804">
      <c r="A804" s="16" t="n">
        <v>800</v>
      </c>
      <c r="B804" s="17" t="inlineStr">
        <is>
          <t>DEC-S27-MAGAZINES</t>
        </is>
      </c>
      <c r="C804" s="16" t="n">
        <v>27</v>
      </c>
      <c r="D804" s="17" t="inlineStr">
        <is>
          <t>MAGAZINES</t>
        </is>
      </c>
      <c r="E804" s="17" t="inlineStr">
        <is>
          <t>HIGH</t>
        </is>
      </c>
      <c r="F804" s="17" t="inlineStr">
        <is>
          <t>TRUNG BÌNH</t>
        </is>
      </c>
      <c r="G804" s="18" t="inlineStr">
        <is>
          <t>RISK_HIGH · PROMO_EXTRAPOLATION</t>
        </is>
      </c>
      <c r="H804" s="19" t="n">
        <v>11.6233389377594</v>
      </c>
      <c r="I804" s="19" t="n">
        <v>78.52984595298767</v>
      </c>
      <c r="J804" s="19" t="n">
        <v>193.3155479431152</v>
      </c>
      <c r="K804" s="19" t="n">
        <v>78.52984595298767</v>
      </c>
      <c r="L804" s="19" t="n">
        <v>150.2709096968174</v>
      </c>
      <c r="M804" s="19" t="n">
        <v>193.3155479431152</v>
      </c>
      <c r="N804" s="17" t="inlineStr">
        <is>
          <t>B</t>
        </is>
      </c>
      <c r="O804" s="19" t="n">
        <v>87.44703293442726</v>
      </c>
      <c r="P804" s="18" t="inlineStr">
        <is>
          <t>KHÔNG ĐỀ XUẤT TĂNG</t>
        </is>
      </c>
      <c r="Q804" s="17" t="inlineStr">
        <is>
          <t>Có</t>
        </is>
      </c>
      <c r="R804" s="20" t="n"/>
      <c r="S804" s="20" t="n"/>
      <c r="T804" s="21" t="n"/>
      <c r="U804" s="21" t="n"/>
      <c r="V804" s="22">
        <f>IF(U804="A",K804,IF(U804="B",L804,IF(U804="C",M804,IF(N804="A",K804,IF(N804="B",L804,M804)))))</f>
        <v/>
      </c>
      <c r="W804" s="22">
        <f>IF(R804="",O804,MAX(V804-R804-N(S804),0))</f>
        <v/>
      </c>
      <c r="X804" s="20" t="n"/>
      <c r="Y804" s="23">
        <f>IF(OR(X804="",W804=0),"",X804/W804-1)</f>
        <v/>
      </c>
      <c r="Z804" s="24" t="n"/>
      <c r="AA804" s="21" t="n"/>
      <c r="AB804" s="25" t="n"/>
      <c r="AC804" s="26">
        <f>IF(T804="","Chưa quyết định",IF(OR(Z804="",AA804=""),"⚠ Thiếu lý do/người duyệt",IF(AND(X804&lt;&gt;"",N(X804)+N(R804)+N(S804)&gt;M804*1.001,R804&lt;&gt;""),"⚠ Vượt mục tiêu P90",IF(AND(Y804&lt;&gt;"",ABS(N(Y804))&gt;0.3),"⚠ Lệch &gt; 30% so với nhu cầu",IF(Q804="Có","ℹ Kiểm tra ngoại suy KM","✓ Hợp lệ")))))</f>
        <v/>
      </c>
    </row>
    <row r="805">
      <c r="A805" s="16" t="n">
        <v>801</v>
      </c>
      <c r="B805" s="17" t="inlineStr">
        <is>
          <t>DEC-S36-BEAUTY</t>
        </is>
      </c>
      <c r="C805" s="16" t="n">
        <v>36</v>
      </c>
      <c r="D805" s="17" t="inlineStr">
        <is>
          <t>BEAUTY</t>
        </is>
      </c>
      <c r="E805" s="17" t="inlineStr">
        <is>
          <t>HIGH</t>
        </is>
      </c>
      <c r="F805" s="17" t="inlineStr">
        <is>
          <t>TRUNG BÌNH</t>
        </is>
      </c>
      <c r="G805" s="18" t="inlineStr">
        <is>
          <t>RISK_HIGH · PROMO_EXTRAPOLATION</t>
        </is>
      </c>
      <c r="H805" s="19" t="n">
        <v>24.12573820650578</v>
      </c>
      <c r="I805" s="19" t="n">
        <v>78.509092643857</v>
      </c>
      <c r="J805" s="19" t="n">
        <v>187.9145172864199</v>
      </c>
      <c r="K805" s="19" t="n">
        <v>78.509092643857</v>
      </c>
      <c r="L805" s="19" t="n">
        <v>146.8874830454588</v>
      </c>
      <c r="M805" s="19" t="n">
        <v>187.9145172864199</v>
      </c>
      <c r="N805" s="17" t="inlineStr">
        <is>
          <t>B</t>
        </is>
      </c>
      <c r="O805" s="19" t="n">
        <v>84.08020893037319</v>
      </c>
      <c r="P805" s="18" t="inlineStr">
        <is>
          <t>KHÔNG ĐỀ XUẤT TĂNG</t>
        </is>
      </c>
      <c r="Q805" s="17" t="inlineStr">
        <is>
          <t>Có</t>
        </is>
      </c>
      <c r="R805" s="20" t="n"/>
      <c r="S805" s="20" t="n"/>
      <c r="T805" s="21" t="n"/>
      <c r="U805" s="21" t="n"/>
      <c r="V805" s="22">
        <f>IF(U805="A",K805,IF(U805="B",L805,IF(U805="C",M805,IF(N805="A",K805,IF(N805="B",L805,M805)))))</f>
        <v/>
      </c>
      <c r="W805" s="22">
        <f>IF(R805="",O805,MAX(V805-R805-N(S805),0))</f>
        <v/>
      </c>
      <c r="X805" s="20" t="n"/>
      <c r="Y805" s="23">
        <f>IF(OR(X805="",W805=0),"",X805/W805-1)</f>
        <v/>
      </c>
      <c r="Z805" s="24" t="n"/>
      <c r="AA805" s="21" t="n"/>
      <c r="AB805" s="25" t="n"/>
      <c r="AC805" s="26">
        <f>IF(T805="","Chưa quyết định",IF(OR(Z805="",AA805=""),"⚠ Thiếu lý do/người duyệt",IF(AND(X805&lt;&gt;"",N(X805)+N(R805)+N(S805)&gt;M805*1.001,R805&lt;&gt;""),"⚠ Vượt mục tiêu P90",IF(AND(Y805&lt;&gt;"",ABS(N(Y805))&gt;0.3),"⚠ Lệch &gt; 30% so với nhu cầu",IF(Q805="Có","ℹ Kiểm tra ngoại suy KM","✓ Hợp lệ")))))</f>
        <v/>
      </c>
    </row>
    <row r="806">
      <c r="A806" s="16" t="n">
        <v>802</v>
      </c>
      <c r="B806" s="17" t="inlineStr">
        <is>
          <t>DEC-S19-AUTOMOTIVE</t>
        </is>
      </c>
      <c r="C806" s="16" t="n">
        <v>19</v>
      </c>
      <c r="D806" s="17" t="inlineStr">
        <is>
          <t>AUTOMOTIVE</t>
        </is>
      </c>
      <c r="E806" s="17" t="inlineStr">
        <is>
          <t>HIGH</t>
        </is>
      </c>
      <c r="F806" s="17" t="inlineStr">
        <is>
          <t>TRUNG BÌNH</t>
        </is>
      </c>
      <c r="G806" s="18" t="inlineStr">
        <is>
          <t>RISK_HIGH · PROMO_EXTRAPOLATION</t>
        </is>
      </c>
      <c r="H806" s="19" t="n">
        <v>15.23227806091308</v>
      </c>
      <c r="I806" s="19" t="n">
        <v>77.81612193584442</v>
      </c>
      <c r="J806" s="19" t="n">
        <v>188.3436525583267</v>
      </c>
      <c r="K806" s="19" t="n">
        <v>77.81612193584442</v>
      </c>
      <c r="L806" s="19" t="n">
        <v>146.8958285748959</v>
      </c>
      <c r="M806" s="19" t="n">
        <v>188.3436525583267</v>
      </c>
      <c r="N806" s="17" t="inlineStr">
        <is>
          <t>B</t>
        </is>
      </c>
      <c r="O806" s="19" t="n">
        <v>84.64293102622031</v>
      </c>
      <c r="P806" s="18" t="inlineStr">
        <is>
          <t>KHÔNG ĐỀ XUẤT TĂNG</t>
        </is>
      </c>
      <c r="Q806" s="17" t="inlineStr">
        <is>
          <t>Có</t>
        </is>
      </c>
      <c r="R806" s="20" t="n"/>
      <c r="S806" s="20" t="n"/>
      <c r="T806" s="21" t="n"/>
      <c r="U806" s="21" t="n"/>
      <c r="V806" s="22">
        <f>IF(U806="A",K806,IF(U806="B",L806,IF(U806="C",M806,IF(N806="A",K806,IF(N806="B",L806,M806)))))</f>
        <v/>
      </c>
      <c r="W806" s="22">
        <f>IF(R806="",O806,MAX(V806-R806-N(S806),0))</f>
        <v/>
      </c>
      <c r="X806" s="20" t="n"/>
      <c r="Y806" s="23">
        <f>IF(OR(X806="",W806=0),"",X806/W806-1)</f>
        <v/>
      </c>
      <c r="Z806" s="24" t="n"/>
      <c r="AA806" s="21" t="n"/>
      <c r="AB806" s="25" t="n"/>
      <c r="AC806" s="26">
        <f>IF(T806="","Chưa quyết định",IF(OR(Z806="",AA806=""),"⚠ Thiếu lý do/người duyệt",IF(AND(X806&lt;&gt;"",N(X806)+N(R806)+N(S806)&gt;M806*1.001,R806&lt;&gt;""),"⚠ Vượt mục tiêu P90",IF(AND(Y806&lt;&gt;"",ABS(N(Y806))&gt;0.3),"⚠ Lệch &gt; 30% so với nhu cầu",IF(Q806="Có","ℹ Kiểm tra ngoại suy KM","✓ Hợp lệ")))))</f>
        <v/>
      </c>
    </row>
    <row r="807">
      <c r="A807" s="16" t="n">
        <v>803</v>
      </c>
      <c r="B807" s="17" t="inlineStr">
        <is>
          <t>DEC-S16-CELEBRATION</t>
        </is>
      </c>
      <c r="C807" s="16" t="n">
        <v>16</v>
      </c>
      <c r="D807" s="17" t="inlineStr">
        <is>
          <t>CELEBRATION</t>
        </is>
      </c>
      <c r="E807" s="17" t="inlineStr">
        <is>
          <t>HIGH</t>
        </is>
      </c>
      <c r="F807" s="17" t="inlineStr">
        <is>
          <t>TRUNG BÌNH</t>
        </is>
      </c>
      <c r="G807" s="18" t="inlineStr">
        <is>
          <t>RISK_HIGH · PROMO_EXTRAPOLATION</t>
        </is>
      </c>
      <c r="H807" s="19" t="n">
        <v>16.70996859371662</v>
      </c>
      <c r="I807" s="19" t="n">
        <v>77.56482047587633</v>
      </c>
      <c r="J807" s="19" t="n">
        <v>185.963265414536</v>
      </c>
      <c r="K807" s="19" t="n">
        <v>77.56482047587633</v>
      </c>
      <c r="L807" s="19" t="n">
        <v>145.3138485625386</v>
      </c>
      <c r="M807" s="19" t="n">
        <v>185.963265414536</v>
      </c>
      <c r="N807" s="17" t="inlineStr">
        <is>
          <t>B</t>
        </is>
      </c>
      <c r="O807" s="19" t="n">
        <v>83.26199218183756</v>
      </c>
      <c r="P807" s="18" t="inlineStr">
        <is>
          <t>KHÔNG ĐỀ XUẤT TĂNG</t>
        </is>
      </c>
      <c r="Q807" s="17" t="inlineStr">
        <is>
          <t>Có</t>
        </is>
      </c>
      <c r="R807" s="20" t="n"/>
      <c r="S807" s="20" t="n"/>
      <c r="T807" s="21" t="n"/>
      <c r="U807" s="21" t="n"/>
      <c r="V807" s="22">
        <f>IF(U807="A",K807,IF(U807="B",L807,IF(U807="C",M807,IF(N807="A",K807,IF(N807="B",L807,M807)))))</f>
        <v/>
      </c>
      <c r="W807" s="22">
        <f>IF(R807="",O807,MAX(V807-R807-N(S807),0))</f>
        <v/>
      </c>
      <c r="X807" s="20" t="n"/>
      <c r="Y807" s="23">
        <f>IF(OR(X807="",W807=0),"",X807/W807-1)</f>
        <v/>
      </c>
      <c r="Z807" s="24" t="n"/>
      <c r="AA807" s="21" t="n"/>
      <c r="AB807" s="25" t="n"/>
      <c r="AC807" s="26">
        <f>IF(T807="","Chưa quyết định",IF(OR(Z807="",AA807=""),"⚠ Thiếu lý do/người duyệt",IF(AND(X807&lt;&gt;"",N(X807)+N(R807)+N(S807)&gt;M807*1.001,R807&lt;&gt;""),"⚠ Vượt mục tiêu P90",IF(AND(Y807&lt;&gt;"",ABS(N(Y807))&gt;0.3),"⚠ Lệch &gt; 30% so với nhu cầu",IF(Q807="Có","ℹ Kiểm tra ngoại suy KM","✓ Hợp lệ")))))</f>
        <v/>
      </c>
    </row>
    <row r="808">
      <c r="A808" s="16" t="n">
        <v>804</v>
      </c>
      <c r="B808" s="17" t="inlineStr">
        <is>
          <t>DEC-S36-PLAYERS_AND_ELECTRONICS</t>
        </is>
      </c>
      <c r="C808" s="16" t="n">
        <v>36</v>
      </c>
      <c r="D808" s="17" t="inlineStr">
        <is>
          <t>PLAYERS AND ELECTRONICS</t>
        </is>
      </c>
      <c r="E808" s="17" t="inlineStr">
        <is>
          <t>HIGH</t>
        </is>
      </c>
      <c r="F808" s="17" t="inlineStr">
        <is>
          <t>TRUNG BÌNH</t>
        </is>
      </c>
      <c r="G808" s="18" t="inlineStr">
        <is>
          <t>RISK_HIGH · PROMO_EXTRAPOLATION</t>
        </is>
      </c>
      <c r="H808" s="19" t="n">
        <v>13.37442663908005</v>
      </c>
      <c r="I808" s="19" t="n">
        <v>77.08034110069275</v>
      </c>
      <c r="J808" s="19" t="n">
        <v>189.7369574069977</v>
      </c>
      <c r="K808" s="19" t="n">
        <v>77.08034110069275</v>
      </c>
      <c r="L808" s="19" t="n">
        <v>147.4907262921333</v>
      </c>
      <c r="M808" s="19" t="n">
        <v>189.7369574069977</v>
      </c>
      <c r="N808" s="17" t="inlineStr">
        <is>
          <t>B</t>
        </is>
      </c>
      <c r="O808" s="19" t="n">
        <v>85.82645341157914</v>
      </c>
      <c r="P808" s="18" t="inlineStr">
        <is>
          <t>KHÔNG ĐỀ XUẤT TĂNG</t>
        </is>
      </c>
      <c r="Q808" s="17" t="inlineStr">
        <is>
          <t>Có</t>
        </is>
      </c>
      <c r="R808" s="20" t="n"/>
      <c r="S808" s="20" t="n"/>
      <c r="T808" s="21" t="n"/>
      <c r="U808" s="21" t="n"/>
      <c r="V808" s="22">
        <f>IF(U808="A",K808,IF(U808="B",L808,IF(U808="C",M808,IF(N808="A",K808,IF(N808="B",L808,M808)))))</f>
        <v/>
      </c>
      <c r="W808" s="22">
        <f>IF(R808="",O808,MAX(V808-R808-N(S808),0))</f>
        <v/>
      </c>
      <c r="X808" s="20" t="n"/>
      <c r="Y808" s="23">
        <f>IF(OR(X808="",W808=0),"",X808/W808-1)</f>
        <v/>
      </c>
      <c r="Z808" s="24" t="n"/>
      <c r="AA808" s="21" t="n"/>
      <c r="AB808" s="25" t="n"/>
      <c r="AC808" s="26">
        <f>IF(T808="","Chưa quyết định",IF(OR(Z808="",AA808=""),"⚠ Thiếu lý do/người duyệt",IF(AND(X808&lt;&gt;"",N(X808)+N(R808)+N(S808)&gt;M808*1.001,R808&lt;&gt;""),"⚠ Vượt mục tiêu P90",IF(AND(Y808&lt;&gt;"",ABS(N(Y808))&gt;0.3),"⚠ Lệch &gt; 30% so với nhu cầu",IF(Q808="Có","ℹ Kiểm tra ngoại suy KM","✓ Hợp lệ")))))</f>
        <v/>
      </c>
    </row>
    <row r="809">
      <c r="A809" s="16" t="n">
        <v>805</v>
      </c>
      <c r="B809" s="17" t="inlineStr">
        <is>
          <t>DEC-S54-AUTOMOTIVE</t>
        </is>
      </c>
      <c r="C809" s="16" t="n">
        <v>54</v>
      </c>
      <c r="D809" s="17" t="inlineStr">
        <is>
          <t>AUTOMOTIVE</t>
        </is>
      </c>
      <c r="E809" s="17" t="inlineStr">
        <is>
          <t>HIGH</t>
        </is>
      </c>
      <c r="F809" s="17" t="inlineStr">
        <is>
          <t>TRUNG BÌNH</t>
        </is>
      </c>
      <c r="G809" s="18" t="inlineStr">
        <is>
          <t>RISK_HIGH · PROMO_EXTRAPOLATION</t>
        </is>
      </c>
      <c r="H809" s="19" t="n">
        <v>10.86414167881012</v>
      </c>
      <c r="I809" s="19" t="n">
        <v>76.39811891317368</v>
      </c>
      <c r="J809" s="19" t="n">
        <v>189.0547352194786</v>
      </c>
      <c r="K809" s="19" t="n">
        <v>76.39811891317368</v>
      </c>
      <c r="L809" s="19" t="n">
        <v>146.8085041046143</v>
      </c>
      <c r="M809" s="19" t="n">
        <v>189.0547352194786</v>
      </c>
      <c r="N809" s="17" t="inlineStr">
        <is>
          <t>B</t>
        </is>
      </c>
      <c r="O809" s="19" t="n">
        <v>85.69000897407531</v>
      </c>
      <c r="P809" s="18" t="inlineStr">
        <is>
          <t>KHÔNG ĐỀ XUẤT TĂNG</t>
        </is>
      </c>
      <c r="Q809" s="17" t="inlineStr">
        <is>
          <t>Có</t>
        </is>
      </c>
      <c r="R809" s="20" t="n"/>
      <c r="S809" s="20" t="n"/>
      <c r="T809" s="21" t="n"/>
      <c r="U809" s="21" t="n"/>
      <c r="V809" s="22">
        <f>IF(U809="A",K809,IF(U809="B",L809,IF(U809="C",M809,IF(N809="A",K809,IF(N809="B",L809,M809)))))</f>
        <v/>
      </c>
      <c r="W809" s="22">
        <f>IF(R809="",O809,MAX(V809-R809-N(S809),0))</f>
        <v/>
      </c>
      <c r="X809" s="20" t="n"/>
      <c r="Y809" s="23">
        <f>IF(OR(X809="",W809=0),"",X809/W809-1)</f>
        <v/>
      </c>
      <c r="Z809" s="24" t="n"/>
      <c r="AA809" s="21" t="n"/>
      <c r="AB809" s="25" t="n"/>
      <c r="AC809" s="26">
        <f>IF(T809="","Chưa quyết định",IF(OR(Z809="",AA809=""),"⚠ Thiếu lý do/người duyệt",IF(AND(X809&lt;&gt;"",N(X809)+N(R809)+N(S809)&gt;M809*1.001,R809&lt;&gt;""),"⚠ Vượt mục tiêu P90",IF(AND(Y809&lt;&gt;"",ABS(N(Y809))&gt;0.3),"⚠ Lệch &gt; 30% so với nhu cầu",IF(Q809="Có","ℹ Kiểm tra ngoại suy KM","✓ Hợp lệ")))))</f>
        <v/>
      </c>
    </row>
    <row r="810">
      <c r="A810" s="16" t="n">
        <v>806</v>
      </c>
      <c r="B810" s="17" t="inlineStr">
        <is>
          <t>DEC-S05-MAGAZINES</t>
        </is>
      </c>
      <c r="C810" s="16" t="n">
        <v>5</v>
      </c>
      <c r="D810" s="17" t="inlineStr">
        <is>
          <t>MAGAZINES</t>
        </is>
      </c>
      <c r="E810" s="17" t="inlineStr">
        <is>
          <t>HIGH</t>
        </is>
      </c>
      <c r="F810" s="17" t="inlineStr">
        <is>
          <t>TRUNG BÌNH</t>
        </is>
      </c>
      <c r="G810" s="18" t="inlineStr">
        <is>
          <t>RISK_HIGH · PROMO_EXTRAPOLATION</t>
        </is>
      </c>
      <c r="H810" s="19" t="n">
        <v>12.63507316112518</v>
      </c>
      <c r="I810" s="19" t="n">
        <v>76.23831993341446</v>
      </c>
      <c r="J810" s="19" t="n">
        <v>188.8949362397194</v>
      </c>
      <c r="K810" s="19" t="n">
        <v>76.23831993341446</v>
      </c>
      <c r="L810" s="19" t="n">
        <v>146.648705124855</v>
      </c>
      <c r="M810" s="19" t="n">
        <v>188.8949362397194</v>
      </c>
      <c r="N810" s="17" t="inlineStr">
        <is>
          <t>B</t>
        </is>
      </c>
      <c r="O810" s="19" t="n">
        <v>85.65804917812343</v>
      </c>
      <c r="P810" s="18" t="inlineStr">
        <is>
          <t>KHÔNG ĐỀ XUẤT TĂNG</t>
        </is>
      </c>
      <c r="Q810" s="17" t="inlineStr">
        <is>
          <t>Có</t>
        </is>
      </c>
      <c r="R810" s="20" t="n"/>
      <c r="S810" s="20" t="n"/>
      <c r="T810" s="21" t="n"/>
      <c r="U810" s="21" t="n"/>
      <c r="V810" s="22">
        <f>IF(U810="A",K810,IF(U810="B",L810,IF(U810="C",M810,IF(N810="A",K810,IF(N810="B",L810,M810)))))</f>
        <v/>
      </c>
      <c r="W810" s="22">
        <f>IF(R810="",O810,MAX(V810-R810-N(S810),0))</f>
        <v/>
      </c>
      <c r="X810" s="20" t="n"/>
      <c r="Y810" s="23">
        <f>IF(OR(X810="",W810=0),"",X810/W810-1)</f>
        <v/>
      </c>
      <c r="Z810" s="24" t="n"/>
      <c r="AA810" s="21" t="n"/>
      <c r="AB810" s="25" t="n"/>
      <c r="AC810" s="26">
        <f>IF(T810="","Chưa quyết định",IF(OR(Z810="",AA810=""),"⚠ Thiếu lý do/người duyệt",IF(AND(X810&lt;&gt;"",N(X810)+N(R810)+N(S810)&gt;M810*1.001,R810&lt;&gt;""),"⚠ Vượt mục tiêu P90",IF(AND(Y810&lt;&gt;"",ABS(N(Y810))&gt;0.3),"⚠ Lệch &gt; 30% so với nhu cầu",IF(Q810="Có","ℹ Kiểm tra ngoại suy KM","✓ Hợp lệ")))))</f>
        <v/>
      </c>
    </row>
    <row r="811">
      <c r="A811" s="16" t="n">
        <v>807</v>
      </c>
      <c r="B811" s="17" t="inlineStr">
        <is>
          <t>DEC-S34-AUTOMOTIVE</t>
        </is>
      </c>
      <c r="C811" s="16" t="n">
        <v>34</v>
      </c>
      <c r="D811" s="17" t="inlineStr">
        <is>
          <t>AUTOMOTIVE</t>
        </is>
      </c>
      <c r="E811" s="17" t="inlineStr">
        <is>
          <t>HIGH</t>
        </is>
      </c>
      <c r="F811" s="17" t="inlineStr">
        <is>
          <t>TRUNG BÌNH</t>
        </is>
      </c>
      <c r="G811" s="18" t="inlineStr">
        <is>
          <t>RISK_HIGH · PROMO_EXTRAPOLATION</t>
        </is>
      </c>
      <c r="H811" s="19" t="n">
        <v>11.61997699737549</v>
      </c>
      <c r="I811" s="19" t="n">
        <v>76.1676504611969</v>
      </c>
      <c r="J811" s="19" t="n">
        <v>188.564400434494</v>
      </c>
      <c r="K811" s="19" t="n">
        <v>76.1676504611969</v>
      </c>
      <c r="L811" s="19" t="n">
        <v>146.4156191945076</v>
      </c>
      <c r="M811" s="19" t="n">
        <v>188.564400434494</v>
      </c>
      <c r="N811" s="17" t="inlineStr">
        <is>
          <t>B</t>
        </is>
      </c>
      <c r="O811" s="19" t="n">
        <v>85.48149882555005</v>
      </c>
      <c r="P811" s="18" t="inlineStr">
        <is>
          <t>KHÔNG ĐỀ XUẤT TĂNG</t>
        </is>
      </c>
      <c r="Q811" s="17" t="inlineStr">
        <is>
          <t>Có</t>
        </is>
      </c>
      <c r="R811" s="20" t="n"/>
      <c r="S811" s="20" t="n"/>
      <c r="T811" s="21" t="n"/>
      <c r="U811" s="21" t="n"/>
      <c r="V811" s="22">
        <f>IF(U811="A",K811,IF(U811="B",L811,IF(U811="C",M811,IF(N811="A",K811,IF(N811="B",L811,M811)))))</f>
        <v/>
      </c>
      <c r="W811" s="22">
        <f>IF(R811="",O811,MAX(V811-R811-N(S811),0))</f>
        <v/>
      </c>
      <c r="X811" s="20" t="n"/>
      <c r="Y811" s="23">
        <f>IF(OR(X811="",W811=0),"",X811/W811-1)</f>
        <v/>
      </c>
      <c r="Z811" s="24" t="n"/>
      <c r="AA811" s="21" t="n"/>
      <c r="AB811" s="25" t="n"/>
      <c r="AC811" s="26">
        <f>IF(T811="","Chưa quyết định",IF(OR(Z811="",AA811=""),"⚠ Thiếu lý do/người duyệt",IF(AND(X811&lt;&gt;"",N(X811)+N(R811)+N(S811)&gt;M811*1.001,R811&lt;&gt;""),"⚠ Vượt mục tiêu P90",IF(AND(Y811&lt;&gt;"",ABS(N(Y811))&gt;0.3),"⚠ Lệch &gt; 30% so với nhu cầu",IF(Q811="Có","ℹ Kiểm tra ngoại suy KM","✓ Hợp lệ")))))</f>
        <v/>
      </c>
    </row>
    <row r="812">
      <c r="A812" s="16" t="n">
        <v>808</v>
      </c>
      <c r="B812" s="17" t="inlineStr">
        <is>
          <t>DEC-S13-CELEBRATION</t>
        </is>
      </c>
      <c r="C812" s="16" t="n">
        <v>13</v>
      </c>
      <c r="D812" s="17" t="inlineStr">
        <is>
          <t>CELEBRATION</t>
        </is>
      </c>
      <c r="E812" s="17" t="inlineStr">
        <is>
          <t>HIGH</t>
        </is>
      </c>
      <c r="F812" s="17" t="inlineStr">
        <is>
          <t>TRUNG BÌNH</t>
        </is>
      </c>
      <c r="G812" s="18" t="inlineStr">
        <is>
          <t>RISK_HIGH · PROMO_EXTRAPOLATION</t>
        </is>
      </c>
      <c r="H812" s="19" t="n">
        <v>13.71669173240662</v>
      </c>
      <c r="I812" s="19" t="n">
        <v>76.07156300544739</v>
      </c>
      <c r="J812" s="19" t="n">
        <v>188.4683129787445</v>
      </c>
      <c r="K812" s="19" t="n">
        <v>76.07156300544739</v>
      </c>
      <c r="L812" s="19" t="n">
        <v>146.3195317387581</v>
      </c>
      <c r="M812" s="19" t="n">
        <v>188.4683129787445</v>
      </c>
      <c r="N812" s="17" t="inlineStr">
        <is>
          <t>B</t>
        </is>
      </c>
      <c r="O812" s="19" t="n">
        <v>85.46228133440017</v>
      </c>
      <c r="P812" s="18" t="inlineStr">
        <is>
          <t>KHÔNG ĐỀ XUẤT TĂNG</t>
        </is>
      </c>
      <c r="Q812" s="17" t="inlineStr">
        <is>
          <t>Có</t>
        </is>
      </c>
      <c r="R812" s="20" t="n"/>
      <c r="S812" s="20" t="n"/>
      <c r="T812" s="21" t="n"/>
      <c r="U812" s="21" t="n"/>
      <c r="V812" s="22">
        <f>IF(U812="A",K812,IF(U812="B",L812,IF(U812="C",M812,IF(N812="A",K812,IF(N812="B",L812,M812)))))</f>
        <v/>
      </c>
      <c r="W812" s="22">
        <f>IF(R812="",O812,MAX(V812-R812-N(S812),0))</f>
        <v/>
      </c>
      <c r="X812" s="20" t="n"/>
      <c r="Y812" s="23">
        <f>IF(OR(X812="",W812=0),"",X812/W812-1)</f>
        <v/>
      </c>
      <c r="Z812" s="24" t="n"/>
      <c r="AA812" s="21" t="n"/>
      <c r="AB812" s="25" t="n"/>
      <c r="AC812" s="26">
        <f>IF(T812="","Chưa quyết định",IF(OR(Z812="",AA812=""),"⚠ Thiếu lý do/người duyệt",IF(AND(X812&lt;&gt;"",N(X812)+N(R812)+N(S812)&gt;M812*1.001,R812&lt;&gt;""),"⚠ Vượt mục tiêu P90",IF(AND(Y812&lt;&gt;"",ABS(N(Y812))&gt;0.3),"⚠ Lệch &gt; 30% so với nhu cầu",IF(Q812="Có","ℹ Kiểm tra ngoại suy KM","✓ Hợp lệ")))))</f>
        <v/>
      </c>
    </row>
    <row r="813">
      <c r="A813" s="16" t="n">
        <v>809</v>
      </c>
      <c r="B813" s="17" t="inlineStr">
        <is>
          <t>DEC-S44-HARDWARE</t>
        </is>
      </c>
      <c r="C813" s="16" t="n">
        <v>44</v>
      </c>
      <c r="D813" s="17" t="inlineStr">
        <is>
          <t>HARDWARE</t>
        </is>
      </c>
      <c r="E813" s="17" t="inlineStr">
        <is>
          <t>HIGH</t>
        </is>
      </c>
      <c r="F813" s="17" t="inlineStr">
        <is>
          <t>TRUNG BÌNH</t>
        </is>
      </c>
      <c r="G813" s="18" t="inlineStr">
        <is>
          <t>RISK_HIGH · PROMO_EXTRAPOLATION</t>
        </is>
      </c>
      <c r="H813" s="19" t="n">
        <v>20.22278255820274</v>
      </c>
      <c r="I813" s="19" t="n">
        <v>75.56767037510872</v>
      </c>
      <c r="J813" s="19" t="n">
        <v>181.577163296938</v>
      </c>
      <c r="K813" s="19" t="n">
        <v>75.56767037510872</v>
      </c>
      <c r="L813" s="19" t="n">
        <v>141.823603451252</v>
      </c>
      <c r="M813" s="19" t="n">
        <v>181.577163296938</v>
      </c>
      <c r="N813" s="17" t="inlineStr">
        <is>
          <t>B</t>
        </is>
      </c>
      <c r="O813" s="19" t="n">
        <v>81.369467151165</v>
      </c>
      <c r="P813" s="18" t="inlineStr">
        <is>
          <t>KHÔNG ĐỀ XUẤT TĂNG</t>
        </is>
      </c>
      <c r="Q813" s="17" t="inlineStr">
        <is>
          <t>Có</t>
        </is>
      </c>
      <c r="R813" s="20" t="n"/>
      <c r="S813" s="20" t="n"/>
      <c r="T813" s="21" t="n"/>
      <c r="U813" s="21" t="n"/>
      <c r="V813" s="22">
        <f>IF(U813="A",K813,IF(U813="B",L813,IF(U813="C",M813,IF(N813="A",K813,IF(N813="B",L813,M813)))))</f>
        <v/>
      </c>
      <c r="W813" s="22">
        <f>IF(R813="",O813,MAX(V813-R813-N(S813),0))</f>
        <v/>
      </c>
      <c r="X813" s="20" t="n"/>
      <c r="Y813" s="23">
        <f>IF(OR(X813="",W813=0),"",X813/W813-1)</f>
        <v/>
      </c>
      <c r="Z813" s="24" t="n"/>
      <c r="AA813" s="21" t="n"/>
      <c r="AB813" s="25" t="n"/>
      <c r="AC813" s="26">
        <f>IF(T813="","Chưa quyết định",IF(OR(Z813="",AA813=""),"⚠ Thiếu lý do/người duyệt",IF(AND(X813&lt;&gt;"",N(X813)+N(R813)+N(S813)&gt;M813*1.001,R813&lt;&gt;""),"⚠ Vượt mục tiêu P90",IF(AND(Y813&lt;&gt;"",ABS(N(Y813))&gt;0.3),"⚠ Lệch &gt; 30% so với nhu cầu",IF(Q813="Có","ℹ Kiểm tra ngoại suy KM","✓ Hợp lệ")))))</f>
        <v/>
      </c>
    </row>
    <row r="814">
      <c r="A814" s="16" t="n">
        <v>810</v>
      </c>
      <c r="B814" s="17" t="inlineStr">
        <is>
          <t>DEC-S03-HARDWARE</t>
        </is>
      </c>
      <c r="C814" s="16" t="n">
        <v>3</v>
      </c>
      <c r="D814" s="17" t="inlineStr">
        <is>
          <t>HARDWARE</t>
        </is>
      </c>
      <c r="E814" s="17" t="inlineStr">
        <is>
          <t>HIGH</t>
        </is>
      </c>
      <c r="F814" s="17" t="inlineStr">
        <is>
          <t>TRUNG BÌNH</t>
        </is>
      </c>
      <c r="G814" s="18" t="inlineStr">
        <is>
          <t>RISK_HIGH · PROMO_EXTRAPOLATION</t>
        </is>
      </c>
      <c r="H814" s="19" t="n">
        <v>11.78001570701599</v>
      </c>
      <c r="I814" s="19" t="n">
        <v>75.47507929801941</v>
      </c>
      <c r="J814" s="19" t="n">
        <v>187.8718292713165</v>
      </c>
      <c r="K814" s="19" t="n">
        <v>75.47507929801941</v>
      </c>
      <c r="L814" s="19" t="n">
        <v>145.7230480313301</v>
      </c>
      <c r="M814" s="19" t="n">
        <v>187.8718292713165</v>
      </c>
      <c r="N814" s="17" t="inlineStr">
        <is>
          <t>B</t>
        </is>
      </c>
      <c r="O814" s="19" t="n">
        <v>85.34298459291458</v>
      </c>
      <c r="P814" s="18" t="inlineStr">
        <is>
          <t>KHÔNG ĐỀ XUẤT TĂNG</t>
        </is>
      </c>
      <c r="Q814" s="17" t="inlineStr">
        <is>
          <t>Có</t>
        </is>
      </c>
      <c r="R814" s="20" t="n"/>
      <c r="S814" s="20" t="n"/>
      <c r="T814" s="21" t="n"/>
      <c r="U814" s="21" t="n"/>
      <c r="V814" s="22">
        <f>IF(U814="A",K814,IF(U814="B",L814,IF(U814="C",M814,IF(N814="A",K814,IF(N814="B",L814,M814)))))</f>
        <v/>
      </c>
      <c r="W814" s="22">
        <f>IF(R814="",O814,MAX(V814-R814-N(S814),0))</f>
        <v/>
      </c>
      <c r="X814" s="20" t="n"/>
      <c r="Y814" s="23">
        <f>IF(OR(X814="",W814=0),"",X814/W814-1)</f>
        <v/>
      </c>
      <c r="Z814" s="24" t="n"/>
      <c r="AA814" s="21" t="n"/>
      <c r="AB814" s="25" t="n"/>
      <c r="AC814" s="26">
        <f>IF(T814="","Chưa quyết định",IF(OR(Z814="",AA814=""),"⚠ Thiếu lý do/người duyệt",IF(AND(X814&lt;&gt;"",N(X814)+N(R814)+N(S814)&gt;M814*1.001,R814&lt;&gt;""),"⚠ Vượt mục tiêu P90",IF(AND(Y814&lt;&gt;"",ABS(N(Y814))&gt;0.3),"⚠ Lệch &gt; 30% so với nhu cầu",IF(Q814="Có","ℹ Kiểm tra ngoại suy KM","✓ Hợp lệ")))))</f>
        <v/>
      </c>
    </row>
    <row r="815">
      <c r="A815" s="16" t="n">
        <v>811</v>
      </c>
      <c r="B815" s="17" t="inlineStr">
        <is>
          <t>DEC-S29-PET_SUPPLIES</t>
        </is>
      </c>
      <c r="C815" s="16" t="n">
        <v>29</v>
      </c>
      <c r="D815" s="17" t="inlineStr">
        <is>
          <t>PET SUPPLIES</t>
        </is>
      </c>
      <c r="E815" s="17" t="inlineStr">
        <is>
          <t>HIGH</t>
        </is>
      </c>
      <c r="F815" s="17" t="inlineStr">
        <is>
          <t>TRUNG BÌNH</t>
        </is>
      </c>
      <c r="G815" s="18" t="inlineStr">
        <is>
          <t>RISK_HIGH · PROMO_EXTRAPOLATION</t>
        </is>
      </c>
      <c r="H815" s="19" t="n">
        <v>14.71375417709351</v>
      </c>
      <c r="I815" s="19" t="n">
        <v>75.35863947868347</v>
      </c>
      <c r="J815" s="19" t="n">
        <v>185.3664374351501</v>
      </c>
      <c r="K815" s="19" t="n">
        <v>75.35863947868347</v>
      </c>
      <c r="L815" s="19" t="n">
        <v>144.1135132014751</v>
      </c>
      <c r="M815" s="19" t="n">
        <v>185.3664374351501</v>
      </c>
      <c r="N815" s="17" t="inlineStr">
        <is>
          <t>B</t>
        </is>
      </c>
      <c r="O815" s="19" t="n">
        <v>83.82660161852834</v>
      </c>
      <c r="P815" s="18" t="inlineStr">
        <is>
          <t>KHÔNG ĐỀ XUẤT TĂNG</t>
        </is>
      </c>
      <c r="Q815" s="17" t="inlineStr">
        <is>
          <t>Có</t>
        </is>
      </c>
      <c r="R815" s="20" t="n"/>
      <c r="S815" s="20" t="n"/>
      <c r="T815" s="21" t="n"/>
      <c r="U815" s="21" t="n"/>
      <c r="V815" s="22">
        <f>IF(U815="A",K815,IF(U815="B",L815,IF(U815="C",M815,IF(N815="A",K815,IF(N815="B",L815,M815)))))</f>
        <v/>
      </c>
      <c r="W815" s="22">
        <f>IF(R815="",O815,MAX(V815-R815-N(S815),0))</f>
        <v/>
      </c>
      <c r="X815" s="20" t="n"/>
      <c r="Y815" s="23">
        <f>IF(OR(X815="",W815=0),"",X815/W815-1)</f>
        <v/>
      </c>
      <c r="Z815" s="24" t="n"/>
      <c r="AA815" s="21" t="n"/>
      <c r="AB815" s="25" t="n"/>
      <c r="AC815" s="26">
        <f>IF(T815="","Chưa quyết định",IF(OR(Z815="",AA815=""),"⚠ Thiếu lý do/người duyệt",IF(AND(X815&lt;&gt;"",N(X815)+N(R815)+N(S815)&gt;M815*1.001,R815&lt;&gt;""),"⚠ Vượt mục tiêu P90",IF(AND(Y815&lt;&gt;"",ABS(N(Y815))&gt;0.3),"⚠ Lệch &gt; 30% so với nhu cầu",IF(Q815="Có","ℹ Kiểm tra ngoại suy KM","✓ Hợp lệ")))))</f>
        <v/>
      </c>
    </row>
    <row r="816">
      <c r="A816" s="16" t="n">
        <v>812</v>
      </c>
      <c r="B816" s="17" t="inlineStr">
        <is>
          <t>DEC-S37-AUTOMOTIVE</t>
        </is>
      </c>
      <c r="C816" s="16" t="n">
        <v>37</v>
      </c>
      <c r="D816" s="17" t="inlineStr">
        <is>
          <t>AUTOMOTIVE</t>
        </is>
      </c>
      <c r="E816" s="17" t="inlineStr">
        <is>
          <t>HIGH</t>
        </is>
      </c>
      <c r="F816" s="17" t="inlineStr">
        <is>
          <t>TRUNG BÌNH</t>
        </is>
      </c>
      <c r="G816" s="18" t="inlineStr">
        <is>
          <t>RISK_HIGH · PROMO_EXTRAPOLATION</t>
        </is>
      </c>
      <c r="H816" s="19" t="n">
        <v>10.64500045776367</v>
      </c>
      <c r="I816" s="19" t="n">
        <v>75.26148867607117</v>
      </c>
      <c r="J816" s="19" t="n">
        <v>187.6582386493683</v>
      </c>
      <c r="K816" s="19" t="n">
        <v>75.26148867607117</v>
      </c>
      <c r="L816" s="19" t="n">
        <v>145.5094574093819</v>
      </c>
      <c r="M816" s="19" t="n">
        <v>187.6582386493683</v>
      </c>
      <c r="N816" s="17" t="inlineStr">
        <is>
          <t>B</t>
        </is>
      </c>
      <c r="O816" s="19" t="n">
        <v>85.30026646852494</v>
      </c>
      <c r="P816" s="18" t="inlineStr">
        <is>
          <t>KHÔNG ĐỀ XUẤT TĂNG</t>
        </is>
      </c>
      <c r="Q816" s="17" t="inlineStr">
        <is>
          <t>Có</t>
        </is>
      </c>
      <c r="R816" s="20" t="n"/>
      <c r="S816" s="20" t="n"/>
      <c r="T816" s="21" t="n"/>
      <c r="U816" s="21" t="n"/>
      <c r="V816" s="22">
        <f>IF(U816="A",K816,IF(U816="B",L816,IF(U816="C",M816,IF(N816="A",K816,IF(N816="B",L816,M816)))))</f>
        <v/>
      </c>
      <c r="W816" s="22">
        <f>IF(R816="",O816,MAX(V816-R816-N(S816),0))</f>
        <v/>
      </c>
      <c r="X816" s="20" t="n"/>
      <c r="Y816" s="23">
        <f>IF(OR(X816="",W816=0),"",X816/W816-1)</f>
        <v/>
      </c>
      <c r="Z816" s="24" t="n"/>
      <c r="AA816" s="21" t="n"/>
      <c r="AB816" s="25" t="n"/>
      <c r="AC816" s="26">
        <f>IF(T816="","Chưa quyết định",IF(OR(Z816="",AA816=""),"⚠ Thiếu lý do/người duyệt",IF(AND(X816&lt;&gt;"",N(X816)+N(R816)+N(S816)&gt;M816*1.001,R816&lt;&gt;""),"⚠ Vượt mục tiêu P90",IF(AND(Y816&lt;&gt;"",ABS(N(Y816))&gt;0.3),"⚠ Lệch &gt; 30% so với nhu cầu",IF(Q816="Có","ℹ Kiểm tra ngoại suy KM","✓ Hợp lệ")))))</f>
        <v/>
      </c>
    </row>
    <row r="817">
      <c r="A817" s="16" t="n">
        <v>813</v>
      </c>
      <c r="B817" s="17" t="inlineStr">
        <is>
          <t>DEC-S53-LINGERIE</t>
        </is>
      </c>
      <c r="C817" s="16" t="n">
        <v>53</v>
      </c>
      <c r="D817" s="17" t="inlineStr">
        <is>
          <t>LINGERIE</t>
        </is>
      </c>
      <c r="E817" s="17" t="inlineStr">
        <is>
          <t>HIGH</t>
        </is>
      </c>
      <c r="F817" s="17" t="inlineStr">
        <is>
          <t>TRUNG BÌNH</t>
        </is>
      </c>
      <c r="G817" s="18" t="inlineStr">
        <is>
          <t>RISK_HIGH · PROMO_EXTRAPOLATION</t>
        </is>
      </c>
      <c r="H817" s="19" t="n">
        <v>12.08127236366272</v>
      </c>
      <c r="I817" s="19" t="n">
        <v>74.22471404075623</v>
      </c>
      <c r="J817" s="19" t="n">
        <v>186.6214640140533</v>
      </c>
      <c r="K817" s="19" t="n">
        <v>74.22471404075623</v>
      </c>
      <c r="L817" s="19" t="n">
        <v>144.4726827740669</v>
      </c>
      <c r="M817" s="19" t="n">
        <v>186.6214640140533</v>
      </c>
      <c r="N817" s="17" t="inlineStr">
        <is>
          <t>B</t>
        </is>
      </c>
      <c r="O817" s="19" t="n">
        <v>85.09291154146192</v>
      </c>
      <c r="P817" s="18" t="inlineStr">
        <is>
          <t>KHÔNG ĐỀ XUẤT TĂNG</t>
        </is>
      </c>
      <c r="Q817" s="17" t="inlineStr">
        <is>
          <t>Có</t>
        </is>
      </c>
      <c r="R817" s="20" t="n"/>
      <c r="S817" s="20" t="n"/>
      <c r="T817" s="21" t="n"/>
      <c r="U817" s="21" t="n"/>
      <c r="V817" s="22">
        <f>IF(U817="A",K817,IF(U817="B",L817,IF(U817="C",M817,IF(N817="A",K817,IF(N817="B",L817,M817)))))</f>
        <v/>
      </c>
      <c r="W817" s="22">
        <f>IF(R817="",O817,MAX(V817-R817-N(S817),0))</f>
        <v/>
      </c>
      <c r="X817" s="20" t="n"/>
      <c r="Y817" s="23">
        <f>IF(OR(X817="",W817=0),"",X817/W817-1)</f>
        <v/>
      </c>
      <c r="Z817" s="24" t="n"/>
      <c r="AA817" s="21" t="n"/>
      <c r="AB817" s="25" t="n"/>
      <c r="AC817" s="26">
        <f>IF(T817="","Chưa quyết định",IF(OR(Z817="",AA817=""),"⚠ Thiếu lý do/người duyệt",IF(AND(X817&lt;&gt;"",N(X817)+N(R817)+N(S817)&gt;M817*1.001,R817&lt;&gt;""),"⚠ Vượt mục tiêu P90",IF(AND(Y817&lt;&gt;"",ABS(N(Y817))&gt;0.3),"⚠ Lệch &gt; 30% so với nhu cầu",IF(Q817="Có","ℹ Kiểm tra ngoại suy KM","✓ Hợp lệ")))))</f>
        <v/>
      </c>
    </row>
    <row r="818">
      <c r="A818" s="16" t="n">
        <v>814</v>
      </c>
      <c r="B818" s="17" t="inlineStr">
        <is>
          <t>DEC-S22-LINGERIE</t>
        </is>
      </c>
      <c r="C818" s="16" t="n">
        <v>22</v>
      </c>
      <c r="D818" s="17" t="inlineStr">
        <is>
          <t>LINGERIE</t>
        </is>
      </c>
      <c r="E818" s="17" t="inlineStr">
        <is>
          <t>HIGH</t>
        </is>
      </c>
      <c r="F818" s="17" t="inlineStr">
        <is>
          <t>TRUNG BÌNH</t>
        </is>
      </c>
      <c r="G818" s="18" t="inlineStr">
        <is>
          <t>RISK_HIGH · PROMO_EXTRAPOLATION</t>
        </is>
      </c>
      <c r="H818" s="19" t="n">
        <v>9.312928295135498</v>
      </c>
      <c r="I818" s="19" t="n">
        <v>73.33413106203079</v>
      </c>
      <c r="J818" s="19" t="n">
        <v>185.9907473683357</v>
      </c>
      <c r="K818" s="19" t="n">
        <v>73.33413106203079</v>
      </c>
      <c r="L818" s="19" t="n">
        <v>143.7445162534713</v>
      </c>
      <c r="M818" s="19" t="n">
        <v>185.9907473683357</v>
      </c>
      <c r="N818" s="17" t="inlineStr">
        <is>
          <t>B</t>
        </is>
      </c>
      <c r="O818" s="19" t="n">
        <v>85.0772114038467</v>
      </c>
      <c r="P818" s="18" t="inlineStr">
        <is>
          <t>KHÔNG ĐỀ XUẤT TĂNG</t>
        </is>
      </c>
      <c r="Q818" s="17" t="inlineStr">
        <is>
          <t>Có</t>
        </is>
      </c>
      <c r="R818" s="20" t="n"/>
      <c r="S818" s="20" t="n"/>
      <c r="T818" s="21" t="n"/>
      <c r="U818" s="21" t="n"/>
      <c r="V818" s="22">
        <f>IF(U818="A",K818,IF(U818="B",L818,IF(U818="C",M818,IF(N818="A",K818,IF(N818="B",L818,M818)))))</f>
        <v/>
      </c>
      <c r="W818" s="22">
        <f>IF(R818="",O818,MAX(V818-R818-N(S818),0))</f>
        <v/>
      </c>
      <c r="X818" s="20" t="n"/>
      <c r="Y818" s="23">
        <f>IF(OR(X818="",W818=0),"",X818/W818-1)</f>
        <v/>
      </c>
      <c r="Z818" s="24" t="n"/>
      <c r="AA818" s="21" t="n"/>
      <c r="AB818" s="25" t="n"/>
      <c r="AC818" s="26">
        <f>IF(T818="","Chưa quyết định",IF(OR(Z818="",AA818=""),"⚠ Thiếu lý do/người duyệt",IF(AND(X818&lt;&gt;"",N(X818)+N(R818)+N(S818)&gt;M818*1.001,R818&lt;&gt;""),"⚠ Vượt mục tiêu P90",IF(AND(Y818&lt;&gt;"",ABS(N(Y818))&gt;0.3),"⚠ Lệch &gt; 30% so với nhu cầu",IF(Q818="Có","ℹ Kiểm tra ngoại suy KM","✓ Hợp lệ")))))</f>
        <v/>
      </c>
    </row>
    <row r="819">
      <c r="A819" s="16" t="n">
        <v>815</v>
      </c>
      <c r="B819" s="17" t="inlineStr">
        <is>
          <t>DEC-S52-HARDWARE</t>
        </is>
      </c>
      <c r="C819" s="16" t="n">
        <v>52</v>
      </c>
      <c r="D819" s="17" t="inlineStr">
        <is>
          <t>HARDWARE</t>
        </is>
      </c>
      <c r="E819" s="17" t="inlineStr">
        <is>
          <t>HIGH</t>
        </is>
      </c>
      <c r="F819" s="17" t="inlineStr">
        <is>
          <t>TRUNG BÌNH</t>
        </is>
      </c>
      <c r="G819" s="18" t="inlineStr">
        <is>
          <t>RISK_HIGH · PROMO_EXTRAPOLATION</t>
        </is>
      </c>
      <c r="H819" s="19" t="n">
        <v>11.98302936553955</v>
      </c>
      <c r="I819" s="19" t="n">
        <v>72.96972727775574</v>
      </c>
      <c r="J819" s="19" t="n">
        <v>182.9775252342224</v>
      </c>
      <c r="K819" s="19" t="n">
        <v>72.96972727775574</v>
      </c>
      <c r="L819" s="19" t="n">
        <v>141.7246010005474</v>
      </c>
      <c r="M819" s="19" t="n">
        <v>182.9775252342224</v>
      </c>
      <c r="N819" s="17" t="inlineStr">
        <is>
          <t>B</t>
        </is>
      </c>
      <c r="O819" s="19" t="n">
        <v>83.34881917834281</v>
      </c>
      <c r="P819" s="18" t="inlineStr">
        <is>
          <t>KHÔNG ĐỀ XUẤT TĂNG</t>
        </is>
      </c>
      <c r="Q819" s="17" t="inlineStr">
        <is>
          <t>Có</t>
        </is>
      </c>
      <c r="R819" s="20" t="n"/>
      <c r="S819" s="20" t="n"/>
      <c r="T819" s="21" t="n"/>
      <c r="U819" s="21" t="n"/>
      <c r="V819" s="22">
        <f>IF(U819="A",K819,IF(U819="B",L819,IF(U819="C",M819,IF(N819="A",K819,IF(N819="B",L819,M819)))))</f>
        <v/>
      </c>
      <c r="W819" s="22">
        <f>IF(R819="",O819,MAX(V819-R819-N(S819),0))</f>
        <v/>
      </c>
      <c r="X819" s="20" t="n"/>
      <c r="Y819" s="23">
        <f>IF(OR(X819="",W819=0),"",X819/W819-1)</f>
        <v/>
      </c>
      <c r="Z819" s="24" t="n"/>
      <c r="AA819" s="21" t="n"/>
      <c r="AB819" s="25" t="n"/>
      <c r="AC819" s="26">
        <f>IF(T819="","Chưa quyết định",IF(OR(Z819="",AA819=""),"⚠ Thiếu lý do/người duyệt",IF(AND(X819&lt;&gt;"",N(X819)+N(R819)+N(S819)&gt;M819*1.001,R819&lt;&gt;""),"⚠ Vượt mục tiêu P90",IF(AND(Y819&lt;&gt;"",ABS(N(Y819))&gt;0.3),"⚠ Lệch &gt; 30% so với nhu cầu",IF(Q819="Có","ℹ Kiểm tra ngoại suy KM","✓ Hợp lệ")))))</f>
        <v/>
      </c>
    </row>
    <row r="820">
      <c r="A820" s="16" t="n">
        <v>816</v>
      </c>
      <c r="B820" s="17" t="inlineStr">
        <is>
          <t>DEC-S21-PLAYERS_AND_ELECTRONICS</t>
        </is>
      </c>
      <c r="C820" s="16" t="n">
        <v>21</v>
      </c>
      <c r="D820" s="17" t="inlineStr">
        <is>
          <t>PLAYERS AND ELECTRONICS</t>
        </is>
      </c>
      <c r="E820" s="17" t="inlineStr">
        <is>
          <t>HIGH</t>
        </is>
      </c>
      <c r="F820" s="17" t="inlineStr">
        <is>
          <t>TRUNG BÌNH</t>
        </is>
      </c>
      <c r="G820" s="18" t="inlineStr">
        <is>
          <t>RISK_HIGH · PROMO_EXTRAPOLATION</t>
        </is>
      </c>
      <c r="H820" s="19" t="n">
        <v>11.72723016738892</v>
      </c>
      <c r="I820" s="19" t="n">
        <v>72.70951992273331</v>
      </c>
      <c r="J820" s="19" t="n">
        <v>182.9771842122078</v>
      </c>
      <c r="K820" s="19" t="n">
        <v>72.70951992273331</v>
      </c>
      <c r="L820" s="19" t="n">
        <v>141.6268101036549</v>
      </c>
      <c r="M820" s="19" t="n">
        <v>182.9771842122078</v>
      </c>
      <c r="N820" s="17" t="inlineStr">
        <is>
          <t>B</t>
        </is>
      </c>
      <c r="O820" s="19" t="n">
        <v>83.4591941654682</v>
      </c>
      <c r="P820" s="18" t="inlineStr">
        <is>
          <t>KHÔNG ĐỀ XUẤT TĂNG</t>
        </is>
      </c>
      <c r="Q820" s="17" t="inlineStr">
        <is>
          <t>Có</t>
        </is>
      </c>
      <c r="R820" s="20" t="n"/>
      <c r="S820" s="20" t="n"/>
      <c r="T820" s="21" t="n"/>
      <c r="U820" s="21" t="n"/>
      <c r="V820" s="22">
        <f>IF(U820="A",K820,IF(U820="B",L820,IF(U820="C",M820,IF(N820="A",K820,IF(N820="B",L820,M820)))))</f>
        <v/>
      </c>
      <c r="W820" s="22">
        <f>IF(R820="",O820,MAX(V820-R820-N(S820),0))</f>
        <v/>
      </c>
      <c r="X820" s="20" t="n"/>
      <c r="Y820" s="23">
        <f>IF(OR(X820="",W820=0),"",X820/W820-1)</f>
        <v/>
      </c>
      <c r="Z820" s="24" t="n"/>
      <c r="AA820" s="21" t="n"/>
      <c r="AB820" s="25" t="n"/>
      <c r="AC820" s="26">
        <f>IF(T820="","Chưa quyết định",IF(OR(Z820="",AA820=""),"⚠ Thiếu lý do/người duyệt",IF(AND(X820&lt;&gt;"",N(X820)+N(R820)+N(S820)&gt;M820*1.001,R820&lt;&gt;""),"⚠ Vượt mục tiêu P90",IF(AND(Y820&lt;&gt;"",ABS(N(Y820))&gt;0.3),"⚠ Lệch &gt; 30% so với nhu cầu",IF(Q820="Có","ℹ Kiểm tra ngoại suy KM","✓ Hợp lệ")))))</f>
        <v/>
      </c>
    </row>
    <row r="821">
      <c r="A821" s="16" t="n">
        <v>817</v>
      </c>
      <c r="B821" s="17" t="inlineStr">
        <is>
          <t>DEC-S53-LADIESWEAR</t>
        </is>
      </c>
      <c r="C821" s="16" t="n">
        <v>53</v>
      </c>
      <c r="D821" s="17" t="inlineStr">
        <is>
          <t>LADIESWEAR</t>
        </is>
      </c>
      <c r="E821" s="17" t="inlineStr">
        <is>
          <t>HIGH</t>
        </is>
      </c>
      <c r="F821" s="17" t="inlineStr">
        <is>
          <t>TRUNG BÌNH</t>
        </is>
      </c>
      <c r="G821" s="18" t="inlineStr">
        <is>
          <t>RISK_HIGH · PROMO_EXTRAPOLATION</t>
        </is>
      </c>
      <c r="H821" s="19" t="n">
        <v>11.93801263570786</v>
      </c>
      <c r="I821" s="19" t="n">
        <v>72.57914102077484</v>
      </c>
      <c r="J821" s="19" t="n">
        <v>182.8468053102493</v>
      </c>
      <c r="K821" s="19" t="n">
        <v>72.57914102077484</v>
      </c>
      <c r="L821" s="19" t="n">
        <v>141.4964312016963</v>
      </c>
      <c r="M821" s="19" t="n">
        <v>182.8468053102493</v>
      </c>
      <c r="N821" s="17" t="inlineStr">
        <is>
          <t>B</t>
        </is>
      </c>
      <c r="O821" s="19" t="n">
        <v>83.43311838507645</v>
      </c>
      <c r="P821" s="18" t="inlineStr">
        <is>
          <t>KHÔNG ĐỀ XUẤT TĂNG</t>
        </is>
      </c>
      <c r="Q821" s="17" t="inlineStr">
        <is>
          <t>Có</t>
        </is>
      </c>
      <c r="R821" s="20" t="n"/>
      <c r="S821" s="20" t="n"/>
      <c r="T821" s="21" t="n"/>
      <c r="U821" s="21" t="n"/>
      <c r="V821" s="22">
        <f>IF(U821="A",K821,IF(U821="B",L821,IF(U821="C",M821,IF(N821="A",K821,IF(N821="B",L821,M821)))))</f>
        <v/>
      </c>
      <c r="W821" s="22">
        <f>IF(R821="",O821,MAX(V821-R821-N(S821),0))</f>
        <v/>
      </c>
      <c r="X821" s="20" t="n"/>
      <c r="Y821" s="23">
        <f>IF(OR(X821="",W821=0),"",X821/W821-1)</f>
        <v/>
      </c>
      <c r="Z821" s="24" t="n"/>
      <c r="AA821" s="21" t="n"/>
      <c r="AB821" s="25" t="n"/>
      <c r="AC821" s="26">
        <f>IF(T821="","Chưa quyết định",IF(OR(Z821="",AA821=""),"⚠ Thiếu lý do/người duyệt",IF(AND(X821&lt;&gt;"",N(X821)+N(R821)+N(S821)&gt;M821*1.001,R821&lt;&gt;""),"⚠ Vượt mục tiêu P90",IF(AND(Y821&lt;&gt;"",ABS(N(Y821))&gt;0.3),"⚠ Lệch &gt; 30% so với nhu cầu",IF(Q821="Có","ℹ Kiểm tra ngoại suy KM","✓ Hợp lệ")))))</f>
        <v/>
      </c>
    </row>
    <row r="822">
      <c r="A822" s="16" t="n">
        <v>818</v>
      </c>
      <c r="B822" s="17" t="inlineStr">
        <is>
          <t>DEC-S53-PET_SUPPLIES</t>
        </is>
      </c>
      <c r="C822" s="16" t="n">
        <v>53</v>
      </c>
      <c r="D822" s="17" t="inlineStr">
        <is>
          <t>PET SUPPLIES</t>
        </is>
      </c>
      <c r="E822" s="17" t="inlineStr">
        <is>
          <t>HIGH</t>
        </is>
      </c>
      <c r="F822" s="17" t="inlineStr">
        <is>
          <t>TRUNG BÌNH</t>
        </is>
      </c>
      <c r="G822" s="18" t="inlineStr">
        <is>
          <t>RISK_HIGH · PROMO_EXTRAPOLATION</t>
        </is>
      </c>
      <c r="H822" s="19" t="n">
        <v>11.47605698108673</v>
      </c>
      <c r="I822" s="19" t="n">
        <v>72.47972732782364</v>
      </c>
      <c r="J822" s="19" t="n">
        <v>180.8781722664833</v>
      </c>
      <c r="K822" s="19" t="n">
        <v>72.47972732782364</v>
      </c>
      <c r="L822" s="19" t="n">
        <v>140.2287554144859</v>
      </c>
      <c r="M822" s="19" t="n">
        <v>180.8781722664833</v>
      </c>
      <c r="N822" s="17" t="inlineStr">
        <is>
          <t>B</t>
        </is>
      </c>
      <c r="O822" s="19" t="n">
        <v>82.24497355222701</v>
      </c>
      <c r="P822" s="18" t="inlineStr">
        <is>
          <t>KHÔNG ĐỀ XUẤT TĂNG</t>
        </is>
      </c>
      <c r="Q822" s="17" t="inlineStr">
        <is>
          <t>Có</t>
        </is>
      </c>
      <c r="R822" s="20" t="n"/>
      <c r="S822" s="20" t="n"/>
      <c r="T822" s="21" t="n"/>
      <c r="U822" s="21" t="n"/>
      <c r="V822" s="22">
        <f>IF(U822="A",K822,IF(U822="B",L822,IF(U822="C",M822,IF(N822="A",K822,IF(N822="B",L822,M822)))))</f>
        <v/>
      </c>
      <c r="W822" s="22">
        <f>IF(R822="",O822,MAX(V822-R822-N(S822),0))</f>
        <v/>
      </c>
      <c r="X822" s="20" t="n"/>
      <c r="Y822" s="23">
        <f>IF(OR(X822="",W822=0),"",X822/W822-1)</f>
        <v/>
      </c>
      <c r="Z822" s="24" t="n"/>
      <c r="AA822" s="21" t="n"/>
      <c r="AB822" s="25" t="n"/>
      <c r="AC822" s="26">
        <f>IF(T822="","Chưa quyết định",IF(OR(Z822="",AA822=""),"⚠ Thiếu lý do/người duyệt",IF(AND(X822&lt;&gt;"",N(X822)+N(R822)+N(S822)&gt;M822*1.001,R822&lt;&gt;""),"⚠ Vượt mục tiêu P90",IF(AND(Y822&lt;&gt;"",ABS(N(Y822))&gt;0.3),"⚠ Lệch &gt; 30% so với nhu cầu",IF(Q822="Có","ℹ Kiểm tra ngoại suy KM","✓ Hợp lệ")))))</f>
        <v/>
      </c>
    </row>
    <row r="823">
      <c r="A823" s="16" t="n">
        <v>819</v>
      </c>
      <c r="B823" s="17" t="inlineStr">
        <is>
          <t>DEC-S35-BEAUTY</t>
        </is>
      </c>
      <c r="C823" s="16" t="n">
        <v>35</v>
      </c>
      <c r="D823" s="17" t="inlineStr">
        <is>
          <t>BEAUTY</t>
        </is>
      </c>
      <c r="E823" s="17" t="inlineStr">
        <is>
          <t>HIGH</t>
        </is>
      </c>
      <c r="F823" s="17" t="inlineStr">
        <is>
          <t>TRUNG BÌNH</t>
        </is>
      </c>
      <c r="G823" s="18" t="inlineStr">
        <is>
          <t>RISK_HIGH · PROMO_EXTRAPOLATION</t>
        </is>
      </c>
      <c r="H823" s="19" t="n">
        <v>32.4231417953968</v>
      </c>
      <c r="I823" s="19" t="n">
        <v>72.36465068161488</v>
      </c>
      <c r="J823" s="19" t="n">
        <v>165.3397631675005</v>
      </c>
      <c r="K823" s="19" t="n">
        <v>72.36465068161488</v>
      </c>
      <c r="L823" s="19" t="n">
        <v>130.4740959852934</v>
      </c>
      <c r="M823" s="19" t="n">
        <v>165.3397631675005</v>
      </c>
      <c r="N823" s="17" t="inlineStr">
        <is>
          <t>B</t>
        </is>
      </c>
      <c r="O823" s="19" t="n">
        <v>72.58237544000148</v>
      </c>
      <c r="P823" s="18" t="inlineStr">
        <is>
          <t>KHÔNG ĐỀ XUẤT TĂNG</t>
        </is>
      </c>
      <c r="Q823" s="17" t="inlineStr">
        <is>
          <t>Có</t>
        </is>
      </c>
      <c r="R823" s="20" t="n"/>
      <c r="S823" s="20" t="n"/>
      <c r="T823" s="21" t="n"/>
      <c r="U823" s="21" t="n"/>
      <c r="V823" s="22">
        <f>IF(U823="A",K823,IF(U823="B",L823,IF(U823="C",M823,IF(N823="A",K823,IF(N823="B",L823,M823)))))</f>
        <v/>
      </c>
      <c r="W823" s="22">
        <f>IF(R823="",O823,MAX(V823-R823-N(S823),0))</f>
        <v/>
      </c>
      <c r="X823" s="20" t="n"/>
      <c r="Y823" s="23">
        <f>IF(OR(X823="",W823=0),"",X823/W823-1)</f>
        <v/>
      </c>
      <c r="Z823" s="24" t="n"/>
      <c r="AA823" s="21" t="n"/>
      <c r="AB823" s="25" t="n"/>
      <c r="AC823" s="26">
        <f>IF(T823="","Chưa quyết định",IF(OR(Z823="",AA823=""),"⚠ Thiếu lý do/người duyệt",IF(AND(X823&lt;&gt;"",N(X823)+N(R823)+N(S823)&gt;M823*1.001,R823&lt;&gt;""),"⚠ Vượt mục tiêu P90",IF(AND(Y823&lt;&gt;"",ABS(N(Y823))&gt;0.3),"⚠ Lệch &gt; 30% so với nhu cầu",IF(Q823="Có","ℹ Kiểm tra ngoại suy KM","✓ Hợp lệ")))))</f>
        <v/>
      </c>
    </row>
    <row r="824">
      <c r="A824" s="16" t="n">
        <v>820</v>
      </c>
      <c r="B824" s="17" t="inlineStr">
        <is>
          <t>DEC-S07-HARDWARE</t>
        </is>
      </c>
      <c r="C824" s="16" t="n">
        <v>7</v>
      </c>
      <c r="D824" s="17" t="inlineStr">
        <is>
          <t>HARDWARE</t>
        </is>
      </c>
      <c r="E824" s="17" t="inlineStr">
        <is>
          <t>HIGH</t>
        </is>
      </c>
      <c r="F824" s="17" t="inlineStr">
        <is>
          <t>TRUNG BÌNH</t>
        </is>
      </c>
      <c r="G824" s="18" t="inlineStr">
        <is>
          <t>RISK_HIGH · PROMO_EXTRAPOLATION</t>
        </is>
      </c>
      <c r="H824" s="19" t="n">
        <v>11.27989292144775</v>
      </c>
      <c r="I824" s="19" t="n">
        <v>72.03434252738953</v>
      </c>
      <c r="J824" s="19" t="n">
        <v>182.0421404838562</v>
      </c>
      <c r="K824" s="19" t="n">
        <v>72.03434252738953</v>
      </c>
      <c r="L824" s="19" t="n">
        <v>140.7892162501812</v>
      </c>
      <c r="M824" s="19" t="n">
        <v>182.0421404838562</v>
      </c>
      <c r="N824" s="17" t="inlineStr">
        <is>
          <t>B</t>
        </is>
      </c>
      <c r="O824" s="19" t="n">
        <v>83.16174222826959</v>
      </c>
      <c r="P824" s="18" t="inlineStr">
        <is>
          <t>KHÔNG ĐỀ XUẤT TĂNG</t>
        </is>
      </c>
      <c r="Q824" s="17" t="inlineStr">
        <is>
          <t>Có</t>
        </is>
      </c>
      <c r="R824" s="20" t="n"/>
      <c r="S824" s="20" t="n"/>
      <c r="T824" s="21" t="n"/>
      <c r="U824" s="21" t="n"/>
      <c r="V824" s="22">
        <f>IF(U824="A",K824,IF(U824="B",L824,IF(U824="C",M824,IF(N824="A",K824,IF(N824="B",L824,M824)))))</f>
        <v/>
      </c>
      <c r="W824" s="22">
        <f>IF(R824="",O824,MAX(V824-R824-N(S824),0))</f>
        <v/>
      </c>
      <c r="X824" s="20" t="n"/>
      <c r="Y824" s="23">
        <f>IF(OR(X824="",W824=0),"",X824/W824-1)</f>
        <v/>
      </c>
      <c r="Z824" s="24" t="n"/>
      <c r="AA824" s="21" t="n"/>
      <c r="AB824" s="25" t="n"/>
      <c r="AC824" s="26">
        <f>IF(T824="","Chưa quyết định",IF(OR(Z824="",AA824=""),"⚠ Thiếu lý do/người duyệt",IF(AND(X824&lt;&gt;"",N(X824)+N(R824)+N(S824)&gt;M824*1.001,R824&lt;&gt;""),"⚠ Vượt mục tiêu P90",IF(AND(Y824&lt;&gt;"",ABS(N(Y824))&gt;0.3),"⚠ Lệch &gt; 30% so với nhu cầu",IF(Q824="Có","ℹ Kiểm tra ngoại suy KM","✓ Hợp lệ")))))</f>
        <v/>
      </c>
    </row>
    <row r="825">
      <c r="A825" s="16" t="n">
        <v>821</v>
      </c>
      <c r="B825" s="17" t="inlineStr">
        <is>
          <t>DEC-S35-AUTOMOTIVE</t>
        </is>
      </c>
      <c r="C825" s="16" t="n">
        <v>35</v>
      </c>
      <c r="D825" s="17" t="inlineStr">
        <is>
          <t>AUTOMOTIVE</t>
        </is>
      </c>
      <c r="E825" s="17" t="inlineStr">
        <is>
          <t>HIGH</t>
        </is>
      </c>
      <c r="F825" s="17" t="inlineStr">
        <is>
          <t>TRUNG BÌNH</t>
        </is>
      </c>
      <c r="G825" s="18" t="inlineStr">
        <is>
          <t>RISK_HIGH · PROMO_EXTRAPOLATION</t>
        </is>
      </c>
      <c r="H825" s="19" t="n">
        <v>15.79249579906464</v>
      </c>
      <c r="I825" s="19" t="n">
        <v>71.99486351013184</v>
      </c>
      <c r="J825" s="19" t="n">
        <v>177.7444900989532</v>
      </c>
      <c r="K825" s="19" t="n">
        <v>71.99486351013184</v>
      </c>
      <c r="L825" s="19" t="n">
        <v>138.0883801281452</v>
      </c>
      <c r="M825" s="19" t="n">
        <v>177.7444900989532</v>
      </c>
      <c r="N825" s="17" t="inlineStr">
        <is>
          <t>B</t>
        </is>
      </c>
      <c r="O825" s="19" t="n">
        <v>80.49248932003974</v>
      </c>
      <c r="P825" s="18" t="inlineStr">
        <is>
          <t>KHÔNG ĐỀ XUẤT TĂNG</t>
        </is>
      </c>
      <c r="Q825" s="17" t="inlineStr">
        <is>
          <t>Có</t>
        </is>
      </c>
      <c r="R825" s="20" t="n"/>
      <c r="S825" s="20" t="n"/>
      <c r="T825" s="21" t="n"/>
      <c r="U825" s="21" t="n"/>
      <c r="V825" s="22">
        <f>IF(U825="A",K825,IF(U825="B",L825,IF(U825="C",M825,IF(N825="A",K825,IF(N825="B",L825,M825)))))</f>
        <v/>
      </c>
      <c r="W825" s="22">
        <f>IF(R825="",O825,MAX(V825-R825-N(S825),0))</f>
        <v/>
      </c>
      <c r="X825" s="20" t="n"/>
      <c r="Y825" s="23">
        <f>IF(OR(X825="",W825=0),"",X825/W825-1)</f>
        <v/>
      </c>
      <c r="Z825" s="24" t="n"/>
      <c r="AA825" s="21" t="n"/>
      <c r="AB825" s="25" t="n"/>
      <c r="AC825" s="26">
        <f>IF(T825="","Chưa quyết định",IF(OR(Z825="",AA825=""),"⚠ Thiếu lý do/người duyệt",IF(AND(X825&lt;&gt;"",N(X825)+N(R825)+N(S825)&gt;M825*1.001,R825&lt;&gt;""),"⚠ Vượt mục tiêu P90",IF(AND(Y825&lt;&gt;"",ABS(N(Y825))&gt;0.3),"⚠ Lệch &gt; 30% so với nhu cầu",IF(Q825="Có","ℹ Kiểm tra ngoại suy KM","✓ Hợp lệ")))))</f>
        <v/>
      </c>
    </row>
    <row r="826">
      <c r="A826" s="16" t="n">
        <v>822</v>
      </c>
      <c r="B826" s="17" t="inlineStr">
        <is>
          <t>DEC-S05-SEAFOOD</t>
        </is>
      </c>
      <c r="C826" s="16" t="n">
        <v>5</v>
      </c>
      <c r="D826" s="17" t="inlineStr">
        <is>
          <t>SEAFOOD</t>
        </is>
      </c>
      <c r="E826" s="17" t="inlineStr">
        <is>
          <t>HIGH</t>
        </is>
      </c>
      <c r="F826" s="17" t="inlineStr">
        <is>
          <t>TRUNG BÌNH</t>
        </is>
      </c>
      <c r="G826" s="18" t="inlineStr">
        <is>
          <t>RISK_HIGH · PROMO_EXTRAPOLATION</t>
        </is>
      </c>
      <c r="H826" s="19" t="n">
        <v>19.53538645505905</v>
      </c>
      <c r="I826" s="19" t="n">
        <v>71.33913516253233</v>
      </c>
      <c r="J826" s="19" t="n">
        <v>180.661919157207</v>
      </c>
      <c r="K826" s="19" t="n">
        <v>71.33913516253233</v>
      </c>
      <c r="L826" s="19" t="n">
        <v>139.665875159204</v>
      </c>
      <c r="M826" s="19" t="n">
        <v>180.661919157207</v>
      </c>
      <c r="N826" s="17" t="inlineStr">
        <is>
          <t>B</t>
        </is>
      </c>
      <c r="O826" s="19" t="n">
        <v>82.59456702917814</v>
      </c>
      <c r="P826" s="18" t="inlineStr">
        <is>
          <t>CÂN NHẮC THỬ NGHIỆM</t>
        </is>
      </c>
      <c r="Q826" s="17" t="inlineStr">
        <is>
          <t>Có</t>
        </is>
      </c>
      <c r="R826" s="20" t="n"/>
      <c r="S826" s="20" t="n"/>
      <c r="T826" s="21" t="n"/>
      <c r="U826" s="21" t="n"/>
      <c r="V826" s="22">
        <f>IF(U826="A",K826,IF(U826="B",L826,IF(U826="C",M826,IF(N826="A",K826,IF(N826="B",L826,M826)))))</f>
        <v/>
      </c>
      <c r="W826" s="22">
        <f>IF(R826="",O826,MAX(V826-R826-N(S826),0))</f>
        <v/>
      </c>
      <c r="X826" s="20" t="n"/>
      <c r="Y826" s="23">
        <f>IF(OR(X826="",W826=0),"",X826/W826-1)</f>
        <v/>
      </c>
      <c r="Z826" s="24" t="n"/>
      <c r="AA826" s="21" t="n"/>
      <c r="AB826" s="25" t="n"/>
      <c r="AC826" s="26">
        <f>IF(T826="","Chưa quyết định",IF(OR(Z826="",AA826=""),"⚠ Thiếu lý do/người duyệt",IF(AND(X826&lt;&gt;"",N(X826)+N(R826)+N(S826)&gt;M826*1.001,R826&lt;&gt;""),"⚠ Vượt mục tiêu P90",IF(AND(Y826&lt;&gt;"",ABS(N(Y826))&gt;0.3),"⚠ Lệch &gt; 30% so với nhu cầu",IF(Q826="Có","ℹ Kiểm tra ngoại suy KM","✓ Hợp lệ")))))</f>
        <v/>
      </c>
    </row>
    <row r="827">
      <c r="A827" s="16" t="n">
        <v>823</v>
      </c>
      <c r="B827" s="17" t="inlineStr">
        <is>
          <t>DEC-S19-CELEBRATION</t>
        </is>
      </c>
      <c r="C827" s="16" t="n">
        <v>19</v>
      </c>
      <c r="D827" s="17" t="inlineStr">
        <is>
          <t>CELEBRATION</t>
        </is>
      </c>
      <c r="E827" s="17" t="inlineStr">
        <is>
          <t>HIGH</t>
        </is>
      </c>
      <c r="F827" s="17" t="inlineStr">
        <is>
          <t>TRUNG BÌNH</t>
        </is>
      </c>
      <c r="G827" s="18" t="inlineStr">
        <is>
          <t>RISK_HIGH · PROMO_EXTRAPOLATION</t>
        </is>
      </c>
      <c r="H827" s="19" t="n">
        <v>9.187523519992828</v>
      </c>
      <c r="I827" s="19" t="n">
        <v>70.5078045129776</v>
      </c>
      <c r="J827" s="19" t="n">
        <v>180.7754688024521</v>
      </c>
      <c r="K827" s="19" t="n">
        <v>70.5078045129776</v>
      </c>
      <c r="L827" s="19" t="n">
        <v>139.4250946938992</v>
      </c>
      <c r="M827" s="19" t="n">
        <v>180.7754688024521</v>
      </c>
      <c r="N827" s="17" t="inlineStr">
        <is>
          <t>B</t>
        </is>
      </c>
      <c r="O827" s="19" t="n">
        <v>83.01885108351708</v>
      </c>
      <c r="P827" s="18" t="inlineStr">
        <is>
          <t>KHÔNG ĐỀ XUẤT TĂNG</t>
        </is>
      </c>
      <c r="Q827" s="17" t="inlineStr">
        <is>
          <t>Có</t>
        </is>
      </c>
      <c r="R827" s="20" t="n"/>
      <c r="S827" s="20" t="n"/>
      <c r="T827" s="21" t="n"/>
      <c r="U827" s="21" t="n"/>
      <c r="V827" s="22">
        <f>IF(U827="A",K827,IF(U827="B",L827,IF(U827="C",M827,IF(N827="A",K827,IF(N827="B",L827,M827)))))</f>
        <v/>
      </c>
      <c r="W827" s="22">
        <f>IF(R827="",O827,MAX(V827-R827-N(S827),0))</f>
        <v/>
      </c>
      <c r="X827" s="20" t="n"/>
      <c r="Y827" s="23">
        <f>IF(OR(X827="",W827=0),"",X827/W827-1)</f>
        <v/>
      </c>
      <c r="Z827" s="24" t="n"/>
      <c r="AA827" s="21" t="n"/>
      <c r="AB827" s="25" t="n"/>
      <c r="AC827" s="26">
        <f>IF(T827="","Chưa quyết định",IF(OR(Z827="",AA827=""),"⚠ Thiếu lý do/người duyệt",IF(AND(X827&lt;&gt;"",N(X827)+N(R827)+N(S827)&gt;M827*1.001,R827&lt;&gt;""),"⚠ Vượt mục tiêu P90",IF(AND(Y827&lt;&gt;"",ABS(N(Y827))&gt;0.3),"⚠ Lệch &gt; 30% so với nhu cầu",IF(Q827="Có","ℹ Kiểm tra ngoại suy KM","✓ Hợp lệ")))))</f>
        <v/>
      </c>
    </row>
    <row r="828">
      <c r="A828" s="16" t="n">
        <v>824</v>
      </c>
      <c r="B828" s="17" t="inlineStr">
        <is>
          <t>DEC-S21-LADIESWEAR</t>
        </is>
      </c>
      <c r="C828" s="16" t="n">
        <v>21</v>
      </c>
      <c r="D828" s="17" t="inlineStr">
        <is>
          <t>LADIESWEAR</t>
        </is>
      </c>
      <c r="E828" s="17" t="inlineStr">
        <is>
          <t>HIGH</t>
        </is>
      </c>
      <c r="F828" s="17" t="inlineStr">
        <is>
          <t>TRUNG BÌNH</t>
        </is>
      </c>
      <c r="G828" s="18" t="inlineStr">
        <is>
          <t>RISK_HIGH · PROMO_EXTRAPOLATION</t>
        </is>
      </c>
      <c r="H828" s="19" t="n">
        <v>9.806211447715761</v>
      </c>
      <c r="I828" s="19" t="n">
        <v>70.06372708082199</v>
      </c>
      <c r="J828" s="19" t="n">
        <v>180.3313913702965</v>
      </c>
      <c r="K828" s="19" t="n">
        <v>70.06372708082199</v>
      </c>
      <c r="L828" s="19" t="n">
        <v>138.9810172617435</v>
      </c>
      <c r="M828" s="19" t="n">
        <v>180.3313913702965</v>
      </c>
      <c r="N828" s="17" t="inlineStr">
        <is>
          <t>B</t>
        </is>
      </c>
      <c r="O828" s="19" t="n">
        <v>82.93003559708595</v>
      </c>
      <c r="P828" s="18" t="inlineStr">
        <is>
          <t>KHÔNG ĐỀ XUẤT TĂNG</t>
        </is>
      </c>
      <c r="Q828" s="17" t="inlineStr">
        <is>
          <t>Có</t>
        </is>
      </c>
      <c r="R828" s="20" t="n"/>
      <c r="S828" s="20" t="n"/>
      <c r="T828" s="21" t="n"/>
      <c r="U828" s="21" t="n"/>
      <c r="V828" s="22">
        <f>IF(U828="A",K828,IF(U828="B",L828,IF(U828="C",M828,IF(N828="A",K828,IF(N828="B",L828,M828)))))</f>
        <v/>
      </c>
      <c r="W828" s="22">
        <f>IF(R828="",O828,MAX(V828-R828-N(S828),0))</f>
        <v/>
      </c>
      <c r="X828" s="20" t="n"/>
      <c r="Y828" s="23">
        <f>IF(OR(X828="",W828=0),"",X828/W828-1)</f>
        <v/>
      </c>
      <c r="Z828" s="24" t="n"/>
      <c r="AA828" s="21" t="n"/>
      <c r="AB828" s="25" t="n"/>
      <c r="AC828" s="26">
        <f>IF(T828="","Chưa quyết định",IF(OR(Z828="",AA828=""),"⚠ Thiếu lý do/người duyệt",IF(AND(X828&lt;&gt;"",N(X828)+N(R828)+N(S828)&gt;M828*1.001,R828&lt;&gt;""),"⚠ Vượt mục tiêu P90",IF(AND(Y828&lt;&gt;"",ABS(N(Y828))&gt;0.3),"⚠ Lệch &gt; 30% so với nhu cầu",IF(Q828="Có","ℹ Kiểm tra ngoại suy KM","✓ Hợp lệ")))))</f>
        <v/>
      </c>
    </row>
    <row r="829">
      <c r="A829" s="16" t="n">
        <v>825</v>
      </c>
      <c r="B829" s="17" t="inlineStr">
        <is>
          <t>DEC-S31-BEAUTY</t>
        </is>
      </c>
      <c r="C829" s="16" t="n">
        <v>31</v>
      </c>
      <c r="D829" s="17" t="inlineStr">
        <is>
          <t>BEAUTY</t>
        </is>
      </c>
      <c r="E829" s="17" t="inlineStr">
        <is>
          <t>HIGH</t>
        </is>
      </c>
      <c r="F829" s="17" t="inlineStr">
        <is>
          <t>TRUNG BÌNH</t>
        </is>
      </c>
      <c r="G829" s="18" t="inlineStr">
        <is>
          <t>RISK_HIGH · PROMO_EXTRAPOLATION</t>
        </is>
      </c>
      <c r="H829" s="19" t="n">
        <v>8.501719331741333</v>
      </c>
      <c r="I829" s="19" t="n">
        <v>69.2959411740303</v>
      </c>
      <c r="J829" s="19" t="n">
        <v>185.3484892010689</v>
      </c>
      <c r="K829" s="19" t="n">
        <v>69.2959411740303</v>
      </c>
      <c r="L829" s="19" t="n">
        <v>141.8287836909294</v>
      </c>
      <c r="M829" s="19" t="n">
        <v>185.3484892010689</v>
      </c>
      <c r="N829" s="17" t="inlineStr">
        <is>
          <t>B</t>
        </is>
      </c>
      <c r="O829" s="19" t="n">
        <v>86.39203075170516</v>
      </c>
      <c r="P829" s="18" t="inlineStr">
        <is>
          <t>KHÔNG ĐỀ XUẤT TĂNG</t>
        </is>
      </c>
      <c r="Q829" s="17" t="inlineStr">
        <is>
          <t>Có</t>
        </is>
      </c>
      <c r="R829" s="20" t="n"/>
      <c r="S829" s="20" t="n"/>
      <c r="T829" s="21" t="n"/>
      <c r="U829" s="21" t="n"/>
      <c r="V829" s="22">
        <f>IF(U829="A",K829,IF(U829="B",L829,IF(U829="C",M829,IF(N829="A",K829,IF(N829="B",L829,M829)))))</f>
        <v/>
      </c>
      <c r="W829" s="22">
        <f>IF(R829="",O829,MAX(V829-R829-N(S829),0))</f>
        <v/>
      </c>
      <c r="X829" s="20" t="n"/>
      <c r="Y829" s="23">
        <f>IF(OR(X829="",W829=0),"",X829/W829-1)</f>
        <v/>
      </c>
      <c r="Z829" s="24" t="n"/>
      <c r="AA829" s="21" t="n"/>
      <c r="AB829" s="25" t="n"/>
      <c r="AC829" s="26">
        <f>IF(T829="","Chưa quyết định",IF(OR(Z829="",AA829=""),"⚠ Thiếu lý do/người duyệt",IF(AND(X829&lt;&gt;"",N(X829)+N(R829)+N(S829)&gt;M829*1.001,R829&lt;&gt;""),"⚠ Vượt mục tiêu P90",IF(AND(Y829&lt;&gt;"",ABS(N(Y829))&gt;0.3),"⚠ Lệch &gt; 30% so với nhu cầu",IF(Q829="Có","ℹ Kiểm tra ngoại suy KM","✓ Hợp lệ")))))</f>
        <v/>
      </c>
    </row>
    <row r="830">
      <c r="A830" s="16" t="n">
        <v>826</v>
      </c>
      <c r="B830" s="17" t="inlineStr">
        <is>
          <t>DEC-S09-MAGAZINES</t>
        </is>
      </c>
      <c r="C830" s="16" t="n">
        <v>9</v>
      </c>
      <c r="D830" s="17" t="inlineStr">
        <is>
          <t>MAGAZINES</t>
        </is>
      </c>
      <c r="E830" s="17" t="inlineStr">
        <is>
          <t>HIGH</t>
        </is>
      </c>
      <c r="F830" s="17" t="inlineStr">
        <is>
          <t>TRUNG BÌNH</t>
        </is>
      </c>
      <c r="G830" s="18" t="inlineStr">
        <is>
          <t>RISK_HIGH · PROMO_EXTRAPOLATION</t>
        </is>
      </c>
      <c r="H830" s="19" t="n">
        <v>9.451107740402222</v>
      </c>
      <c r="I830" s="19" t="n">
        <v>69.17526817321777</v>
      </c>
      <c r="J830" s="19" t="n">
        <v>179.1830661296844</v>
      </c>
      <c r="K830" s="19" t="n">
        <v>69.17526817321777</v>
      </c>
      <c r="L830" s="19" t="n">
        <v>137.9301418960094</v>
      </c>
      <c r="M830" s="19" t="n">
        <v>179.1830661296844</v>
      </c>
      <c r="N830" s="17" t="inlineStr">
        <is>
          <t>B</t>
        </is>
      </c>
      <c r="O830" s="19" t="n">
        <v>82.58992735743522</v>
      </c>
      <c r="P830" s="18" t="inlineStr">
        <is>
          <t>KHÔNG ĐỀ XUẤT TĂNG</t>
        </is>
      </c>
      <c r="Q830" s="17" t="inlineStr">
        <is>
          <t>Có</t>
        </is>
      </c>
      <c r="R830" s="20" t="n"/>
      <c r="S830" s="20" t="n"/>
      <c r="T830" s="21" t="n"/>
      <c r="U830" s="21" t="n"/>
      <c r="V830" s="22">
        <f>IF(U830="A",K830,IF(U830="B",L830,IF(U830="C",M830,IF(N830="A",K830,IF(N830="B",L830,M830)))))</f>
        <v/>
      </c>
      <c r="W830" s="22">
        <f>IF(R830="",O830,MAX(V830-R830-N(S830),0))</f>
        <v/>
      </c>
      <c r="X830" s="20" t="n"/>
      <c r="Y830" s="23">
        <f>IF(OR(X830="",W830=0),"",X830/W830-1)</f>
        <v/>
      </c>
      <c r="Z830" s="24" t="n"/>
      <c r="AA830" s="21" t="n"/>
      <c r="AB830" s="25" t="n"/>
      <c r="AC830" s="26">
        <f>IF(T830="","Chưa quyết định",IF(OR(Z830="",AA830=""),"⚠ Thiếu lý do/người duyệt",IF(AND(X830&lt;&gt;"",N(X830)+N(R830)+N(S830)&gt;M830*1.001,R830&lt;&gt;""),"⚠ Vượt mục tiêu P90",IF(AND(Y830&lt;&gt;"",ABS(N(Y830))&gt;0.3),"⚠ Lệch &gt; 30% so với nhu cầu",IF(Q830="Có","ℹ Kiểm tra ngoại suy KM","✓ Hợp lệ")))))</f>
        <v/>
      </c>
    </row>
    <row r="831">
      <c r="A831" s="16" t="n">
        <v>827</v>
      </c>
      <c r="B831" s="17" t="inlineStr">
        <is>
          <t>DEC-S26-AUTOMOTIVE</t>
        </is>
      </c>
      <c r="C831" s="16" t="n">
        <v>26</v>
      </c>
      <c r="D831" s="17" t="inlineStr">
        <is>
          <t>AUTOMOTIVE</t>
        </is>
      </c>
      <c r="E831" s="17" t="inlineStr">
        <is>
          <t>HIGH</t>
        </is>
      </c>
      <c r="F831" s="17" t="inlineStr">
        <is>
          <t>TRUNG BÌNH</t>
        </is>
      </c>
      <c r="G831" s="18" t="inlineStr">
        <is>
          <t>RISK_HIGH · PROMO_EXTRAPOLATION</t>
        </is>
      </c>
      <c r="H831" s="19" t="n">
        <v>15.39062497615814</v>
      </c>
      <c r="I831" s="19" t="n">
        <v>69.00568789243698</v>
      </c>
      <c r="J831" s="19" t="n">
        <v>174.4954481482506</v>
      </c>
      <c r="K831" s="19" t="n">
        <v>69.00568789243698</v>
      </c>
      <c r="L831" s="19" t="n">
        <v>134.9367880523205</v>
      </c>
      <c r="M831" s="19" t="n">
        <v>174.4954481482506</v>
      </c>
      <c r="N831" s="17" t="inlineStr">
        <is>
          <t>B</t>
        </is>
      </c>
      <c r="O831" s="19" t="n">
        <v>79.73223773837088</v>
      </c>
      <c r="P831" s="18" t="inlineStr">
        <is>
          <t>KHÔNG ĐỀ XUẤT TĂNG</t>
        </is>
      </c>
      <c r="Q831" s="17" t="inlineStr">
        <is>
          <t>Có</t>
        </is>
      </c>
      <c r="R831" s="20" t="n"/>
      <c r="S831" s="20" t="n"/>
      <c r="T831" s="21" t="n"/>
      <c r="U831" s="21" t="n"/>
      <c r="V831" s="22">
        <f>IF(U831="A",K831,IF(U831="B",L831,IF(U831="C",M831,IF(N831="A",K831,IF(N831="B",L831,M831)))))</f>
        <v/>
      </c>
      <c r="W831" s="22">
        <f>IF(R831="",O831,MAX(V831-R831-N(S831),0))</f>
        <v/>
      </c>
      <c r="X831" s="20" t="n"/>
      <c r="Y831" s="23">
        <f>IF(OR(X831="",W831=0),"",X831/W831-1)</f>
        <v/>
      </c>
      <c r="Z831" s="24" t="n"/>
      <c r="AA831" s="21" t="n"/>
      <c r="AB831" s="25" t="n"/>
      <c r="AC831" s="26">
        <f>IF(T831="","Chưa quyết định",IF(OR(Z831="",AA831=""),"⚠ Thiếu lý do/người duyệt",IF(AND(X831&lt;&gt;"",N(X831)+N(R831)+N(S831)&gt;M831*1.001,R831&lt;&gt;""),"⚠ Vượt mục tiêu P90",IF(AND(Y831&lt;&gt;"",ABS(N(Y831))&gt;0.3),"⚠ Lệch &gt; 30% so với nhu cầu",IF(Q831="Có","ℹ Kiểm tra ngoại suy KM","✓ Hợp lệ")))))</f>
        <v/>
      </c>
    </row>
    <row r="832">
      <c r="A832" s="16" t="n">
        <v>828</v>
      </c>
      <c r="B832" s="17" t="inlineStr">
        <is>
          <t>DEC-S11-PET_SUPPLIES</t>
        </is>
      </c>
      <c r="C832" s="16" t="n">
        <v>11</v>
      </c>
      <c r="D832" s="17" t="inlineStr">
        <is>
          <t>PET SUPPLIES</t>
        </is>
      </c>
      <c r="E832" s="17" t="inlineStr">
        <is>
          <t>HIGH</t>
        </is>
      </c>
      <c r="F832" s="17" t="inlineStr">
        <is>
          <t>TRUNG BÌNH</t>
        </is>
      </c>
      <c r="G832" s="18" t="inlineStr">
        <is>
          <t>RISK_HIGH · PROMO_EXTRAPOLATION</t>
        </is>
      </c>
      <c r="H832" s="19" t="n">
        <v>8.942423820495605</v>
      </c>
      <c r="I832" s="19" t="n">
        <v>68.89089560508728</v>
      </c>
      <c r="J832" s="19" t="n">
        <v>178.898693561554</v>
      </c>
      <c r="K832" s="19" t="n">
        <v>68.89089560508728</v>
      </c>
      <c r="L832" s="19" t="n">
        <v>137.645769327879</v>
      </c>
      <c r="M832" s="19" t="n">
        <v>178.898693561554</v>
      </c>
      <c r="N832" s="17" t="inlineStr">
        <is>
          <t>B</t>
        </is>
      </c>
      <c r="O832" s="19" t="n">
        <v>82.53305284380912</v>
      </c>
      <c r="P832" s="18" t="inlineStr">
        <is>
          <t>KHÔNG ĐỀ XUẤT TĂNG</t>
        </is>
      </c>
      <c r="Q832" s="17" t="inlineStr">
        <is>
          <t>Có</t>
        </is>
      </c>
      <c r="R832" s="20" t="n"/>
      <c r="S832" s="20" t="n"/>
      <c r="T832" s="21" t="n"/>
      <c r="U832" s="21" t="n"/>
      <c r="V832" s="22">
        <f>IF(U832="A",K832,IF(U832="B",L832,IF(U832="C",M832,IF(N832="A",K832,IF(N832="B",L832,M832)))))</f>
        <v/>
      </c>
      <c r="W832" s="22">
        <f>IF(R832="",O832,MAX(V832-R832-N(S832),0))</f>
        <v/>
      </c>
      <c r="X832" s="20" t="n"/>
      <c r="Y832" s="23">
        <f>IF(OR(X832="",W832=0),"",X832/W832-1)</f>
        <v/>
      </c>
      <c r="Z832" s="24" t="n"/>
      <c r="AA832" s="21" t="n"/>
      <c r="AB832" s="25" t="n"/>
      <c r="AC832" s="26">
        <f>IF(T832="","Chưa quyết định",IF(OR(Z832="",AA832=""),"⚠ Thiếu lý do/người duyệt",IF(AND(X832&lt;&gt;"",N(X832)+N(R832)+N(S832)&gt;M832*1.001,R832&lt;&gt;""),"⚠ Vượt mục tiêu P90",IF(AND(Y832&lt;&gt;"",ABS(N(Y832))&gt;0.3),"⚠ Lệch &gt; 30% so với nhu cầu",IF(Q832="Có","ℹ Kiểm tra ngoại suy KM","✓ Hợp lệ")))))</f>
        <v/>
      </c>
    </row>
    <row r="833">
      <c r="A833" s="16" t="n">
        <v>829</v>
      </c>
      <c r="B833" s="17" t="inlineStr">
        <is>
          <t>DEC-S34-LINGERIE</t>
        </is>
      </c>
      <c r="C833" s="16" t="n">
        <v>34</v>
      </c>
      <c r="D833" s="17" t="inlineStr">
        <is>
          <t>LINGERIE</t>
        </is>
      </c>
      <c r="E833" s="17" t="inlineStr">
        <is>
          <t>HIGH</t>
        </is>
      </c>
      <c r="F833" s="17" t="inlineStr">
        <is>
          <t>TRUNG BÌNH</t>
        </is>
      </c>
      <c r="G833" s="18" t="inlineStr">
        <is>
          <t>RISK_HIGH · PROMO_EXTRAPOLATION</t>
        </is>
      </c>
      <c r="H833" s="19" t="n">
        <v>8.706859588623047</v>
      </c>
      <c r="I833" s="19" t="n">
        <v>68.84397482872009</v>
      </c>
      <c r="J833" s="19" t="n">
        <v>178.8517727851868</v>
      </c>
      <c r="K833" s="19" t="n">
        <v>68.84397482872009</v>
      </c>
      <c r="L833" s="19" t="n">
        <v>137.5988485515118</v>
      </c>
      <c r="M833" s="19" t="n">
        <v>178.8517727851868</v>
      </c>
      <c r="N833" s="17" t="inlineStr">
        <is>
          <t>B</t>
        </is>
      </c>
      <c r="O833" s="19" t="n">
        <v>82.52366868853568</v>
      </c>
      <c r="P833" s="18" t="inlineStr">
        <is>
          <t>KHÔNG ĐỀ XUẤT TĂNG</t>
        </is>
      </c>
      <c r="Q833" s="17" t="inlineStr">
        <is>
          <t>Có</t>
        </is>
      </c>
      <c r="R833" s="20" t="n"/>
      <c r="S833" s="20" t="n"/>
      <c r="T833" s="21" t="n"/>
      <c r="U833" s="21" t="n"/>
      <c r="V833" s="22">
        <f>IF(U833="A",K833,IF(U833="B",L833,IF(U833="C",M833,IF(N833="A",K833,IF(N833="B",L833,M833)))))</f>
        <v/>
      </c>
      <c r="W833" s="22">
        <f>IF(R833="",O833,MAX(V833-R833-N(S833),0))</f>
        <v/>
      </c>
      <c r="X833" s="20" t="n"/>
      <c r="Y833" s="23">
        <f>IF(OR(X833="",W833=0),"",X833/W833-1)</f>
        <v/>
      </c>
      <c r="Z833" s="24" t="n"/>
      <c r="AA833" s="21" t="n"/>
      <c r="AB833" s="25" t="n"/>
      <c r="AC833" s="26">
        <f>IF(T833="","Chưa quyết định",IF(OR(Z833="",AA833=""),"⚠ Thiếu lý do/người duyệt",IF(AND(X833&lt;&gt;"",N(X833)+N(R833)+N(S833)&gt;M833*1.001,R833&lt;&gt;""),"⚠ Vượt mục tiêu P90",IF(AND(Y833&lt;&gt;"",ABS(N(Y833))&gt;0.3),"⚠ Lệch &gt; 30% so với nhu cầu",IF(Q833="Có","ℹ Kiểm tra ngoại suy KM","✓ Hợp lệ")))))</f>
        <v/>
      </c>
    </row>
    <row r="834">
      <c r="A834" s="16" t="n">
        <v>830</v>
      </c>
      <c r="B834" s="17" t="inlineStr">
        <is>
          <t>DEC-S43-PET_SUPPLIES</t>
        </is>
      </c>
      <c r="C834" s="16" t="n">
        <v>43</v>
      </c>
      <c r="D834" s="17" t="inlineStr">
        <is>
          <t>PET SUPPLIES</t>
        </is>
      </c>
      <c r="E834" s="17" t="inlineStr">
        <is>
          <t>HIGH</t>
        </is>
      </c>
      <c r="F834" s="17" t="inlineStr">
        <is>
          <t>TRUNG BÌNH</t>
        </is>
      </c>
      <c r="G834" s="18" t="inlineStr">
        <is>
          <t>RISK_HIGH · PROMO_EXTRAPOLATION</t>
        </is>
      </c>
      <c r="H834" s="19" t="n">
        <v>14.19583351016045</v>
      </c>
      <c r="I834" s="19" t="n">
        <v>68.78834846615791</v>
      </c>
      <c r="J834" s="19" t="n">
        <v>174.2781087219715</v>
      </c>
      <c r="K834" s="19" t="n">
        <v>68.78834846615791</v>
      </c>
      <c r="L834" s="19" t="n">
        <v>134.7194486260414</v>
      </c>
      <c r="M834" s="19" t="n">
        <v>174.2781087219715</v>
      </c>
      <c r="N834" s="17" t="inlineStr">
        <is>
          <t>B</t>
        </is>
      </c>
      <c r="O834" s="19" t="n">
        <v>79.68876985311508</v>
      </c>
      <c r="P834" s="18" t="inlineStr">
        <is>
          <t>KHÔNG ĐỀ XUẤT TĂNG</t>
        </is>
      </c>
      <c r="Q834" s="17" t="inlineStr">
        <is>
          <t>Có</t>
        </is>
      </c>
      <c r="R834" s="20" t="n"/>
      <c r="S834" s="20" t="n"/>
      <c r="T834" s="21" t="n"/>
      <c r="U834" s="21" t="n"/>
      <c r="V834" s="22">
        <f>IF(U834="A",K834,IF(U834="B",L834,IF(U834="C",M834,IF(N834="A",K834,IF(N834="B",L834,M834)))))</f>
        <v/>
      </c>
      <c r="W834" s="22">
        <f>IF(R834="",O834,MAX(V834-R834-N(S834),0))</f>
        <v/>
      </c>
      <c r="X834" s="20" t="n"/>
      <c r="Y834" s="23">
        <f>IF(OR(X834="",W834=0),"",X834/W834-1)</f>
        <v/>
      </c>
      <c r="Z834" s="24" t="n"/>
      <c r="AA834" s="21" t="n"/>
      <c r="AB834" s="25" t="n"/>
      <c r="AC834" s="26">
        <f>IF(T834="","Chưa quyết định",IF(OR(Z834="",AA834=""),"⚠ Thiếu lý do/người duyệt",IF(AND(X834&lt;&gt;"",N(X834)+N(R834)+N(S834)&gt;M834*1.001,R834&lt;&gt;""),"⚠ Vượt mục tiêu P90",IF(AND(Y834&lt;&gt;"",ABS(N(Y834))&gt;0.3),"⚠ Lệch &gt; 30% so với nhu cầu",IF(Q834="Có","ℹ Kiểm tra ngoại suy KM","✓ Hợp lệ")))))</f>
        <v/>
      </c>
    </row>
    <row r="835">
      <c r="A835" s="16" t="n">
        <v>831</v>
      </c>
      <c r="B835" s="17" t="inlineStr">
        <is>
          <t>DEC-S11-MAGAZINES</t>
        </is>
      </c>
      <c r="C835" s="16" t="n">
        <v>11</v>
      </c>
      <c r="D835" s="17" t="inlineStr">
        <is>
          <t>MAGAZINES</t>
        </is>
      </c>
      <c r="E835" s="17" t="inlineStr">
        <is>
          <t>HIGH</t>
        </is>
      </c>
      <c r="F835" s="17" t="inlineStr">
        <is>
          <t>TRUNG BÌNH</t>
        </is>
      </c>
      <c r="G835" s="18" t="inlineStr">
        <is>
          <t>RISK_HIGH · PROMO_EXTRAPOLATION</t>
        </is>
      </c>
      <c r="H835" s="19" t="n">
        <v>8.844659566879272</v>
      </c>
      <c r="I835" s="19" t="n">
        <v>68.33481407165527</v>
      </c>
      <c r="J835" s="19" t="n">
        <v>178.3426120281219</v>
      </c>
      <c r="K835" s="19" t="n">
        <v>68.33481407165527</v>
      </c>
      <c r="L835" s="19" t="n">
        <v>137.0896877944469</v>
      </c>
      <c r="M835" s="19" t="n">
        <v>178.3426120281219</v>
      </c>
      <c r="N835" s="17" t="inlineStr">
        <is>
          <t>B</t>
        </is>
      </c>
      <c r="O835" s="19" t="n">
        <v>82.42183653712272</v>
      </c>
      <c r="P835" s="18" t="inlineStr">
        <is>
          <t>KHÔNG ĐỀ XUẤT TĂNG</t>
        </is>
      </c>
      <c r="Q835" s="17" t="inlineStr">
        <is>
          <t>Có</t>
        </is>
      </c>
      <c r="R835" s="20" t="n"/>
      <c r="S835" s="20" t="n"/>
      <c r="T835" s="21" t="n"/>
      <c r="U835" s="21" t="n"/>
      <c r="V835" s="22">
        <f>IF(U835="A",K835,IF(U835="B",L835,IF(U835="C",M835,IF(N835="A",K835,IF(N835="B",L835,M835)))))</f>
        <v/>
      </c>
      <c r="W835" s="22">
        <f>IF(R835="",O835,MAX(V835-R835-N(S835),0))</f>
        <v/>
      </c>
      <c r="X835" s="20" t="n"/>
      <c r="Y835" s="23">
        <f>IF(OR(X835="",W835=0),"",X835/W835-1)</f>
        <v/>
      </c>
      <c r="Z835" s="24" t="n"/>
      <c r="AA835" s="21" t="n"/>
      <c r="AB835" s="25" t="n"/>
      <c r="AC835" s="26">
        <f>IF(T835="","Chưa quyết định",IF(OR(Z835="",AA835=""),"⚠ Thiếu lý do/người duyệt",IF(AND(X835&lt;&gt;"",N(X835)+N(R835)+N(S835)&gt;M835*1.001,R835&lt;&gt;""),"⚠ Vượt mục tiêu P90",IF(AND(Y835&lt;&gt;"",ABS(N(Y835))&gt;0.3),"⚠ Lệch &gt; 30% so với nhu cầu",IF(Q835="Có","ℹ Kiểm tra ngoại suy KM","✓ Hợp lệ")))))</f>
        <v/>
      </c>
    </row>
    <row r="836">
      <c r="A836" s="16" t="n">
        <v>832</v>
      </c>
      <c r="B836" s="17" t="inlineStr">
        <is>
          <t>DEC-S19-PLAYERS_AND_ELECTRONICS</t>
        </is>
      </c>
      <c r="C836" s="16" t="n">
        <v>19</v>
      </c>
      <c r="D836" s="17" t="inlineStr">
        <is>
          <t>PLAYERS AND ELECTRONICS</t>
        </is>
      </c>
      <c r="E836" s="17" t="inlineStr">
        <is>
          <t>HIGH</t>
        </is>
      </c>
      <c r="F836" s="17" t="inlineStr">
        <is>
          <t>TRUNG BÌNH</t>
        </is>
      </c>
      <c r="G836" s="18" t="inlineStr">
        <is>
          <t>RISK_HIGH · PROMO_EXTRAPOLATION</t>
        </is>
      </c>
      <c r="H836" s="19" t="n">
        <v>10.72545984983444</v>
      </c>
      <c r="I836" s="19" t="n">
        <v>68.08963918685913</v>
      </c>
      <c r="J836" s="19" t="n">
        <v>175.9683514595032</v>
      </c>
      <c r="K836" s="19" t="n">
        <v>68.08963918685913</v>
      </c>
      <c r="L836" s="19" t="n">
        <v>135.5138343572617</v>
      </c>
      <c r="M836" s="19" t="n">
        <v>175.9683514595032</v>
      </c>
      <c r="N836" s="17" t="inlineStr">
        <is>
          <t>B</t>
        </is>
      </c>
      <c r="O836" s="19" t="n">
        <v>81.04212300777435</v>
      </c>
      <c r="P836" s="18" t="inlineStr">
        <is>
          <t>KHÔNG ĐỀ XUẤT TĂNG</t>
        </is>
      </c>
      <c r="Q836" s="17" t="inlineStr">
        <is>
          <t>Có</t>
        </is>
      </c>
      <c r="R836" s="20" t="n"/>
      <c r="S836" s="20" t="n"/>
      <c r="T836" s="21" t="n"/>
      <c r="U836" s="21" t="n"/>
      <c r="V836" s="22">
        <f>IF(U836="A",K836,IF(U836="B",L836,IF(U836="C",M836,IF(N836="A",K836,IF(N836="B",L836,M836)))))</f>
        <v/>
      </c>
      <c r="W836" s="22">
        <f>IF(R836="",O836,MAX(V836-R836-N(S836),0))</f>
        <v/>
      </c>
      <c r="X836" s="20" t="n"/>
      <c r="Y836" s="23">
        <f>IF(OR(X836="",W836=0),"",X836/W836-1)</f>
        <v/>
      </c>
      <c r="Z836" s="24" t="n"/>
      <c r="AA836" s="21" t="n"/>
      <c r="AB836" s="25" t="n"/>
      <c r="AC836" s="26">
        <f>IF(T836="","Chưa quyết định",IF(OR(Z836="",AA836=""),"⚠ Thiếu lý do/người duyệt",IF(AND(X836&lt;&gt;"",N(X836)+N(R836)+N(S836)&gt;M836*1.001,R836&lt;&gt;""),"⚠ Vượt mục tiêu P90",IF(AND(Y836&lt;&gt;"",ABS(N(Y836))&gt;0.3),"⚠ Lệch &gt; 30% so với nhu cầu",IF(Q836="Có","ℹ Kiểm tra ngoại suy KM","✓ Hợp lệ")))))</f>
        <v/>
      </c>
    </row>
    <row r="837">
      <c r="A837" s="16" t="n">
        <v>833</v>
      </c>
      <c r="B837" s="17" t="inlineStr">
        <is>
          <t>DEC-S31-PET_SUPPLIES</t>
        </is>
      </c>
      <c r="C837" s="16" t="n">
        <v>31</v>
      </c>
      <c r="D837" s="17" t="inlineStr">
        <is>
          <t>PET SUPPLIES</t>
        </is>
      </c>
      <c r="E837" s="17" t="inlineStr">
        <is>
          <t>HIGH</t>
        </is>
      </c>
      <c r="F837" s="17" t="inlineStr">
        <is>
          <t>TRUNG BÌNH</t>
        </is>
      </c>
      <c r="G837" s="18" t="inlineStr">
        <is>
          <t>RISK_HIGH · PROMO_EXTRAPOLATION</t>
        </is>
      </c>
      <c r="H837" s="19" t="n">
        <v>12.21611213684082</v>
      </c>
      <c r="I837" s="19" t="n">
        <v>67.81466495990753</v>
      </c>
      <c r="J837" s="19" t="n">
        <v>175.4335108995438</v>
      </c>
      <c r="K837" s="19" t="n">
        <v>67.81466495990753</v>
      </c>
      <c r="L837" s="19" t="n">
        <v>135.0764436721802</v>
      </c>
      <c r="M837" s="19" t="n">
        <v>175.4335108995438</v>
      </c>
      <c r="N837" s="17" t="inlineStr">
        <is>
          <t>B</t>
        </is>
      </c>
      <c r="O837" s="19" t="n">
        <v>80.82471170425416</v>
      </c>
      <c r="P837" s="18" t="inlineStr">
        <is>
          <t>KHÔNG ĐỀ XUẤT TĂNG</t>
        </is>
      </c>
      <c r="Q837" s="17" t="inlineStr">
        <is>
          <t>Có</t>
        </is>
      </c>
      <c r="R837" s="20" t="n"/>
      <c r="S837" s="20" t="n"/>
      <c r="T837" s="21" t="n"/>
      <c r="U837" s="21" t="n"/>
      <c r="V837" s="22">
        <f>IF(U837="A",K837,IF(U837="B",L837,IF(U837="C",M837,IF(N837="A",K837,IF(N837="B",L837,M837)))))</f>
        <v/>
      </c>
      <c r="W837" s="22">
        <f>IF(R837="",O837,MAX(V837-R837-N(S837),0))</f>
        <v/>
      </c>
      <c r="X837" s="20" t="n"/>
      <c r="Y837" s="23">
        <f>IF(OR(X837="",W837=0),"",X837/W837-1)</f>
        <v/>
      </c>
      <c r="Z837" s="24" t="n"/>
      <c r="AA837" s="21" t="n"/>
      <c r="AB837" s="25" t="n"/>
      <c r="AC837" s="26">
        <f>IF(T837="","Chưa quyết định",IF(OR(Z837="",AA837=""),"⚠ Thiếu lý do/người duyệt",IF(AND(X837&lt;&gt;"",N(X837)+N(R837)+N(S837)&gt;M837*1.001,R837&lt;&gt;""),"⚠ Vượt mục tiêu P90",IF(AND(Y837&lt;&gt;"",ABS(N(Y837))&gt;0.3),"⚠ Lệch &gt; 30% so với nhu cầu",IF(Q837="Có","ℹ Kiểm tra ngoại suy KM","✓ Hợp lệ")))))</f>
        <v/>
      </c>
    </row>
    <row r="838">
      <c r="A838" s="16" t="n">
        <v>834</v>
      </c>
      <c r="B838" s="17" t="inlineStr">
        <is>
          <t>DEC-S15-PLAYERS_AND_ELECTRONICS</t>
        </is>
      </c>
      <c r="C838" s="16" t="n">
        <v>15</v>
      </c>
      <c r="D838" s="17" t="inlineStr">
        <is>
          <t>PLAYERS AND ELECTRONICS</t>
        </is>
      </c>
      <c r="E838" s="17" t="inlineStr">
        <is>
          <t>HIGH</t>
        </is>
      </c>
      <c r="F838" s="17" t="inlineStr">
        <is>
          <t>TRUNG BÌNH</t>
        </is>
      </c>
      <c r="G838" s="18" t="inlineStr">
        <is>
          <t>RISK_HIGH · PROMO_EXTRAPOLATION</t>
        </is>
      </c>
      <c r="H838" s="19" t="n">
        <v>5.258613586425781</v>
      </c>
      <c r="I838" s="19" t="n">
        <v>67.51513028144836</v>
      </c>
      <c r="J838" s="19" t="n">
        <v>179.9118802547455</v>
      </c>
      <c r="K838" s="19" t="n">
        <v>67.51513028144836</v>
      </c>
      <c r="L838" s="19" t="n">
        <v>137.7630990147591</v>
      </c>
      <c r="M838" s="19" t="n">
        <v>179.9118802547455</v>
      </c>
      <c r="N838" s="17" t="inlineStr">
        <is>
          <t>B</t>
        </is>
      </c>
      <c r="O838" s="19" t="n">
        <v>83.75099478960038</v>
      </c>
      <c r="P838" s="18" t="inlineStr">
        <is>
          <t>KHÔNG ĐỀ XUẤT TĂNG</t>
        </is>
      </c>
      <c r="Q838" s="17" t="inlineStr">
        <is>
          <t>Có</t>
        </is>
      </c>
      <c r="R838" s="20" t="n"/>
      <c r="S838" s="20" t="n"/>
      <c r="T838" s="21" t="n"/>
      <c r="U838" s="21" t="n"/>
      <c r="V838" s="22">
        <f>IF(U838="A",K838,IF(U838="B",L838,IF(U838="C",M838,IF(N838="A",K838,IF(N838="B",L838,M838)))))</f>
        <v/>
      </c>
      <c r="W838" s="22">
        <f>IF(R838="",O838,MAX(V838-R838-N(S838),0))</f>
        <v/>
      </c>
      <c r="X838" s="20" t="n"/>
      <c r="Y838" s="23">
        <f>IF(OR(X838="",W838=0),"",X838/W838-1)</f>
        <v/>
      </c>
      <c r="Z838" s="24" t="n"/>
      <c r="AA838" s="21" t="n"/>
      <c r="AB838" s="25" t="n"/>
      <c r="AC838" s="26">
        <f>IF(T838="","Chưa quyết định",IF(OR(Z838="",AA838=""),"⚠ Thiếu lý do/người duyệt",IF(AND(X838&lt;&gt;"",N(X838)+N(R838)+N(S838)&gt;M838*1.001,R838&lt;&gt;""),"⚠ Vượt mục tiêu P90",IF(AND(Y838&lt;&gt;"",ABS(N(Y838))&gt;0.3),"⚠ Lệch &gt; 30% so với nhu cầu",IF(Q838="Có","ℹ Kiểm tra ngoại suy KM","✓ Hợp lệ")))))</f>
        <v/>
      </c>
    </row>
    <row r="839">
      <c r="A839" s="16" t="n">
        <v>835</v>
      </c>
      <c r="B839" s="17" t="inlineStr">
        <is>
          <t>DEC-S01-PET_SUPPLIES</t>
        </is>
      </c>
      <c r="C839" s="16" t="n">
        <v>1</v>
      </c>
      <c r="D839" s="17" t="inlineStr">
        <is>
          <t>PET SUPPLIES</t>
        </is>
      </c>
      <c r="E839" s="17" t="inlineStr">
        <is>
          <t>HIGH</t>
        </is>
      </c>
      <c r="F839" s="17" t="inlineStr">
        <is>
          <t>TRUNG BÌNH</t>
        </is>
      </c>
      <c r="G839" s="18" t="inlineStr">
        <is>
          <t>RISK_HIGH · PROMO_EXTRAPOLATION</t>
        </is>
      </c>
      <c r="H839" s="19" t="n">
        <v>10.43268636465073</v>
      </c>
      <c r="I839" s="19" t="n">
        <v>67.42172718048096</v>
      </c>
      <c r="J839" s="19" t="n">
        <v>175.300439453125</v>
      </c>
      <c r="K839" s="19" t="n">
        <v>67.42172718048096</v>
      </c>
      <c r="L839" s="19" t="n">
        <v>134.8459223508835</v>
      </c>
      <c r="M839" s="19" t="n">
        <v>175.300439453125</v>
      </c>
      <c r="N839" s="17" t="inlineStr">
        <is>
          <t>B</t>
        </is>
      </c>
      <c r="O839" s="19" t="n">
        <v>80.90854060649872</v>
      </c>
      <c r="P839" s="18" t="inlineStr">
        <is>
          <t>KHÔNG ĐỀ XUẤT TĂNG</t>
        </is>
      </c>
      <c r="Q839" s="17" t="inlineStr">
        <is>
          <t>Có</t>
        </is>
      </c>
      <c r="R839" s="20" t="n"/>
      <c r="S839" s="20" t="n"/>
      <c r="T839" s="21" t="n"/>
      <c r="U839" s="21" t="n"/>
      <c r="V839" s="22">
        <f>IF(U839="A",K839,IF(U839="B",L839,IF(U839="C",M839,IF(N839="A",K839,IF(N839="B",L839,M839)))))</f>
        <v/>
      </c>
      <c r="W839" s="22">
        <f>IF(R839="",O839,MAX(V839-R839-N(S839),0))</f>
        <v/>
      </c>
      <c r="X839" s="20" t="n"/>
      <c r="Y839" s="23">
        <f>IF(OR(X839="",W839=0),"",X839/W839-1)</f>
        <v/>
      </c>
      <c r="Z839" s="24" t="n"/>
      <c r="AA839" s="21" t="n"/>
      <c r="AB839" s="25" t="n"/>
      <c r="AC839" s="26">
        <f>IF(T839="","Chưa quyết định",IF(OR(Z839="",AA839=""),"⚠ Thiếu lý do/người duyệt",IF(AND(X839&lt;&gt;"",N(X839)+N(R839)+N(S839)&gt;M839*1.001,R839&lt;&gt;""),"⚠ Vượt mục tiêu P90",IF(AND(Y839&lt;&gt;"",ABS(N(Y839))&gt;0.3),"⚠ Lệch &gt; 30% so với nhu cầu",IF(Q839="Có","ℹ Kiểm tra ngoại suy KM","✓ Hợp lệ")))))</f>
        <v/>
      </c>
    </row>
    <row r="840">
      <c r="A840" s="16" t="n">
        <v>836</v>
      </c>
      <c r="B840" s="17" t="inlineStr">
        <is>
          <t>DEC-S36-LINGERIE</t>
        </is>
      </c>
      <c r="C840" s="16" t="n">
        <v>36</v>
      </c>
      <c r="D840" s="17" t="inlineStr">
        <is>
          <t>LINGERIE</t>
        </is>
      </c>
      <c r="E840" s="17" t="inlineStr">
        <is>
          <t>HIGH</t>
        </is>
      </c>
      <c r="F840" s="17" t="inlineStr">
        <is>
          <t>TRUNG BÌNH</t>
        </is>
      </c>
      <c r="G840" s="18" t="inlineStr">
        <is>
          <t>RISK_HIGH · PROMO_EXTRAPOLATION</t>
        </is>
      </c>
      <c r="H840" s="19" t="n">
        <v>10.90805015563965</v>
      </c>
      <c r="I840" s="19" t="n">
        <v>66.96786659955978</v>
      </c>
      <c r="J840" s="19" t="n">
        <v>174.8465788722038</v>
      </c>
      <c r="K840" s="19" t="n">
        <v>66.96786659955978</v>
      </c>
      <c r="L840" s="19" t="n">
        <v>134.3920617699623</v>
      </c>
      <c r="M840" s="19" t="n">
        <v>174.8465788722038</v>
      </c>
      <c r="N840" s="17" t="inlineStr">
        <is>
          <t>B</t>
        </is>
      </c>
      <c r="O840" s="19" t="n">
        <v>80.81776849031448</v>
      </c>
      <c r="P840" s="18" t="inlineStr">
        <is>
          <t>KHÔNG ĐỀ XUẤT TĂNG</t>
        </is>
      </c>
      <c r="Q840" s="17" t="inlineStr">
        <is>
          <t>Có</t>
        </is>
      </c>
      <c r="R840" s="20" t="n"/>
      <c r="S840" s="20" t="n"/>
      <c r="T840" s="21" t="n"/>
      <c r="U840" s="21" t="n"/>
      <c r="V840" s="22">
        <f>IF(U840="A",K840,IF(U840="B",L840,IF(U840="C",M840,IF(N840="A",K840,IF(N840="B",L840,M840)))))</f>
        <v/>
      </c>
      <c r="W840" s="22">
        <f>IF(R840="",O840,MAX(V840-R840-N(S840),0))</f>
        <v/>
      </c>
      <c r="X840" s="20" t="n"/>
      <c r="Y840" s="23">
        <f>IF(OR(X840="",W840=0),"",X840/W840-1)</f>
        <v/>
      </c>
      <c r="Z840" s="24" t="n"/>
      <c r="AA840" s="21" t="n"/>
      <c r="AB840" s="25" t="n"/>
      <c r="AC840" s="26">
        <f>IF(T840="","Chưa quyết định",IF(OR(Z840="",AA840=""),"⚠ Thiếu lý do/người duyệt",IF(AND(X840&lt;&gt;"",N(X840)+N(R840)+N(S840)&gt;M840*1.001,R840&lt;&gt;""),"⚠ Vượt mục tiêu P90",IF(AND(Y840&lt;&gt;"",ABS(N(Y840))&gt;0.3),"⚠ Lệch &gt; 30% so với nhu cầu",IF(Q840="Có","ℹ Kiểm tra ngoại suy KM","✓ Hợp lệ")))))</f>
        <v/>
      </c>
    </row>
    <row r="841">
      <c r="A841" s="16" t="n">
        <v>837</v>
      </c>
      <c r="B841" s="17" t="inlineStr">
        <is>
          <t>DEC-S37-SEAFOOD</t>
        </is>
      </c>
      <c r="C841" s="16" t="n">
        <v>37</v>
      </c>
      <c r="D841" s="17" t="inlineStr">
        <is>
          <t>SEAFOOD</t>
        </is>
      </c>
      <c r="E841" s="17" t="inlineStr">
        <is>
          <t>HIGH</t>
        </is>
      </c>
      <c r="F841" s="17" t="inlineStr">
        <is>
          <t>TRUNG BÌNH</t>
        </is>
      </c>
      <c r="G841" s="18" t="inlineStr">
        <is>
          <t>RISK_HIGH · PROMO_EXTRAPOLATION</t>
        </is>
      </c>
      <c r="H841" s="19" t="n">
        <v>13.95529172420502</v>
      </c>
      <c r="I841" s="19" t="n">
        <v>66.69018298387527</v>
      </c>
      <c r="J841" s="19" t="n">
        <v>177.622319996357</v>
      </c>
      <c r="K841" s="19" t="n">
        <v>66.69018298387527</v>
      </c>
      <c r="L841" s="19" t="n">
        <v>136.0227686166763</v>
      </c>
      <c r="M841" s="19" t="n">
        <v>177.622319996357</v>
      </c>
      <c r="N841" s="17" t="inlineStr">
        <is>
          <t>B</t>
        </is>
      </c>
      <c r="O841" s="19" t="n">
        <v>82.67062222957611</v>
      </c>
      <c r="P841" s="18" t="inlineStr">
        <is>
          <t>CÂN NHẮC THỬ NGHIỆM</t>
        </is>
      </c>
      <c r="Q841" s="17" t="inlineStr">
        <is>
          <t>Có</t>
        </is>
      </c>
      <c r="R841" s="20" t="n"/>
      <c r="S841" s="20" t="n"/>
      <c r="T841" s="21" t="n"/>
      <c r="U841" s="21" t="n"/>
      <c r="V841" s="22">
        <f>IF(U841="A",K841,IF(U841="B",L841,IF(U841="C",M841,IF(N841="A",K841,IF(N841="B",L841,M841)))))</f>
        <v/>
      </c>
      <c r="W841" s="22">
        <f>IF(R841="",O841,MAX(V841-R841-N(S841),0))</f>
        <v/>
      </c>
      <c r="X841" s="20" t="n"/>
      <c r="Y841" s="23">
        <f>IF(OR(X841="",W841=0),"",X841/W841-1)</f>
        <v/>
      </c>
      <c r="Z841" s="24" t="n"/>
      <c r="AA841" s="21" t="n"/>
      <c r="AB841" s="25" t="n"/>
      <c r="AC841" s="26">
        <f>IF(T841="","Chưa quyết định",IF(OR(Z841="",AA841=""),"⚠ Thiếu lý do/người duyệt",IF(AND(X841&lt;&gt;"",N(X841)+N(R841)+N(S841)&gt;M841*1.001,R841&lt;&gt;""),"⚠ Vượt mục tiêu P90",IF(AND(Y841&lt;&gt;"",ABS(N(Y841))&gt;0.3),"⚠ Lệch &gt; 30% so với nhu cầu",IF(Q841="Có","ℹ Kiểm tra ngoại suy KM","✓ Hợp lệ")))))</f>
        <v/>
      </c>
    </row>
    <row r="842">
      <c r="A842" s="16" t="n">
        <v>838</v>
      </c>
      <c r="B842" s="17" t="inlineStr">
        <is>
          <t>DEC-S30-PLAYERS_AND_ELECTRONICS</t>
        </is>
      </c>
      <c r="C842" s="16" t="n">
        <v>30</v>
      </c>
      <c r="D842" s="17" t="inlineStr">
        <is>
          <t>PLAYERS AND ELECTRONICS</t>
        </is>
      </c>
      <c r="E842" s="17" t="inlineStr">
        <is>
          <t>HIGH</t>
        </is>
      </c>
      <c r="F842" s="17" t="inlineStr">
        <is>
          <t>TRUNG BÌNH</t>
        </is>
      </c>
      <c r="G842" s="18" t="inlineStr">
        <is>
          <t>RISK_HIGH · PROMO_EXTRAPOLATION</t>
        </is>
      </c>
      <c r="H842" s="19" t="n">
        <v>9.468294328451156</v>
      </c>
      <c r="I842" s="19" t="n">
        <v>66.68539670109749</v>
      </c>
      <c r="J842" s="19" t="n">
        <v>174.5641089737415</v>
      </c>
      <c r="K842" s="19" t="n">
        <v>66.68539670109749</v>
      </c>
      <c r="L842" s="19" t="n">
        <v>134.1095918715</v>
      </c>
      <c r="M842" s="19" t="n">
        <v>174.5641089737415</v>
      </c>
      <c r="N842" s="17" t="inlineStr">
        <is>
          <t>B</t>
        </is>
      </c>
      <c r="O842" s="19" t="n">
        <v>80.76127451062203</v>
      </c>
      <c r="P842" s="18" t="inlineStr">
        <is>
          <t>KHÔNG ĐỀ XUẤT TĂNG</t>
        </is>
      </c>
      <c r="Q842" s="17" t="inlineStr">
        <is>
          <t>Có</t>
        </is>
      </c>
      <c r="R842" s="20" t="n"/>
      <c r="S842" s="20" t="n"/>
      <c r="T842" s="21" t="n"/>
      <c r="U842" s="21" t="n"/>
      <c r="V842" s="22">
        <f>IF(U842="A",K842,IF(U842="B",L842,IF(U842="C",M842,IF(N842="A",K842,IF(N842="B",L842,M842)))))</f>
        <v/>
      </c>
      <c r="W842" s="22">
        <f>IF(R842="",O842,MAX(V842-R842-N(S842),0))</f>
        <v/>
      </c>
      <c r="X842" s="20" t="n"/>
      <c r="Y842" s="23">
        <f>IF(OR(X842="",W842=0),"",X842/W842-1)</f>
        <v/>
      </c>
      <c r="Z842" s="24" t="n"/>
      <c r="AA842" s="21" t="n"/>
      <c r="AB842" s="25" t="n"/>
      <c r="AC842" s="26">
        <f>IF(T842="","Chưa quyết định",IF(OR(Z842="",AA842=""),"⚠ Thiếu lý do/người duyệt",IF(AND(X842&lt;&gt;"",N(X842)+N(R842)+N(S842)&gt;M842*1.001,R842&lt;&gt;""),"⚠ Vượt mục tiêu P90",IF(AND(Y842&lt;&gt;"",ABS(N(Y842))&gt;0.3),"⚠ Lệch &gt; 30% so với nhu cầu",IF(Q842="Có","ℹ Kiểm tra ngoại suy KM","✓ Hợp lệ")))))</f>
        <v/>
      </c>
    </row>
    <row r="843">
      <c r="A843" s="16" t="n">
        <v>839</v>
      </c>
      <c r="B843" s="17" t="inlineStr">
        <is>
          <t>DEC-S43-MAGAZINES</t>
        </is>
      </c>
      <c r="C843" s="16" t="n">
        <v>43</v>
      </c>
      <c r="D843" s="17" t="inlineStr">
        <is>
          <t>MAGAZINES</t>
        </is>
      </c>
      <c r="E843" s="17" t="inlineStr">
        <is>
          <t>HIGH</t>
        </is>
      </c>
      <c r="F843" s="17" t="inlineStr">
        <is>
          <t>TRUNG BÌNH</t>
        </is>
      </c>
      <c r="G843" s="18" t="inlineStr">
        <is>
          <t>RISK_HIGH · PROMO_EXTRAPOLATION</t>
        </is>
      </c>
      <c r="H843" s="19" t="n">
        <v>15.05840966701508</v>
      </c>
      <c r="I843" s="19" t="n">
        <v>66.51426655054092</v>
      </c>
      <c r="J843" s="19" t="n">
        <v>169.6150747895241</v>
      </c>
      <c r="K843" s="19" t="n">
        <v>66.51426655054092</v>
      </c>
      <c r="L843" s="19" t="n">
        <v>130.9522716999054</v>
      </c>
      <c r="M843" s="19" t="n">
        <v>169.6150747895241</v>
      </c>
      <c r="N843" s="17" t="inlineStr">
        <is>
          <t>B</t>
        </is>
      </c>
      <c r="O843" s="19" t="n">
        <v>77.74085845947266</v>
      </c>
      <c r="P843" s="18" t="inlineStr">
        <is>
          <t>KHÔNG ĐỀ XUẤT TĂNG</t>
        </is>
      </c>
      <c r="Q843" s="17" t="inlineStr">
        <is>
          <t>Có</t>
        </is>
      </c>
      <c r="R843" s="20" t="n"/>
      <c r="S843" s="20" t="n"/>
      <c r="T843" s="21" t="n"/>
      <c r="U843" s="21" t="n"/>
      <c r="V843" s="22">
        <f>IF(U843="A",K843,IF(U843="B",L843,IF(U843="C",M843,IF(N843="A",K843,IF(N843="B",L843,M843)))))</f>
        <v/>
      </c>
      <c r="W843" s="22">
        <f>IF(R843="",O843,MAX(V843-R843-N(S843),0))</f>
        <v/>
      </c>
      <c r="X843" s="20" t="n"/>
      <c r="Y843" s="23">
        <f>IF(OR(X843="",W843=0),"",X843/W843-1)</f>
        <v/>
      </c>
      <c r="Z843" s="24" t="n"/>
      <c r="AA843" s="21" t="n"/>
      <c r="AB843" s="25" t="n"/>
      <c r="AC843" s="26">
        <f>IF(T843="","Chưa quyết định",IF(OR(Z843="",AA843=""),"⚠ Thiếu lý do/người duyệt",IF(AND(X843&lt;&gt;"",N(X843)+N(R843)+N(S843)&gt;M843*1.001,R843&lt;&gt;""),"⚠ Vượt mục tiêu P90",IF(AND(Y843&lt;&gt;"",ABS(N(Y843))&gt;0.3),"⚠ Lệch &gt; 30% so với nhu cầu",IF(Q843="Có","ℹ Kiểm tra ngoại suy KM","✓ Hợp lệ")))))</f>
        <v/>
      </c>
    </row>
    <row r="844">
      <c r="A844" s="16" t="n">
        <v>840</v>
      </c>
      <c r="B844" s="17" t="inlineStr">
        <is>
          <t>DEC-S14-PLAYERS_AND_ELECTRONICS</t>
        </is>
      </c>
      <c r="C844" s="16" t="n">
        <v>14</v>
      </c>
      <c r="D844" s="17" t="inlineStr">
        <is>
          <t>PLAYERS AND ELECTRONICS</t>
        </is>
      </c>
      <c r="E844" s="17" t="inlineStr">
        <is>
          <t>HIGH</t>
        </is>
      </c>
      <c r="F844" s="17" t="inlineStr">
        <is>
          <t>TRUNG BÌNH</t>
        </is>
      </c>
      <c r="G844" s="18" t="inlineStr">
        <is>
          <t>RISK_HIGH · PROMO_EXTRAPOLATION</t>
        </is>
      </c>
      <c r="H844" s="19" t="n">
        <v>12.25070430040359</v>
      </c>
      <c r="I844" s="19" t="n">
        <v>65.81400603055954</v>
      </c>
      <c r="J844" s="19" t="n">
        <v>171.5636326193809</v>
      </c>
      <c r="K844" s="19" t="n">
        <v>65.81400603055954</v>
      </c>
      <c r="L844" s="19" t="n">
        <v>131.9075226485729</v>
      </c>
      <c r="M844" s="19" t="n">
        <v>171.5636326193809</v>
      </c>
      <c r="N844" s="17" t="inlineStr">
        <is>
          <t>B</t>
        </is>
      </c>
      <c r="O844" s="19" t="n">
        <v>79.25631782412529</v>
      </c>
      <c r="P844" s="18" t="inlineStr">
        <is>
          <t>KHÔNG ĐỀ XUẤT TĂNG</t>
        </is>
      </c>
      <c r="Q844" s="17" t="inlineStr">
        <is>
          <t>Có</t>
        </is>
      </c>
      <c r="R844" s="20" t="n"/>
      <c r="S844" s="20" t="n"/>
      <c r="T844" s="21" t="n"/>
      <c r="U844" s="21" t="n"/>
      <c r="V844" s="22">
        <f>IF(U844="A",K844,IF(U844="B",L844,IF(U844="C",M844,IF(N844="A",K844,IF(N844="B",L844,M844)))))</f>
        <v/>
      </c>
      <c r="W844" s="22">
        <f>IF(R844="",O844,MAX(V844-R844-N(S844),0))</f>
        <v/>
      </c>
      <c r="X844" s="20" t="n"/>
      <c r="Y844" s="23">
        <f>IF(OR(X844="",W844=0),"",X844/W844-1)</f>
        <v/>
      </c>
      <c r="Z844" s="24" t="n"/>
      <c r="AA844" s="21" t="n"/>
      <c r="AB844" s="25" t="n"/>
      <c r="AC844" s="26">
        <f>IF(T844="","Chưa quyết định",IF(OR(Z844="",AA844=""),"⚠ Thiếu lý do/người duyệt",IF(AND(X844&lt;&gt;"",N(X844)+N(R844)+N(S844)&gt;M844*1.001,R844&lt;&gt;""),"⚠ Vượt mục tiêu P90",IF(AND(Y844&lt;&gt;"",ABS(N(Y844))&gt;0.3),"⚠ Lệch &gt; 30% so với nhu cầu",IF(Q844="Có","ℹ Kiểm tra ngoại suy KM","✓ Hợp lệ")))))</f>
        <v/>
      </c>
    </row>
    <row r="845">
      <c r="A845" s="16" t="n">
        <v>841</v>
      </c>
      <c r="B845" s="17" t="inlineStr">
        <is>
          <t>DEC-S50-LINGERIE</t>
        </is>
      </c>
      <c r="C845" s="16" t="n">
        <v>50</v>
      </c>
      <c r="D845" s="17" t="inlineStr">
        <is>
          <t>LINGERIE</t>
        </is>
      </c>
      <c r="E845" s="17" t="inlineStr">
        <is>
          <t>HIGH</t>
        </is>
      </c>
      <c r="F845" s="17" t="inlineStr">
        <is>
          <t>TRUNG BÌNH</t>
        </is>
      </c>
      <c r="G845" s="18" t="inlineStr">
        <is>
          <t>RISK_HIGH · PROMO_EXTRAPOLATION</t>
        </is>
      </c>
      <c r="H845" s="19" t="n">
        <v>11.59746624231338</v>
      </c>
      <c r="I845" s="19" t="n">
        <v>65.61442190408707</v>
      </c>
      <c r="J845" s="19" t="n">
        <v>171.3640484929085</v>
      </c>
      <c r="K845" s="19" t="n">
        <v>65.61442190408707</v>
      </c>
      <c r="L845" s="19" t="n">
        <v>131.7079385221004</v>
      </c>
      <c r="M845" s="19" t="n">
        <v>171.3640484929085</v>
      </c>
      <c r="N845" s="17" t="inlineStr">
        <is>
          <t>B</t>
        </is>
      </c>
      <c r="O845" s="19" t="n">
        <v>79.21640099883079</v>
      </c>
      <c r="P845" s="18" t="inlineStr">
        <is>
          <t>KHÔNG ĐỀ XUẤT TĂNG</t>
        </is>
      </c>
      <c r="Q845" s="17" t="inlineStr">
        <is>
          <t>Có</t>
        </is>
      </c>
      <c r="R845" s="20" t="n"/>
      <c r="S845" s="20" t="n"/>
      <c r="T845" s="21" t="n"/>
      <c r="U845" s="21" t="n"/>
      <c r="V845" s="22">
        <f>IF(U845="A",K845,IF(U845="B",L845,IF(U845="C",M845,IF(N845="A",K845,IF(N845="B",L845,M845)))))</f>
        <v/>
      </c>
      <c r="W845" s="22">
        <f>IF(R845="",O845,MAX(V845-R845-N(S845),0))</f>
        <v/>
      </c>
      <c r="X845" s="20" t="n"/>
      <c r="Y845" s="23">
        <f>IF(OR(X845="",W845=0),"",X845/W845-1)</f>
        <v/>
      </c>
      <c r="Z845" s="24" t="n"/>
      <c r="AA845" s="21" t="n"/>
      <c r="AB845" s="25" t="n"/>
      <c r="AC845" s="26">
        <f>IF(T845="","Chưa quyết định",IF(OR(Z845="",AA845=""),"⚠ Thiếu lý do/người duyệt",IF(AND(X845&lt;&gt;"",N(X845)+N(R845)+N(S845)&gt;M845*1.001,R845&lt;&gt;""),"⚠ Vượt mục tiêu P90",IF(AND(Y845&lt;&gt;"",ABS(N(Y845))&gt;0.3),"⚠ Lệch &gt; 30% so với nhu cầu",IF(Q845="Có","ℹ Kiểm tra ngoại suy KM","✓ Hợp lệ")))))</f>
        <v/>
      </c>
    </row>
    <row r="846">
      <c r="A846" s="16" t="n">
        <v>842</v>
      </c>
      <c r="B846" s="17" t="inlineStr">
        <is>
          <t>DEC-S25-PET_SUPPLIES</t>
        </is>
      </c>
      <c r="C846" s="16" t="n">
        <v>25</v>
      </c>
      <c r="D846" s="17" t="inlineStr">
        <is>
          <t>PET SUPPLIES</t>
        </is>
      </c>
      <c r="E846" s="17" t="inlineStr">
        <is>
          <t>HIGH</t>
        </is>
      </c>
      <c r="F846" s="17" t="inlineStr">
        <is>
          <t>TRUNG BÌNH</t>
        </is>
      </c>
      <c r="G846" s="18" t="inlineStr">
        <is>
          <t>RISK_HIGH · PROMO_EXTRAPOLATION</t>
        </is>
      </c>
      <c r="H846" s="19" t="n">
        <v>8.700837379693985</v>
      </c>
      <c r="I846" s="19" t="n">
        <v>65.28161963820457</v>
      </c>
      <c r="J846" s="19" t="n">
        <v>173.1603319108486</v>
      </c>
      <c r="K846" s="19" t="n">
        <v>65.28161963820457</v>
      </c>
      <c r="L846" s="19" t="n">
        <v>132.7058148086071</v>
      </c>
      <c r="M846" s="19" t="n">
        <v>173.1603319108486</v>
      </c>
      <c r="N846" s="17" t="inlineStr">
        <is>
          <t>B</t>
        </is>
      </c>
      <c r="O846" s="19" t="n">
        <v>80.48051909804343</v>
      </c>
      <c r="P846" s="18" t="inlineStr">
        <is>
          <t>KHÔNG ĐỀ XUẤT TĂNG</t>
        </is>
      </c>
      <c r="Q846" s="17" t="inlineStr">
        <is>
          <t>Có</t>
        </is>
      </c>
      <c r="R846" s="20" t="n"/>
      <c r="S846" s="20" t="n"/>
      <c r="T846" s="21" t="n"/>
      <c r="U846" s="21" t="n"/>
      <c r="V846" s="22">
        <f>IF(U846="A",K846,IF(U846="B",L846,IF(U846="C",M846,IF(N846="A",K846,IF(N846="B",L846,M846)))))</f>
        <v/>
      </c>
      <c r="W846" s="22">
        <f>IF(R846="",O846,MAX(V846-R846-N(S846),0))</f>
        <v/>
      </c>
      <c r="X846" s="20" t="n"/>
      <c r="Y846" s="23">
        <f>IF(OR(X846="",W846=0),"",X846/W846-1)</f>
        <v/>
      </c>
      <c r="Z846" s="24" t="n"/>
      <c r="AA846" s="21" t="n"/>
      <c r="AB846" s="25" t="n"/>
      <c r="AC846" s="26">
        <f>IF(T846="","Chưa quyết định",IF(OR(Z846="",AA846=""),"⚠ Thiếu lý do/người duyệt",IF(AND(X846&lt;&gt;"",N(X846)+N(R846)+N(S846)&gt;M846*1.001,R846&lt;&gt;""),"⚠ Vượt mục tiêu P90",IF(AND(Y846&lt;&gt;"",ABS(N(Y846))&gt;0.3),"⚠ Lệch &gt; 30% so với nhu cầu",IF(Q846="Có","ℹ Kiểm tra ngoại suy KM","✓ Hợp lệ")))))</f>
        <v/>
      </c>
    </row>
    <row r="847">
      <c r="A847" s="16" t="n">
        <v>843</v>
      </c>
      <c r="B847" s="17" t="inlineStr">
        <is>
          <t>DEC-S05-AUTOMOTIVE</t>
        </is>
      </c>
      <c r="C847" s="16" t="n">
        <v>5</v>
      </c>
      <c r="D847" s="17" t="inlineStr">
        <is>
          <t>AUTOMOTIVE</t>
        </is>
      </c>
      <c r="E847" s="17" t="inlineStr">
        <is>
          <t>HIGH</t>
        </is>
      </c>
      <c r="F847" s="17" t="inlineStr">
        <is>
          <t>TRUNG BÌNH</t>
        </is>
      </c>
      <c r="G847" s="18" t="inlineStr">
        <is>
          <t>RISK_HIGH · PROMO_EXTRAPOLATION</t>
        </is>
      </c>
      <c r="H847" s="19" t="n">
        <v>11.21362093687058</v>
      </c>
      <c r="I847" s="19" t="n">
        <v>65.0633533000946</v>
      </c>
      <c r="J847" s="19" t="n">
        <v>170.5531135559082</v>
      </c>
      <c r="K847" s="19" t="n">
        <v>65.0633533000946</v>
      </c>
      <c r="L847" s="19" t="n">
        <v>130.9944534599781</v>
      </c>
      <c r="M847" s="19" t="n">
        <v>170.5531135559082</v>
      </c>
      <c r="N847" s="17" t="inlineStr">
        <is>
          <t>B</t>
        </is>
      </c>
      <c r="O847" s="19" t="n">
        <v>78.94377081990243</v>
      </c>
      <c r="P847" s="18" t="inlineStr">
        <is>
          <t>KHÔNG ĐỀ XUẤT TĂNG</t>
        </is>
      </c>
      <c r="Q847" s="17" t="inlineStr">
        <is>
          <t>Có</t>
        </is>
      </c>
      <c r="R847" s="20" t="n"/>
      <c r="S847" s="20" t="n"/>
      <c r="T847" s="21" t="n"/>
      <c r="U847" s="21" t="n"/>
      <c r="V847" s="22">
        <f>IF(U847="A",K847,IF(U847="B",L847,IF(U847="C",M847,IF(N847="A",K847,IF(N847="B",L847,M847)))))</f>
        <v/>
      </c>
      <c r="W847" s="22">
        <f>IF(R847="",O847,MAX(V847-R847-N(S847),0))</f>
        <v/>
      </c>
      <c r="X847" s="20" t="n"/>
      <c r="Y847" s="23">
        <f>IF(OR(X847="",W847=0),"",X847/W847-1)</f>
        <v/>
      </c>
      <c r="Z847" s="24" t="n"/>
      <c r="AA847" s="21" t="n"/>
      <c r="AB847" s="25" t="n"/>
      <c r="AC847" s="26">
        <f>IF(T847="","Chưa quyết định",IF(OR(Z847="",AA847=""),"⚠ Thiếu lý do/người duyệt",IF(AND(X847&lt;&gt;"",N(X847)+N(R847)+N(S847)&gt;M847*1.001,R847&lt;&gt;""),"⚠ Vượt mục tiêu P90",IF(AND(Y847&lt;&gt;"",ABS(N(Y847))&gt;0.3),"⚠ Lệch &gt; 30% so với nhu cầu",IF(Q847="Có","ℹ Kiểm tra ngoại suy KM","✓ Hợp lệ")))))</f>
        <v/>
      </c>
    </row>
    <row r="848">
      <c r="A848" s="16" t="n">
        <v>844</v>
      </c>
      <c r="B848" s="17" t="inlineStr">
        <is>
          <t>DEC-S51-LADIESWEAR</t>
        </is>
      </c>
      <c r="C848" s="16" t="n">
        <v>51</v>
      </c>
      <c r="D848" s="17" t="inlineStr">
        <is>
          <t>LADIESWEAR</t>
        </is>
      </c>
      <c r="E848" s="17" t="inlineStr">
        <is>
          <t>HIGH</t>
        </is>
      </c>
      <c r="F848" s="17" t="inlineStr">
        <is>
          <t>TRUNG BÌNH</t>
        </is>
      </c>
      <c r="G848" s="18" t="inlineStr">
        <is>
          <t>RISK_HIGH · PROMO_EXTRAPOLATION</t>
        </is>
      </c>
      <c r="H848" s="19" t="n">
        <v>10.39209721088409</v>
      </c>
      <c r="I848" s="19" t="n">
        <v>64.98417240381241</v>
      </c>
      <c r="J848" s="19" t="n">
        <v>170.473932659626</v>
      </c>
      <c r="K848" s="19" t="n">
        <v>64.98417240381241</v>
      </c>
      <c r="L848" s="19" t="n">
        <v>130.9152725636959</v>
      </c>
      <c r="M848" s="19" t="n">
        <v>170.473932659626</v>
      </c>
      <c r="N848" s="17" t="inlineStr">
        <is>
          <t>B</t>
        </is>
      </c>
      <c r="O848" s="19" t="n">
        <v>78.92793464064599</v>
      </c>
      <c r="P848" s="18" t="inlineStr">
        <is>
          <t>KHÔNG ĐỀ XUẤT TĂNG</t>
        </is>
      </c>
      <c r="Q848" s="17" t="inlineStr">
        <is>
          <t>Có</t>
        </is>
      </c>
      <c r="R848" s="20" t="n"/>
      <c r="S848" s="20" t="n"/>
      <c r="T848" s="21" t="n"/>
      <c r="U848" s="21" t="n"/>
      <c r="V848" s="22">
        <f>IF(U848="A",K848,IF(U848="B",L848,IF(U848="C",M848,IF(N848="A",K848,IF(N848="B",L848,M848)))))</f>
        <v/>
      </c>
      <c r="W848" s="22">
        <f>IF(R848="",O848,MAX(V848-R848-N(S848),0))</f>
        <v/>
      </c>
      <c r="X848" s="20" t="n"/>
      <c r="Y848" s="23">
        <f>IF(OR(X848="",W848=0),"",X848/W848-1)</f>
        <v/>
      </c>
      <c r="Z848" s="24" t="n"/>
      <c r="AA848" s="21" t="n"/>
      <c r="AB848" s="25" t="n"/>
      <c r="AC848" s="26">
        <f>IF(T848="","Chưa quyết định",IF(OR(Z848="",AA848=""),"⚠ Thiếu lý do/người duyệt",IF(AND(X848&lt;&gt;"",N(X848)+N(R848)+N(S848)&gt;M848*1.001,R848&lt;&gt;""),"⚠ Vượt mục tiêu P90",IF(AND(Y848&lt;&gt;"",ABS(N(Y848))&gt;0.3),"⚠ Lệch &gt; 30% so với nhu cầu",IF(Q848="Có","ℹ Kiểm tra ngoại suy KM","✓ Hợp lệ")))))</f>
        <v/>
      </c>
    </row>
    <row r="849">
      <c r="A849" s="16" t="n">
        <v>845</v>
      </c>
      <c r="B849" s="17" t="inlineStr">
        <is>
          <t>DEC-S33-BEAUTY</t>
        </is>
      </c>
      <c r="C849" s="16" t="n">
        <v>33</v>
      </c>
      <c r="D849" s="17" t="inlineStr">
        <is>
          <t>BEAUTY</t>
        </is>
      </c>
      <c r="E849" s="17" t="inlineStr">
        <is>
          <t>HIGH</t>
        </is>
      </c>
      <c r="F849" s="17" t="inlineStr">
        <is>
          <t>TRUNG BÌNH</t>
        </is>
      </c>
      <c r="G849" s="18" t="inlineStr">
        <is>
          <t>RISK_HIGH · PROMO_EXTRAPOLATION</t>
        </is>
      </c>
      <c r="H849" s="19" t="n">
        <v>19.98722808361053</v>
      </c>
      <c r="I849" s="19" t="n">
        <v>64.52094305306673</v>
      </c>
      <c r="J849" s="19" t="n">
        <v>163.6234462574124</v>
      </c>
      <c r="K849" s="19" t="n">
        <v>64.52094305306673</v>
      </c>
      <c r="L849" s="19" t="n">
        <v>126.4600075557828</v>
      </c>
      <c r="M849" s="19" t="n">
        <v>163.6234462574124</v>
      </c>
      <c r="N849" s="17" t="inlineStr">
        <is>
          <t>B</t>
        </is>
      </c>
      <c r="O849" s="19" t="n">
        <v>74.84325311332941</v>
      </c>
      <c r="P849" s="18" t="inlineStr">
        <is>
          <t>KHÔNG ĐỀ XUẤT TĂNG</t>
        </is>
      </c>
      <c r="Q849" s="17" t="inlineStr">
        <is>
          <t>Có</t>
        </is>
      </c>
      <c r="R849" s="20" t="n"/>
      <c r="S849" s="20" t="n"/>
      <c r="T849" s="21" t="n"/>
      <c r="U849" s="21" t="n"/>
      <c r="V849" s="22">
        <f>IF(U849="A",K849,IF(U849="B",L849,IF(U849="C",M849,IF(N849="A",K849,IF(N849="B",L849,M849)))))</f>
        <v/>
      </c>
      <c r="W849" s="22">
        <f>IF(R849="",O849,MAX(V849-R849-N(S849),0))</f>
        <v/>
      </c>
      <c r="X849" s="20" t="n"/>
      <c r="Y849" s="23">
        <f>IF(OR(X849="",W849=0),"",X849/W849-1)</f>
        <v/>
      </c>
      <c r="Z849" s="24" t="n"/>
      <c r="AA849" s="21" t="n"/>
      <c r="AB849" s="25" t="n"/>
      <c r="AC849" s="26">
        <f>IF(T849="","Chưa quyết định",IF(OR(Z849="",AA849=""),"⚠ Thiếu lý do/người duyệt",IF(AND(X849&lt;&gt;"",N(X849)+N(R849)+N(S849)&gt;M849*1.001,R849&lt;&gt;""),"⚠ Vượt mục tiêu P90",IF(AND(Y849&lt;&gt;"",ABS(N(Y849))&gt;0.3),"⚠ Lệch &gt; 30% so với nhu cầu",IF(Q849="Có","ℹ Kiểm tra ngoại suy KM","✓ Hợp lệ")))))</f>
        <v/>
      </c>
    </row>
    <row r="850">
      <c r="A850" s="16" t="n">
        <v>846</v>
      </c>
      <c r="B850" s="17" t="inlineStr">
        <is>
          <t>DEC-S23-LINGERIE</t>
        </is>
      </c>
      <c r="C850" s="16" t="n">
        <v>23</v>
      </c>
      <c r="D850" s="17" t="inlineStr">
        <is>
          <t>LINGERIE</t>
        </is>
      </c>
      <c r="E850" s="17" t="inlineStr">
        <is>
          <t>HIGH</t>
        </is>
      </c>
      <c r="F850" s="17" t="inlineStr">
        <is>
          <t>TRUNG BÌNH</t>
        </is>
      </c>
      <c r="G850" s="18" t="inlineStr">
        <is>
          <t>RISK_HIGH · PROMO_EXTRAPOLATION</t>
        </is>
      </c>
      <c r="H850" s="19" t="n">
        <v>13.49389052391052</v>
      </c>
      <c r="I850" s="19" t="n">
        <v>64.32227449864149</v>
      </c>
      <c r="J850" s="19" t="n">
        <v>173.4678328081965</v>
      </c>
      <c r="K850" s="19" t="n">
        <v>64.32227449864149</v>
      </c>
      <c r="L850" s="19" t="n">
        <v>132.5382484421134</v>
      </c>
      <c r="M850" s="19" t="n">
        <v>173.4678328081965</v>
      </c>
      <c r="N850" s="17" t="inlineStr">
        <is>
          <t>B</t>
        </is>
      </c>
      <c r="O850" s="19" t="n">
        <v>81.0804288432002</v>
      </c>
      <c r="P850" s="18" t="inlineStr">
        <is>
          <t>KHÔNG ĐỀ XUẤT TĂNG</t>
        </is>
      </c>
      <c r="Q850" s="17" t="inlineStr">
        <is>
          <t>Có</t>
        </is>
      </c>
      <c r="R850" s="20" t="n"/>
      <c r="S850" s="20" t="n"/>
      <c r="T850" s="21" t="n"/>
      <c r="U850" s="21" t="n"/>
      <c r="V850" s="22">
        <f>IF(U850="A",K850,IF(U850="B",L850,IF(U850="C",M850,IF(N850="A",K850,IF(N850="B",L850,M850)))))</f>
        <v/>
      </c>
      <c r="W850" s="22">
        <f>IF(R850="",O850,MAX(V850-R850-N(S850),0))</f>
        <v/>
      </c>
      <c r="X850" s="20" t="n"/>
      <c r="Y850" s="23">
        <f>IF(OR(X850="",W850=0),"",X850/W850-1)</f>
        <v/>
      </c>
      <c r="Z850" s="24" t="n"/>
      <c r="AA850" s="21" t="n"/>
      <c r="AB850" s="25" t="n"/>
      <c r="AC850" s="26">
        <f>IF(T850="","Chưa quyết định",IF(OR(Z850="",AA850=""),"⚠ Thiếu lý do/người duyệt",IF(AND(X850&lt;&gt;"",N(X850)+N(R850)+N(S850)&gt;M850*1.001,R850&lt;&gt;""),"⚠ Vượt mục tiêu P90",IF(AND(Y850&lt;&gt;"",ABS(N(Y850))&gt;0.3),"⚠ Lệch &gt; 30% so với nhu cầu",IF(Q850="Có","ℹ Kiểm tra ngoại suy KM","✓ Hợp lệ")))))</f>
        <v/>
      </c>
    </row>
    <row r="851">
      <c r="A851" s="16" t="n">
        <v>847</v>
      </c>
      <c r="B851" s="17" t="inlineStr">
        <is>
          <t>DEC-S14-AUTOMOTIVE</t>
        </is>
      </c>
      <c r="C851" s="16" t="n">
        <v>14</v>
      </c>
      <c r="D851" s="17" t="inlineStr">
        <is>
          <t>AUTOMOTIVE</t>
        </is>
      </c>
      <c r="E851" s="17" t="inlineStr">
        <is>
          <t>HIGH</t>
        </is>
      </c>
      <c r="F851" s="17" t="inlineStr">
        <is>
          <t>TRUNG BÌNH</t>
        </is>
      </c>
      <c r="G851" s="18" t="inlineStr">
        <is>
          <t>RISK_HIGH · PROMO_EXTRAPOLATION</t>
        </is>
      </c>
      <c r="H851" s="19" t="n">
        <v>15.01525465250015</v>
      </c>
      <c r="I851" s="19" t="n">
        <v>64.28481365740299</v>
      </c>
      <c r="J851" s="19" t="n">
        <v>165.5164025455713</v>
      </c>
      <c r="K851" s="19" t="n">
        <v>64.28481365740299</v>
      </c>
      <c r="L851" s="19" t="n">
        <v>127.5545567125082</v>
      </c>
      <c r="M851" s="19" t="n">
        <v>165.5164025455713</v>
      </c>
      <c r="N851" s="17" t="inlineStr">
        <is>
          <t>B</t>
        </is>
      </c>
      <c r="O851" s="19" t="n">
        <v>76.1267057865858</v>
      </c>
      <c r="P851" s="18" t="inlineStr">
        <is>
          <t>KHÔNG ĐỀ XUẤT TĂNG</t>
        </is>
      </c>
      <c r="Q851" s="17" t="inlineStr">
        <is>
          <t>Có</t>
        </is>
      </c>
      <c r="R851" s="20" t="n"/>
      <c r="S851" s="20" t="n"/>
      <c r="T851" s="21" t="n"/>
      <c r="U851" s="21" t="n"/>
      <c r="V851" s="22">
        <f>IF(U851="A",K851,IF(U851="B",L851,IF(U851="C",M851,IF(N851="A",K851,IF(N851="B",L851,M851)))))</f>
        <v/>
      </c>
      <c r="W851" s="22">
        <f>IF(R851="",O851,MAX(V851-R851-N(S851),0))</f>
        <v/>
      </c>
      <c r="X851" s="20" t="n"/>
      <c r="Y851" s="23">
        <f>IF(OR(X851="",W851=0),"",X851/W851-1)</f>
        <v/>
      </c>
      <c r="Z851" s="24" t="n"/>
      <c r="AA851" s="21" t="n"/>
      <c r="AB851" s="25" t="n"/>
      <c r="AC851" s="26">
        <f>IF(T851="","Chưa quyết định",IF(OR(Z851="",AA851=""),"⚠ Thiếu lý do/người duyệt",IF(AND(X851&lt;&gt;"",N(X851)+N(R851)+N(S851)&gt;M851*1.001,R851&lt;&gt;""),"⚠ Vượt mục tiêu P90",IF(AND(Y851&lt;&gt;"",ABS(N(Y851))&gt;0.3),"⚠ Lệch &gt; 30% so với nhu cầu",IF(Q851="Có","ℹ Kiểm tra ngoại suy KM","✓ Hợp lệ")))))</f>
        <v/>
      </c>
    </row>
    <row r="852">
      <c r="A852" s="16" t="n">
        <v>848</v>
      </c>
      <c r="B852" s="17" t="inlineStr">
        <is>
          <t>DEC-S24-AUTOMOTIVE</t>
        </is>
      </c>
      <c r="C852" s="16" t="n">
        <v>24</v>
      </c>
      <c r="D852" s="17" t="inlineStr">
        <is>
          <t>AUTOMOTIVE</t>
        </is>
      </c>
      <c r="E852" s="17" t="inlineStr">
        <is>
          <t>HIGH</t>
        </is>
      </c>
      <c r="F852" s="17" t="inlineStr">
        <is>
          <t>TRUNG BÌNH</t>
        </is>
      </c>
      <c r="G852" s="18" t="inlineStr">
        <is>
          <t>RISK_HIGH · PROMO_EXTRAPOLATION</t>
        </is>
      </c>
      <c r="H852" s="19" t="n">
        <v>10.91583776473999</v>
      </c>
      <c r="I852" s="19" t="n">
        <v>64.28048801422119</v>
      </c>
      <c r="J852" s="19" t="n">
        <v>169.510381937027</v>
      </c>
      <c r="K852" s="19" t="n">
        <v>64.28048801422119</v>
      </c>
      <c r="L852" s="19" t="n">
        <v>130.0491717159748</v>
      </c>
      <c r="M852" s="19" t="n">
        <v>169.510381937027</v>
      </c>
      <c r="N852" s="17" t="inlineStr">
        <is>
          <t>B</t>
        </is>
      </c>
      <c r="O852" s="19" t="n">
        <v>78.62478130459785</v>
      </c>
      <c r="P852" s="18" t="inlineStr">
        <is>
          <t>KHÔNG ĐỀ XUẤT TĂNG</t>
        </is>
      </c>
      <c r="Q852" s="17" t="inlineStr">
        <is>
          <t>Có</t>
        </is>
      </c>
      <c r="R852" s="20" t="n"/>
      <c r="S852" s="20" t="n"/>
      <c r="T852" s="21" t="n"/>
      <c r="U852" s="21" t="n"/>
      <c r="V852" s="22">
        <f>IF(U852="A",K852,IF(U852="B",L852,IF(U852="C",M852,IF(N852="A",K852,IF(N852="B",L852,M852)))))</f>
        <v/>
      </c>
      <c r="W852" s="22">
        <f>IF(R852="",O852,MAX(V852-R852-N(S852),0))</f>
        <v/>
      </c>
      <c r="X852" s="20" t="n"/>
      <c r="Y852" s="23">
        <f>IF(OR(X852="",W852=0),"",X852/W852-1)</f>
        <v/>
      </c>
      <c r="Z852" s="24" t="n"/>
      <c r="AA852" s="21" t="n"/>
      <c r="AB852" s="25" t="n"/>
      <c r="AC852" s="26">
        <f>IF(T852="","Chưa quyết định",IF(OR(Z852="",AA852=""),"⚠ Thiếu lý do/người duyệt",IF(AND(X852&lt;&gt;"",N(X852)+N(R852)+N(S852)&gt;M852*1.001,R852&lt;&gt;""),"⚠ Vượt mục tiêu P90",IF(AND(Y852&lt;&gt;"",ABS(N(Y852))&gt;0.3),"⚠ Lệch &gt; 30% so với nhu cầu",IF(Q852="Có","ℹ Kiểm tra ngoại suy KM","✓ Hợp lệ")))))</f>
        <v/>
      </c>
    </row>
    <row r="853">
      <c r="A853" s="16" t="n">
        <v>849</v>
      </c>
      <c r="B853" s="17" t="inlineStr">
        <is>
          <t>DEC-S12-PLAYERS_AND_ELECTRONICS</t>
        </is>
      </c>
      <c r="C853" s="16" t="n">
        <v>12</v>
      </c>
      <c r="D853" s="17" t="inlineStr">
        <is>
          <t>PLAYERS AND ELECTRONICS</t>
        </is>
      </c>
      <c r="E853" s="17" t="inlineStr">
        <is>
          <t>HIGH</t>
        </is>
      </c>
      <c r="F853" s="17" t="inlineStr">
        <is>
          <t>TRUNG BÌNH</t>
        </is>
      </c>
      <c r="G853" s="18" t="inlineStr">
        <is>
          <t>RISK_HIGH · PROMO_EXTRAPOLATION</t>
        </is>
      </c>
      <c r="H853" s="19" t="n">
        <v>13.13407555818558</v>
      </c>
      <c r="I853" s="19" t="n">
        <v>63.84099543094635</v>
      </c>
      <c r="J853" s="19" t="n">
        <v>166.9418036699295</v>
      </c>
      <c r="K853" s="19" t="n">
        <v>63.84099543094635</v>
      </c>
      <c r="L853" s="19" t="n">
        <v>128.2790005803108</v>
      </c>
      <c r="M853" s="19" t="n">
        <v>166.9418036699295</v>
      </c>
      <c r="N853" s="17" t="inlineStr">
        <is>
          <t>B</t>
        </is>
      </c>
      <c r="O853" s="19" t="n">
        <v>77.20620423555374</v>
      </c>
      <c r="P853" s="18" t="inlineStr">
        <is>
          <t>KHÔNG ĐỀ XUẤT TĂNG</t>
        </is>
      </c>
      <c r="Q853" s="17" t="inlineStr">
        <is>
          <t>Có</t>
        </is>
      </c>
      <c r="R853" s="20" t="n"/>
      <c r="S853" s="20" t="n"/>
      <c r="T853" s="21" t="n"/>
      <c r="U853" s="21" t="n"/>
      <c r="V853" s="22">
        <f>IF(U853="A",K853,IF(U853="B",L853,IF(U853="C",M853,IF(N853="A",K853,IF(N853="B",L853,M853)))))</f>
        <v/>
      </c>
      <c r="W853" s="22">
        <f>IF(R853="",O853,MAX(V853-R853-N(S853),0))</f>
        <v/>
      </c>
      <c r="X853" s="20" t="n"/>
      <c r="Y853" s="23">
        <f>IF(OR(X853="",W853=0),"",X853/W853-1)</f>
        <v/>
      </c>
      <c r="Z853" s="24" t="n"/>
      <c r="AA853" s="21" t="n"/>
      <c r="AB853" s="25" t="n"/>
      <c r="AC853" s="26">
        <f>IF(T853="","Chưa quyết định",IF(OR(Z853="",AA853=""),"⚠ Thiếu lý do/người duyệt",IF(AND(X853&lt;&gt;"",N(X853)+N(R853)+N(S853)&gt;M853*1.001,R853&lt;&gt;""),"⚠ Vượt mục tiêu P90",IF(AND(Y853&lt;&gt;"",ABS(N(Y853))&gt;0.3),"⚠ Lệch &gt; 30% so với nhu cầu",IF(Q853="Có","ℹ Kiểm tra ngoại suy KM","✓ Hợp lệ")))))</f>
        <v/>
      </c>
    </row>
    <row r="854">
      <c r="A854" s="16" t="n">
        <v>850</v>
      </c>
      <c r="B854" s="17" t="inlineStr">
        <is>
          <t>DEC-S17-MAGAZINES</t>
        </is>
      </c>
      <c r="C854" s="16" t="n">
        <v>17</v>
      </c>
      <c r="D854" s="17" t="inlineStr">
        <is>
          <t>MAGAZINES</t>
        </is>
      </c>
      <c r="E854" s="17" t="inlineStr">
        <is>
          <t>HIGH</t>
        </is>
      </c>
      <c r="F854" s="17" t="inlineStr">
        <is>
          <t>TRUNG BÌNH</t>
        </is>
      </c>
      <c r="G854" s="18" t="inlineStr">
        <is>
          <t>RISK_HIGH · PROMO_EXTRAPOLATION</t>
        </is>
      </c>
      <c r="H854" s="19" t="n">
        <v>6.186843156814575</v>
      </c>
      <c r="I854" s="19" t="n">
        <v>63.80538487434387</v>
      </c>
      <c r="J854" s="19" t="n">
        <v>173.8131828308105</v>
      </c>
      <c r="K854" s="19" t="n">
        <v>63.80538487434387</v>
      </c>
      <c r="L854" s="19" t="n">
        <v>132.5602585971355</v>
      </c>
      <c r="M854" s="19" t="n">
        <v>173.8131828308105</v>
      </c>
      <c r="N854" s="17" t="inlineStr">
        <is>
          <t>B</t>
        </is>
      </c>
      <c r="O854" s="19" t="n">
        <v>81.51595069766044</v>
      </c>
      <c r="P854" s="18" t="inlineStr">
        <is>
          <t>KHÔNG ĐỀ XUẤT TĂNG</t>
        </is>
      </c>
      <c r="Q854" s="17" t="inlineStr">
        <is>
          <t>Có</t>
        </is>
      </c>
      <c r="R854" s="20" t="n"/>
      <c r="S854" s="20" t="n"/>
      <c r="T854" s="21" t="n"/>
      <c r="U854" s="21" t="n"/>
      <c r="V854" s="22">
        <f>IF(U854="A",K854,IF(U854="B",L854,IF(U854="C",M854,IF(N854="A",K854,IF(N854="B",L854,M854)))))</f>
        <v/>
      </c>
      <c r="W854" s="22">
        <f>IF(R854="",O854,MAX(V854-R854-N(S854),0))</f>
        <v/>
      </c>
      <c r="X854" s="20" t="n"/>
      <c r="Y854" s="23">
        <f>IF(OR(X854="",W854=0),"",X854/W854-1)</f>
        <v/>
      </c>
      <c r="Z854" s="24" t="n"/>
      <c r="AA854" s="21" t="n"/>
      <c r="AB854" s="25" t="n"/>
      <c r="AC854" s="26">
        <f>IF(T854="","Chưa quyết định",IF(OR(Z854="",AA854=""),"⚠ Thiếu lý do/người duyệt",IF(AND(X854&lt;&gt;"",N(X854)+N(R854)+N(S854)&gt;M854*1.001,R854&lt;&gt;""),"⚠ Vượt mục tiêu P90",IF(AND(Y854&lt;&gt;"",ABS(N(Y854))&gt;0.3),"⚠ Lệch &gt; 30% so với nhu cầu",IF(Q854="Có","ℹ Kiểm tra ngoại suy KM","✓ Hợp lệ")))))</f>
        <v/>
      </c>
    </row>
    <row r="855">
      <c r="A855" s="16" t="n">
        <v>851</v>
      </c>
      <c r="B855" s="17" t="inlineStr">
        <is>
          <t>DEC-S41-SEAFOOD</t>
        </is>
      </c>
      <c r="C855" s="16" t="n">
        <v>41</v>
      </c>
      <c r="D855" s="17" t="inlineStr">
        <is>
          <t>SEAFOOD</t>
        </is>
      </c>
      <c r="E855" s="17" t="inlineStr">
        <is>
          <t>HIGH</t>
        </is>
      </c>
      <c r="F855" s="17" t="inlineStr">
        <is>
          <t>TRUNG BÌNH</t>
        </is>
      </c>
      <c r="G855" s="18" t="inlineStr">
        <is>
          <t>RISK_HIGH · PROMO_EXTRAPOLATION</t>
        </is>
      </c>
      <c r="H855" s="19" t="n">
        <v>16.11689440011978</v>
      </c>
      <c r="I855" s="19" t="n">
        <v>63.72882564365864</v>
      </c>
      <c r="J855" s="19" t="n">
        <v>170.6626576215029</v>
      </c>
      <c r="K855" s="19" t="n">
        <v>63.72882564365864</v>
      </c>
      <c r="L855" s="19" t="n">
        <v>130.5624706298113</v>
      </c>
      <c r="M855" s="19" t="n">
        <v>170.6626576215029</v>
      </c>
      <c r="N855" s="17" t="inlineStr">
        <is>
          <t>B</t>
        </is>
      </c>
      <c r="O855" s="19" t="n">
        <v>79.57941011488438</v>
      </c>
      <c r="P855" s="18" t="inlineStr">
        <is>
          <t>CÂN NHẮC THỬ NGHIỆM</t>
        </is>
      </c>
      <c r="Q855" s="17" t="inlineStr">
        <is>
          <t>Có</t>
        </is>
      </c>
      <c r="R855" s="20" t="n"/>
      <c r="S855" s="20" t="n"/>
      <c r="T855" s="21" t="n"/>
      <c r="U855" s="21" t="n"/>
      <c r="V855" s="22">
        <f>IF(U855="A",K855,IF(U855="B",L855,IF(U855="C",M855,IF(N855="A",K855,IF(N855="B",L855,M855)))))</f>
        <v/>
      </c>
      <c r="W855" s="22">
        <f>IF(R855="",O855,MAX(V855-R855-N(S855),0))</f>
        <v/>
      </c>
      <c r="X855" s="20" t="n"/>
      <c r="Y855" s="23">
        <f>IF(OR(X855="",W855=0),"",X855/W855-1)</f>
        <v/>
      </c>
      <c r="Z855" s="24" t="n"/>
      <c r="AA855" s="21" t="n"/>
      <c r="AB855" s="25" t="n"/>
      <c r="AC855" s="26">
        <f>IF(T855="","Chưa quyết định",IF(OR(Z855="",AA855=""),"⚠ Thiếu lý do/người duyệt",IF(AND(X855&lt;&gt;"",N(X855)+N(R855)+N(S855)&gt;M855*1.001,R855&lt;&gt;""),"⚠ Vượt mục tiêu P90",IF(AND(Y855&lt;&gt;"",ABS(N(Y855))&gt;0.3),"⚠ Lệch &gt; 30% so với nhu cầu",IF(Q855="Có","ℹ Kiểm tra ngoại suy KM","✓ Hợp lệ")))))</f>
        <v/>
      </c>
    </row>
    <row r="856">
      <c r="A856" s="16" t="n">
        <v>852</v>
      </c>
      <c r="B856" s="17" t="inlineStr">
        <is>
          <t>DEC-S22-BEAUTY</t>
        </is>
      </c>
      <c r="C856" s="16" t="n">
        <v>22</v>
      </c>
      <c r="D856" s="17" t="inlineStr">
        <is>
          <t>BEAUTY</t>
        </is>
      </c>
      <c r="E856" s="17" t="inlineStr">
        <is>
          <t>HIGH</t>
        </is>
      </c>
      <c r="F856" s="17" t="inlineStr">
        <is>
          <t>TRUNG BÌNH</t>
        </is>
      </c>
      <c r="G856" s="18" t="inlineStr">
        <is>
          <t>RISK_HIGH · PROMO_EXTRAPOLATION</t>
        </is>
      </c>
      <c r="H856" s="19" t="n">
        <v>13.19980612099171</v>
      </c>
      <c r="I856" s="19" t="n">
        <v>63.25696250796318</v>
      </c>
      <c r="J856" s="19" t="n">
        <v>170.5333014667034</v>
      </c>
      <c r="K856" s="19" t="n">
        <v>63.25696250796318</v>
      </c>
      <c r="L856" s="19" t="n">
        <v>130.3046743571758</v>
      </c>
      <c r="M856" s="19" t="n">
        <v>170.5333014667034</v>
      </c>
      <c r="N856" s="17" t="inlineStr">
        <is>
          <t>B</t>
        </is>
      </c>
      <c r="O856" s="19" t="n">
        <v>79.69910435080527</v>
      </c>
      <c r="P856" s="18" t="inlineStr">
        <is>
          <t>KHÔNG ĐỀ XUẤT TĂNG</t>
        </is>
      </c>
      <c r="Q856" s="17" t="inlineStr">
        <is>
          <t>Có</t>
        </is>
      </c>
      <c r="R856" s="20" t="n"/>
      <c r="S856" s="20" t="n"/>
      <c r="T856" s="21" t="n"/>
      <c r="U856" s="21" t="n"/>
      <c r="V856" s="22">
        <f>IF(U856="A",K856,IF(U856="B",L856,IF(U856="C",M856,IF(N856="A",K856,IF(N856="B",L856,M856)))))</f>
        <v/>
      </c>
      <c r="W856" s="22">
        <f>IF(R856="",O856,MAX(V856-R856-N(S856),0))</f>
        <v/>
      </c>
      <c r="X856" s="20" t="n"/>
      <c r="Y856" s="23">
        <f>IF(OR(X856="",W856=0),"",X856/W856-1)</f>
        <v/>
      </c>
      <c r="Z856" s="24" t="n"/>
      <c r="AA856" s="21" t="n"/>
      <c r="AB856" s="25" t="n"/>
      <c r="AC856" s="26">
        <f>IF(T856="","Chưa quyết định",IF(OR(Z856="",AA856=""),"⚠ Thiếu lý do/người duyệt",IF(AND(X856&lt;&gt;"",N(X856)+N(R856)+N(S856)&gt;M856*1.001,R856&lt;&gt;""),"⚠ Vượt mục tiêu P90",IF(AND(Y856&lt;&gt;"",ABS(N(Y856))&gt;0.3),"⚠ Lệch &gt; 30% so với nhu cầu",IF(Q856="Có","ℹ Kiểm tra ngoại suy KM","✓ Hợp lệ")))))</f>
        <v/>
      </c>
    </row>
    <row r="857">
      <c r="A857" s="16" t="n">
        <v>853</v>
      </c>
      <c r="B857" s="17" t="inlineStr">
        <is>
          <t>DEC-S40-PET_SUPPLIES</t>
        </is>
      </c>
      <c r="C857" s="16" t="n">
        <v>40</v>
      </c>
      <c r="D857" s="17" t="inlineStr">
        <is>
          <t>PET SUPPLIES</t>
        </is>
      </c>
      <c r="E857" s="17" t="inlineStr">
        <is>
          <t>HIGH</t>
        </is>
      </c>
      <c r="F857" s="17" t="inlineStr">
        <is>
          <t>TRUNG BÌNH</t>
        </is>
      </c>
      <c r="G857" s="18" t="inlineStr">
        <is>
          <t>RISK_HIGH · PROMO_EXTRAPOLATION</t>
        </is>
      </c>
      <c r="H857" s="19" t="n">
        <v>10.38967243432999</v>
      </c>
      <c r="I857" s="19" t="n">
        <v>63.12600314617157</v>
      </c>
      <c r="J857" s="19" t="n">
        <v>168.6157634019852</v>
      </c>
      <c r="K857" s="19" t="n">
        <v>63.12600314617157</v>
      </c>
      <c r="L857" s="19" t="n">
        <v>129.0571033060551</v>
      </c>
      <c r="M857" s="19" t="n">
        <v>168.6157634019852</v>
      </c>
      <c r="N857" s="17" t="inlineStr">
        <is>
          <t>B</t>
        </is>
      </c>
      <c r="O857" s="19" t="n">
        <v>78.55630078911781</v>
      </c>
      <c r="P857" s="18" t="inlineStr">
        <is>
          <t>KHÔNG ĐỀ XUẤT TĂNG</t>
        </is>
      </c>
      <c r="Q857" s="17" t="inlineStr">
        <is>
          <t>Có</t>
        </is>
      </c>
      <c r="R857" s="20" t="n"/>
      <c r="S857" s="20" t="n"/>
      <c r="T857" s="21" t="n"/>
      <c r="U857" s="21" t="n"/>
      <c r="V857" s="22">
        <f>IF(U857="A",K857,IF(U857="B",L857,IF(U857="C",M857,IF(N857="A",K857,IF(N857="B",L857,M857)))))</f>
        <v/>
      </c>
      <c r="W857" s="22">
        <f>IF(R857="",O857,MAX(V857-R857-N(S857),0))</f>
        <v/>
      </c>
      <c r="X857" s="20" t="n"/>
      <c r="Y857" s="23">
        <f>IF(OR(X857="",W857=0),"",X857/W857-1)</f>
        <v/>
      </c>
      <c r="Z857" s="24" t="n"/>
      <c r="AA857" s="21" t="n"/>
      <c r="AB857" s="25" t="n"/>
      <c r="AC857" s="26">
        <f>IF(T857="","Chưa quyết định",IF(OR(Z857="",AA857=""),"⚠ Thiếu lý do/người duyệt",IF(AND(X857&lt;&gt;"",N(X857)+N(R857)+N(S857)&gt;M857*1.001,R857&lt;&gt;""),"⚠ Vượt mục tiêu P90",IF(AND(Y857&lt;&gt;"",ABS(N(Y857))&gt;0.3),"⚠ Lệch &gt; 30% so với nhu cầu",IF(Q857="Có","ℹ Kiểm tra ngoại suy KM","✓ Hợp lệ")))))</f>
        <v/>
      </c>
    </row>
    <row r="858">
      <c r="A858" s="16" t="n">
        <v>854</v>
      </c>
      <c r="B858" s="17" t="inlineStr">
        <is>
          <t>DEC-S49-HARDWARE</t>
        </is>
      </c>
      <c r="C858" s="16" t="n">
        <v>49</v>
      </c>
      <c r="D858" s="17" t="inlineStr">
        <is>
          <t>HARDWARE</t>
        </is>
      </c>
      <c r="E858" s="17" t="inlineStr">
        <is>
          <t>HIGH</t>
        </is>
      </c>
      <c r="F858" s="17" t="inlineStr">
        <is>
          <t>TRUNG BÌNH</t>
        </is>
      </c>
      <c r="G858" s="18" t="inlineStr">
        <is>
          <t>RISK_HIGH · PROMO_EXTRAPOLATION</t>
        </is>
      </c>
      <c r="H858" s="19" t="n">
        <v>8.421872615814209</v>
      </c>
      <c r="I858" s="19" t="n">
        <v>62.7988669872284</v>
      </c>
      <c r="J858" s="19" t="n">
        <v>170.4177129268646</v>
      </c>
      <c r="K858" s="19" t="n">
        <v>62.7988669872284</v>
      </c>
      <c r="L858" s="19" t="n">
        <v>130.060645699501</v>
      </c>
      <c r="M858" s="19" t="n">
        <v>170.4177129268646</v>
      </c>
      <c r="N858" s="17" t="inlineStr">
        <is>
          <t>B</t>
        </is>
      </c>
      <c r="O858" s="19" t="n">
        <v>79.82155210971831</v>
      </c>
      <c r="P858" s="18" t="inlineStr">
        <is>
          <t>KHÔNG ĐỀ XUẤT TĂNG</t>
        </is>
      </c>
      <c r="Q858" s="17" t="inlineStr">
        <is>
          <t>Có</t>
        </is>
      </c>
      <c r="R858" s="20" t="n"/>
      <c r="S858" s="20" t="n"/>
      <c r="T858" s="21" t="n"/>
      <c r="U858" s="21" t="n"/>
      <c r="V858" s="22">
        <f>IF(U858="A",K858,IF(U858="B",L858,IF(U858="C",M858,IF(N858="A",K858,IF(N858="B",L858,M858)))))</f>
        <v/>
      </c>
      <c r="W858" s="22">
        <f>IF(R858="",O858,MAX(V858-R858-N(S858),0))</f>
        <v/>
      </c>
      <c r="X858" s="20" t="n"/>
      <c r="Y858" s="23">
        <f>IF(OR(X858="",W858=0),"",X858/W858-1)</f>
        <v/>
      </c>
      <c r="Z858" s="24" t="n"/>
      <c r="AA858" s="21" t="n"/>
      <c r="AB858" s="25" t="n"/>
      <c r="AC858" s="26">
        <f>IF(T858="","Chưa quyết định",IF(OR(Z858="",AA858=""),"⚠ Thiếu lý do/người duyệt",IF(AND(X858&lt;&gt;"",N(X858)+N(R858)+N(S858)&gt;M858*1.001,R858&lt;&gt;""),"⚠ Vượt mục tiêu P90",IF(AND(Y858&lt;&gt;"",ABS(N(Y858))&gt;0.3),"⚠ Lệch &gt; 30% so với nhu cầu",IF(Q858="Có","ℹ Kiểm tra ngoại suy KM","✓ Hợp lệ")))))</f>
        <v/>
      </c>
    </row>
    <row r="859">
      <c r="A859" s="16" t="n">
        <v>855</v>
      </c>
      <c r="B859" s="17" t="inlineStr">
        <is>
          <t>DEC-S43-PLAYERS_AND_ELECTRONICS</t>
        </is>
      </c>
      <c r="C859" s="16" t="n">
        <v>43</v>
      </c>
      <c r="D859" s="17" t="inlineStr">
        <is>
          <t>PLAYERS AND ELECTRONICS</t>
        </is>
      </c>
      <c r="E859" s="17" t="inlineStr">
        <is>
          <t>HIGH</t>
        </is>
      </c>
      <c r="F859" s="17" t="inlineStr">
        <is>
          <t>TRUNG BÌNH</t>
        </is>
      </c>
      <c r="G859" s="18" t="inlineStr">
        <is>
          <t>RISK_HIGH · PROMO_EXTRAPOLATION</t>
        </is>
      </c>
      <c r="H859" s="19" t="n">
        <v>11.08353741168976</v>
      </c>
      <c r="I859" s="19" t="n">
        <v>62.20987808704376</v>
      </c>
      <c r="J859" s="19" t="n">
        <v>165.5705526590347</v>
      </c>
      <c r="K859" s="19" t="n">
        <v>62.20987808704376</v>
      </c>
      <c r="L859" s="19" t="n">
        <v>126.8102996945381</v>
      </c>
      <c r="M859" s="19" t="n">
        <v>165.5705526590347</v>
      </c>
      <c r="N859" s="17" t="inlineStr">
        <is>
          <t>B</t>
        </is>
      </c>
      <c r="O859" s="19" t="n">
        <v>77.04239722490308</v>
      </c>
      <c r="P859" s="18" t="inlineStr">
        <is>
          <t>KHÔNG ĐỀ XUẤT TĂNG</t>
        </is>
      </c>
      <c r="Q859" s="17" t="inlineStr">
        <is>
          <t>Có</t>
        </is>
      </c>
      <c r="R859" s="20" t="n"/>
      <c r="S859" s="20" t="n"/>
      <c r="T859" s="21" t="n"/>
      <c r="U859" s="21" t="n"/>
      <c r="V859" s="22">
        <f>IF(U859="A",K859,IF(U859="B",L859,IF(U859="C",M859,IF(N859="A",K859,IF(N859="B",L859,M859)))))</f>
        <v/>
      </c>
      <c r="W859" s="22">
        <f>IF(R859="",O859,MAX(V859-R859-N(S859),0))</f>
        <v/>
      </c>
      <c r="X859" s="20" t="n"/>
      <c r="Y859" s="23">
        <f>IF(OR(X859="",W859=0),"",X859/W859-1)</f>
        <v/>
      </c>
      <c r="Z859" s="24" t="n"/>
      <c r="AA859" s="21" t="n"/>
      <c r="AB859" s="25" t="n"/>
      <c r="AC859" s="26">
        <f>IF(T859="","Chưa quyết định",IF(OR(Z859="",AA859=""),"⚠ Thiếu lý do/người duyệt",IF(AND(X859&lt;&gt;"",N(X859)+N(R859)+N(S859)&gt;M859*1.001,R859&lt;&gt;""),"⚠ Vượt mục tiêu P90",IF(AND(Y859&lt;&gt;"",ABS(N(Y859))&gt;0.3),"⚠ Lệch &gt; 30% so với nhu cầu",IF(Q859="Có","ℹ Kiểm tra ngoại suy KM","✓ Hợp lệ")))))</f>
        <v/>
      </c>
    </row>
    <row r="860">
      <c r="A860" s="16" t="n">
        <v>856</v>
      </c>
      <c r="B860" s="17" t="inlineStr">
        <is>
          <t>DEC-S11-LAWN_AND_GARDEN</t>
        </is>
      </c>
      <c r="C860" s="16" t="n">
        <v>11</v>
      </c>
      <c r="D860" s="17" t="inlineStr">
        <is>
          <t>LAWN AND GARDEN</t>
        </is>
      </c>
      <c r="E860" s="17" t="inlineStr">
        <is>
          <t>HIGH</t>
        </is>
      </c>
      <c r="F860" s="17" t="inlineStr">
        <is>
          <t>TRUNG BÌNH</t>
        </is>
      </c>
      <c r="G860" s="18" t="inlineStr">
        <is>
          <t>RISK_HIGH · PROMO_EXTRAPOLATION</t>
        </is>
      </c>
      <c r="H860" s="19" t="n">
        <v>8.18110573887825</v>
      </c>
      <c r="I860" s="19" t="n">
        <v>62.033861130476</v>
      </c>
      <c r="J860" s="19" t="n">
        <v>167.5236213862896</v>
      </c>
      <c r="K860" s="19" t="n">
        <v>62.033861130476</v>
      </c>
      <c r="L860" s="19" t="n">
        <v>127.9649612903595</v>
      </c>
      <c r="M860" s="19" t="n">
        <v>167.5236213862896</v>
      </c>
      <c r="N860" s="17" t="inlineStr">
        <is>
          <t>B</t>
        </is>
      </c>
      <c r="O860" s="19" t="n">
        <v>78.33787238597868</v>
      </c>
      <c r="P860" s="18" t="inlineStr">
        <is>
          <t>KHÔNG ĐỀ XUẤT TĂNG</t>
        </is>
      </c>
      <c r="Q860" s="17" t="inlineStr">
        <is>
          <t>Có</t>
        </is>
      </c>
      <c r="R860" s="20" t="n"/>
      <c r="S860" s="20" t="n"/>
      <c r="T860" s="21" t="n"/>
      <c r="U860" s="21" t="n"/>
      <c r="V860" s="22">
        <f>IF(U860="A",K860,IF(U860="B",L860,IF(U860="C",M860,IF(N860="A",K860,IF(N860="B",L860,M860)))))</f>
        <v/>
      </c>
      <c r="W860" s="22">
        <f>IF(R860="",O860,MAX(V860-R860-N(S860),0))</f>
        <v/>
      </c>
      <c r="X860" s="20" t="n"/>
      <c r="Y860" s="23">
        <f>IF(OR(X860="",W860=0),"",X860/W860-1)</f>
        <v/>
      </c>
      <c r="Z860" s="24" t="n"/>
      <c r="AA860" s="21" t="n"/>
      <c r="AB860" s="25" t="n"/>
      <c r="AC860" s="26">
        <f>IF(T860="","Chưa quyết định",IF(OR(Z860="",AA860=""),"⚠ Thiếu lý do/người duyệt",IF(AND(X860&lt;&gt;"",N(X860)+N(R860)+N(S860)&gt;M860*1.001,R860&lt;&gt;""),"⚠ Vượt mục tiêu P90",IF(AND(Y860&lt;&gt;"",ABS(N(Y860))&gt;0.3),"⚠ Lệch &gt; 30% so với nhu cầu",IF(Q860="Có","ℹ Kiểm tra ngoại suy KM","✓ Hợp lệ")))))</f>
        <v/>
      </c>
    </row>
    <row r="861">
      <c r="A861" s="16" t="n">
        <v>857</v>
      </c>
      <c r="B861" s="17" t="inlineStr">
        <is>
          <t>DEC-S34-MAGAZINES</t>
        </is>
      </c>
      <c r="C861" s="16" t="n">
        <v>34</v>
      </c>
      <c r="D861" s="17" t="inlineStr">
        <is>
          <t>MAGAZINES</t>
        </is>
      </c>
      <c r="E861" s="17" t="inlineStr">
        <is>
          <t>HIGH</t>
        </is>
      </c>
      <c r="F861" s="17" t="inlineStr">
        <is>
          <t>TRUNG BÌNH</t>
        </is>
      </c>
      <c r="G861" s="18" t="inlineStr">
        <is>
          <t>RISK_HIGH · PROMO_EXTRAPOLATION</t>
        </is>
      </c>
      <c r="H861" s="19" t="n">
        <v>9.943194150924684</v>
      </c>
      <c r="I861" s="19" t="n">
        <v>61.5324592590332</v>
      </c>
      <c r="J861" s="19" t="n">
        <v>166.762353181839</v>
      </c>
      <c r="K861" s="19" t="n">
        <v>61.5324592590332</v>
      </c>
      <c r="L861" s="19" t="n">
        <v>127.3011429607868</v>
      </c>
      <c r="M861" s="19" t="n">
        <v>166.762353181839</v>
      </c>
      <c r="N861" s="17" t="inlineStr">
        <is>
          <t>B</t>
        </is>
      </c>
      <c r="O861" s="19" t="n">
        <v>78.07517555356026</v>
      </c>
      <c r="P861" s="18" t="inlineStr">
        <is>
          <t>KHÔNG ĐỀ XUẤT TĂNG</t>
        </is>
      </c>
      <c r="Q861" s="17" t="inlineStr">
        <is>
          <t>Có</t>
        </is>
      </c>
      <c r="R861" s="20" t="n"/>
      <c r="S861" s="20" t="n"/>
      <c r="T861" s="21" t="n"/>
      <c r="U861" s="21" t="n"/>
      <c r="V861" s="22">
        <f>IF(U861="A",K861,IF(U861="B",L861,IF(U861="C",M861,IF(N861="A",K861,IF(N861="B",L861,M861)))))</f>
        <v/>
      </c>
      <c r="W861" s="22">
        <f>IF(R861="",O861,MAX(V861-R861-N(S861),0))</f>
        <v/>
      </c>
      <c r="X861" s="20" t="n"/>
      <c r="Y861" s="23">
        <f>IF(OR(X861="",W861=0),"",X861/W861-1)</f>
        <v/>
      </c>
      <c r="Z861" s="24" t="n"/>
      <c r="AA861" s="21" t="n"/>
      <c r="AB861" s="25" t="n"/>
      <c r="AC861" s="26">
        <f>IF(T861="","Chưa quyết định",IF(OR(Z861="",AA861=""),"⚠ Thiếu lý do/người duyệt",IF(AND(X861&lt;&gt;"",N(X861)+N(R861)+N(S861)&gt;M861*1.001,R861&lt;&gt;""),"⚠ Vượt mục tiêu P90",IF(AND(Y861&lt;&gt;"",ABS(N(Y861))&gt;0.3),"⚠ Lệch &gt; 30% so với nhu cầu",IF(Q861="Có","ℹ Kiểm tra ngoại suy KM","✓ Hợp lệ")))))</f>
        <v/>
      </c>
    </row>
    <row r="862">
      <c r="A862" s="16" t="n">
        <v>858</v>
      </c>
      <c r="B862" s="17" t="inlineStr">
        <is>
          <t>DEC-S25-LINGERIE</t>
        </is>
      </c>
      <c r="C862" s="16" t="n">
        <v>25</v>
      </c>
      <c r="D862" s="17" t="inlineStr">
        <is>
          <t>LINGERIE</t>
        </is>
      </c>
      <c r="E862" s="17" t="inlineStr">
        <is>
          <t>HIGH</t>
        </is>
      </c>
      <c r="F862" s="17" t="inlineStr">
        <is>
          <t>TRUNG BÌNH</t>
        </is>
      </c>
      <c r="G862" s="18" t="inlineStr">
        <is>
          <t>RISK_HIGH · PROMO_EXTRAPOLATION</t>
        </is>
      </c>
      <c r="H862" s="19" t="n">
        <v>8.14011058807373</v>
      </c>
      <c r="I862" s="19" t="n">
        <v>61.25266367197037</v>
      </c>
      <c r="J862" s="19" t="n">
        <v>166.742423927784</v>
      </c>
      <c r="K862" s="19" t="n">
        <v>61.25266367197037</v>
      </c>
      <c r="L862" s="19" t="n">
        <v>127.1837638318539</v>
      </c>
      <c r="M862" s="19" t="n">
        <v>166.742423927784</v>
      </c>
      <c r="N862" s="17" t="inlineStr">
        <is>
          <t>B</t>
        </is>
      </c>
      <c r="O862" s="19" t="n">
        <v>78.18163289427756</v>
      </c>
      <c r="P862" s="18" t="inlineStr">
        <is>
          <t>KHÔNG ĐỀ XUẤT TĂNG</t>
        </is>
      </c>
      <c r="Q862" s="17" t="inlineStr">
        <is>
          <t>Có</t>
        </is>
      </c>
      <c r="R862" s="20" t="n"/>
      <c r="S862" s="20" t="n"/>
      <c r="T862" s="21" t="n"/>
      <c r="U862" s="21" t="n"/>
      <c r="V862" s="22">
        <f>IF(U862="A",K862,IF(U862="B",L862,IF(U862="C",M862,IF(N862="A",K862,IF(N862="B",L862,M862)))))</f>
        <v/>
      </c>
      <c r="W862" s="22">
        <f>IF(R862="",O862,MAX(V862-R862-N(S862),0))</f>
        <v/>
      </c>
      <c r="X862" s="20" t="n"/>
      <c r="Y862" s="23">
        <f>IF(OR(X862="",W862=0),"",X862/W862-1)</f>
        <v/>
      </c>
      <c r="Z862" s="24" t="n"/>
      <c r="AA862" s="21" t="n"/>
      <c r="AB862" s="25" t="n"/>
      <c r="AC862" s="26">
        <f>IF(T862="","Chưa quyết định",IF(OR(Z862="",AA862=""),"⚠ Thiếu lý do/người duyệt",IF(AND(X862&lt;&gt;"",N(X862)+N(R862)+N(S862)&gt;M862*1.001,R862&lt;&gt;""),"⚠ Vượt mục tiêu P90",IF(AND(Y862&lt;&gt;"",ABS(N(Y862))&gt;0.3),"⚠ Lệch &gt; 30% so với nhu cầu",IF(Q862="Có","ℹ Kiểm tra ngoại suy KM","✓ Hợp lệ")))))</f>
        <v/>
      </c>
    </row>
    <row r="863">
      <c r="A863" s="16" t="n">
        <v>859</v>
      </c>
      <c r="B863" s="17" t="inlineStr">
        <is>
          <t>DEC-S03-HOME_APPLIANCES</t>
        </is>
      </c>
      <c r="C863" s="16" t="n">
        <v>3</v>
      </c>
      <c r="D863" s="17" t="inlineStr">
        <is>
          <t>HOME APPLIANCES</t>
        </is>
      </c>
      <c r="E863" s="17" t="inlineStr">
        <is>
          <t>HIGH</t>
        </is>
      </c>
      <c r="F863" s="17" t="inlineStr">
        <is>
          <t>TRUNG BÌNH</t>
        </is>
      </c>
      <c r="G863" s="18" t="inlineStr">
        <is>
          <t>RISK_HIGH · PROMO_EXTRAPOLATION</t>
        </is>
      </c>
      <c r="H863" s="19" t="n">
        <v>6.461097240447998</v>
      </c>
      <c r="I863" s="19" t="n">
        <v>61.01687800884247</v>
      </c>
      <c r="J863" s="19" t="n">
        <v>168.6357239484787</v>
      </c>
      <c r="K863" s="19" t="n">
        <v>61.01687800884247</v>
      </c>
      <c r="L863" s="19" t="n">
        <v>128.2786567211151</v>
      </c>
      <c r="M863" s="19" t="n">
        <v>168.6357239484787</v>
      </c>
      <c r="N863" s="17" t="inlineStr">
        <is>
          <t>B</t>
        </is>
      </c>
      <c r="O863" s="19" t="n">
        <v>79.46515431404114</v>
      </c>
      <c r="P863" s="18" t="inlineStr">
        <is>
          <t>KHÔNG ĐỀ XUẤT TĂNG</t>
        </is>
      </c>
      <c r="Q863" s="17" t="inlineStr">
        <is>
          <t>Có</t>
        </is>
      </c>
      <c r="R863" s="20" t="n"/>
      <c r="S863" s="20" t="n"/>
      <c r="T863" s="21" t="n"/>
      <c r="U863" s="21" t="n"/>
      <c r="V863" s="22">
        <f>IF(U863="A",K863,IF(U863="B",L863,IF(U863="C",M863,IF(N863="A",K863,IF(N863="B",L863,M863)))))</f>
        <v/>
      </c>
      <c r="W863" s="22">
        <f>IF(R863="",O863,MAX(V863-R863-N(S863),0))</f>
        <v/>
      </c>
      <c r="X863" s="20" t="n"/>
      <c r="Y863" s="23">
        <f>IF(OR(X863="",W863=0),"",X863/W863-1)</f>
        <v/>
      </c>
      <c r="Z863" s="24" t="n"/>
      <c r="AA863" s="21" t="n"/>
      <c r="AB863" s="25" t="n"/>
      <c r="AC863" s="26">
        <f>IF(T863="","Chưa quyết định",IF(OR(Z863="",AA863=""),"⚠ Thiếu lý do/người duyệt",IF(AND(X863&lt;&gt;"",N(X863)+N(R863)+N(S863)&gt;M863*1.001,R863&lt;&gt;""),"⚠ Vượt mục tiêu P90",IF(AND(Y863&lt;&gt;"",ABS(N(Y863))&gt;0.3),"⚠ Lệch &gt; 30% so với nhu cầu",IF(Q863="Có","ℹ Kiểm tra ngoại suy KM","✓ Hợp lệ")))))</f>
        <v/>
      </c>
    </row>
    <row r="864">
      <c r="A864" s="16" t="n">
        <v>860</v>
      </c>
      <c r="B864" s="17" t="inlineStr">
        <is>
          <t>DEC-S49-HOME_APPLIANCES</t>
        </is>
      </c>
      <c r="C864" s="16" t="n">
        <v>49</v>
      </c>
      <c r="D864" s="17" t="inlineStr">
        <is>
          <t>HOME APPLIANCES</t>
        </is>
      </c>
      <c r="E864" s="17" t="inlineStr">
        <is>
          <t>HIGH</t>
        </is>
      </c>
      <c r="F864" s="17" t="inlineStr">
        <is>
          <t>TRUNG BÌNH</t>
        </is>
      </c>
      <c r="G864" s="18" t="inlineStr">
        <is>
          <t>RISK_HIGH · PROMO_EXTRAPOLATION</t>
        </is>
      </c>
      <c r="H864" s="19" t="n">
        <v>8.23375574350357</v>
      </c>
      <c r="I864" s="19" t="n">
        <v>60.21695780754089</v>
      </c>
      <c r="J864" s="19" t="n">
        <v>165.7067180633545</v>
      </c>
      <c r="K864" s="19" t="n">
        <v>60.21695780754089</v>
      </c>
      <c r="L864" s="19" t="n">
        <v>126.1480579674244</v>
      </c>
      <c r="M864" s="19" t="n">
        <v>165.7067180633545</v>
      </c>
      <c r="N864" s="17" t="inlineStr">
        <is>
          <t>B</t>
        </is>
      </c>
      <c r="O864" s="19" t="n">
        <v>77.97449172139166</v>
      </c>
      <c r="P864" s="18" t="inlineStr">
        <is>
          <t>KHÔNG ĐỀ XUẤT TĂNG</t>
        </is>
      </c>
      <c r="Q864" s="17" t="inlineStr">
        <is>
          <t>Có</t>
        </is>
      </c>
      <c r="R864" s="20" t="n"/>
      <c r="S864" s="20" t="n"/>
      <c r="T864" s="21" t="n"/>
      <c r="U864" s="21" t="n"/>
      <c r="V864" s="22">
        <f>IF(U864="A",K864,IF(U864="B",L864,IF(U864="C",M864,IF(N864="A",K864,IF(N864="B",L864,M864)))))</f>
        <v/>
      </c>
      <c r="W864" s="22">
        <f>IF(R864="",O864,MAX(V864-R864-N(S864),0))</f>
        <v/>
      </c>
      <c r="X864" s="20" t="n"/>
      <c r="Y864" s="23">
        <f>IF(OR(X864="",W864=0),"",X864/W864-1)</f>
        <v/>
      </c>
      <c r="Z864" s="24" t="n"/>
      <c r="AA864" s="21" t="n"/>
      <c r="AB864" s="25" t="n"/>
      <c r="AC864" s="26">
        <f>IF(T864="","Chưa quyết định",IF(OR(Z864="",AA864=""),"⚠ Thiếu lý do/người duyệt",IF(AND(X864&lt;&gt;"",N(X864)+N(R864)+N(S864)&gt;M864*1.001,R864&lt;&gt;""),"⚠ Vượt mục tiêu P90",IF(AND(Y864&lt;&gt;"",ABS(N(Y864))&gt;0.3),"⚠ Lệch &gt; 30% so với nhu cầu",IF(Q864="Có","ℹ Kiểm tra ngoại suy KM","✓ Hợp lệ")))))</f>
        <v/>
      </c>
    </row>
    <row r="865">
      <c r="A865" s="16" t="n">
        <v>861</v>
      </c>
      <c r="B865" s="17" t="inlineStr">
        <is>
          <t>DEC-S19-LINGERIE</t>
        </is>
      </c>
      <c r="C865" s="16" t="n">
        <v>19</v>
      </c>
      <c r="D865" s="17" t="inlineStr">
        <is>
          <t>LINGERIE</t>
        </is>
      </c>
      <c r="E865" s="17" t="inlineStr">
        <is>
          <t>HIGH</t>
        </is>
      </c>
      <c r="F865" s="17" t="inlineStr">
        <is>
          <t>TRUNG BÌNH</t>
        </is>
      </c>
      <c r="G865" s="18" t="inlineStr">
        <is>
          <t>RISK_HIGH · PROMO_EXTRAPOLATION</t>
        </is>
      </c>
      <c r="H865" s="19" t="n">
        <v>9.957639503479005</v>
      </c>
      <c r="I865" s="19" t="n">
        <v>59.84673408418894</v>
      </c>
      <c r="J865" s="19" t="n">
        <v>161.3381893053651</v>
      </c>
      <c r="K865" s="19" t="n">
        <v>59.84673408418894</v>
      </c>
      <c r="L865" s="19" t="n">
        <v>123.278893597424</v>
      </c>
      <c r="M865" s="19" t="n">
        <v>161.3381893053651</v>
      </c>
      <c r="N865" s="17" t="inlineStr">
        <is>
          <t>B</t>
        </is>
      </c>
      <c r="O865" s="19" t="n">
        <v>75.40150633007288</v>
      </c>
      <c r="P865" s="18" t="inlineStr">
        <is>
          <t>KHÔNG ĐỀ XUẤT TĂNG</t>
        </is>
      </c>
      <c r="Q865" s="17" t="inlineStr">
        <is>
          <t>Có</t>
        </is>
      </c>
      <c r="R865" s="20" t="n"/>
      <c r="S865" s="20" t="n"/>
      <c r="T865" s="21" t="n"/>
      <c r="U865" s="21" t="n"/>
      <c r="V865" s="22">
        <f>IF(U865="A",K865,IF(U865="B",L865,IF(U865="C",M865,IF(N865="A",K865,IF(N865="B",L865,M865)))))</f>
        <v/>
      </c>
      <c r="W865" s="22">
        <f>IF(R865="",O865,MAX(V865-R865-N(S865),0))</f>
        <v/>
      </c>
      <c r="X865" s="20" t="n"/>
      <c r="Y865" s="23">
        <f>IF(OR(X865="",W865=0),"",X865/W865-1)</f>
        <v/>
      </c>
      <c r="Z865" s="24" t="n"/>
      <c r="AA865" s="21" t="n"/>
      <c r="AB865" s="25" t="n"/>
      <c r="AC865" s="26">
        <f>IF(T865="","Chưa quyết định",IF(OR(Z865="",AA865=""),"⚠ Thiếu lý do/người duyệt",IF(AND(X865&lt;&gt;"",N(X865)+N(R865)+N(S865)&gt;M865*1.001,R865&lt;&gt;""),"⚠ Vượt mục tiêu P90",IF(AND(Y865&lt;&gt;"",ABS(N(Y865))&gt;0.3),"⚠ Lệch &gt; 30% so với nhu cầu",IF(Q865="Có","ℹ Kiểm tra ngoại suy KM","✓ Hợp lệ")))))</f>
        <v/>
      </c>
    </row>
    <row r="866">
      <c r="A866" s="16" t="n">
        <v>862</v>
      </c>
      <c r="B866" s="17" t="inlineStr">
        <is>
          <t>DEC-S23-MAGAZINES</t>
        </is>
      </c>
      <c r="C866" s="16" t="n">
        <v>23</v>
      </c>
      <c r="D866" s="17" t="inlineStr">
        <is>
          <t>MAGAZINES</t>
        </is>
      </c>
      <c r="E866" s="17" t="inlineStr">
        <is>
          <t>HIGH</t>
        </is>
      </c>
      <c r="F866" s="17" t="inlineStr">
        <is>
          <t>TRUNG BÌNH</t>
        </is>
      </c>
      <c r="G866" s="18" t="inlineStr">
        <is>
          <t>RISK_HIGH · PROMO_EXTRAPOLATION</t>
        </is>
      </c>
      <c r="H866" s="19" t="n">
        <v>10.73012713193893</v>
      </c>
      <c r="I866" s="19" t="n">
        <v>59.27573585510254</v>
      </c>
      <c r="J866" s="19" t="n">
        <v>162.3765440940857</v>
      </c>
      <c r="K866" s="19" t="n">
        <v>59.27573585510254</v>
      </c>
      <c r="L866" s="19" t="n">
        <v>123.713741004467</v>
      </c>
      <c r="M866" s="19" t="n">
        <v>162.3765440940857</v>
      </c>
      <c r="N866" s="17" t="inlineStr">
        <is>
          <t>B</t>
        </is>
      </c>
      <c r="O866" s="19" t="n">
        <v>76.29315232038496</v>
      </c>
      <c r="P866" s="18" t="inlineStr">
        <is>
          <t>KHÔNG ĐỀ XUẤT TĂNG</t>
        </is>
      </c>
      <c r="Q866" s="17" t="inlineStr">
        <is>
          <t>Có</t>
        </is>
      </c>
      <c r="R866" s="20" t="n"/>
      <c r="S866" s="20" t="n"/>
      <c r="T866" s="21" t="n"/>
      <c r="U866" s="21" t="n"/>
      <c r="V866" s="22">
        <f>IF(U866="A",K866,IF(U866="B",L866,IF(U866="C",M866,IF(N866="A",K866,IF(N866="B",L866,M866)))))</f>
        <v/>
      </c>
      <c r="W866" s="22">
        <f>IF(R866="",O866,MAX(V866-R866-N(S866),0))</f>
        <v/>
      </c>
      <c r="X866" s="20" t="n"/>
      <c r="Y866" s="23">
        <f>IF(OR(X866="",W866=0),"",X866/W866-1)</f>
        <v/>
      </c>
      <c r="Z866" s="24" t="n"/>
      <c r="AA866" s="21" t="n"/>
      <c r="AB866" s="25" t="n"/>
      <c r="AC866" s="26">
        <f>IF(T866="","Chưa quyết định",IF(OR(Z866="",AA866=""),"⚠ Thiếu lý do/người duyệt",IF(AND(X866&lt;&gt;"",N(X866)+N(R866)+N(S866)&gt;M866*1.001,R866&lt;&gt;""),"⚠ Vượt mục tiêu P90",IF(AND(Y866&lt;&gt;"",ABS(N(Y866))&gt;0.3),"⚠ Lệch &gt; 30% so với nhu cầu",IF(Q866="Có","ℹ Kiểm tra ngoại suy KM","✓ Hợp lệ")))))</f>
        <v/>
      </c>
    </row>
    <row r="867">
      <c r="A867" s="16" t="n">
        <v>863</v>
      </c>
      <c r="B867" s="17" t="inlineStr">
        <is>
          <t>DEC-S23-PET_SUPPLIES</t>
        </is>
      </c>
      <c r="C867" s="16" t="n">
        <v>23</v>
      </c>
      <c r="D867" s="17" t="inlineStr">
        <is>
          <t>PET SUPPLIES</t>
        </is>
      </c>
      <c r="E867" s="17" t="inlineStr">
        <is>
          <t>HIGH</t>
        </is>
      </c>
      <c r="F867" s="17" t="inlineStr">
        <is>
          <t>TRUNG BÌNH</t>
        </is>
      </c>
      <c r="G867" s="18" t="inlineStr">
        <is>
          <t>RISK_HIGH · PROMO_EXTRAPOLATION</t>
        </is>
      </c>
      <c r="H867" s="19" t="n">
        <v>7.959166276454926</v>
      </c>
      <c r="I867" s="19" t="n">
        <v>57.63552463054657</v>
      </c>
      <c r="J867" s="19" t="n">
        <v>158.8671135187149</v>
      </c>
      <c r="K867" s="19" t="n">
        <v>57.63552463054657</v>
      </c>
      <c r="L867" s="19" t="n">
        <v>120.9052676856518</v>
      </c>
      <c r="M867" s="19" t="n">
        <v>158.8671135187149</v>
      </c>
      <c r="N867" s="17" t="inlineStr">
        <is>
          <t>B</t>
        </is>
      </c>
      <c r="O867" s="19" t="n">
        <v>74.79684798121451</v>
      </c>
      <c r="P867" s="18" t="inlineStr">
        <is>
          <t>KHÔNG ĐỀ XUẤT TĂNG</t>
        </is>
      </c>
      <c r="Q867" s="17" t="inlineStr">
        <is>
          <t>Có</t>
        </is>
      </c>
      <c r="R867" s="20" t="n"/>
      <c r="S867" s="20" t="n"/>
      <c r="T867" s="21" t="n"/>
      <c r="U867" s="21" t="n"/>
      <c r="V867" s="22">
        <f>IF(U867="A",K867,IF(U867="B",L867,IF(U867="C",M867,IF(N867="A",K867,IF(N867="B",L867,M867)))))</f>
        <v/>
      </c>
      <c r="W867" s="22">
        <f>IF(R867="",O867,MAX(V867-R867-N(S867),0))</f>
        <v/>
      </c>
      <c r="X867" s="20" t="n"/>
      <c r="Y867" s="23">
        <f>IF(OR(X867="",W867=0),"",X867/W867-1)</f>
        <v/>
      </c>
      <c r="Z867" s="24" t="n"/>
      <c r="AA867" s="21" t="n"/>
      <c r="AB867" s="25" t="n"/>
      <c r="AC867" s="26">
        <f>IF(T867="","Chưa quyết định",IF(OR(Z867="",AA867=""),"⚠ Thiếu lý do/người duyệt",IF(AND(X867&lt;&gt;"",N(X867)+N(R867)+N(S867)&gt;M867*1.001,R867&lt;&gt;""),"⚠ Vượt mục tiêu P90",IF(AND(Y867&lt;&gt;"",ABS(N(Y867))&gt;0.3),"⚠ Lệch &gt; 30% so với nhu cầu",IF(Q867="Có","ℹ Kiểm tra ngoại suy KM","✓ Hợp lệ")))))</f>
        <v/>
      </c>
    </row>
    <row r="868">
      <c r="A868" s="16" t="n">
        <v>864</v>
      </c>
      <c r="B868" s="17" t="inlineStr">
        <is>
          <t>DEC-S08-HOME_APPLIANCES</t>
        </is>
      </c>
      <c r="C868" s="16" t="n">
        <v>8</v>
      </c>
      <c r="D868" s="17" t="inlineStr">
        <is>
          <t>HOME APPLIANCES</t>
        </is>
      </c>
      <c r="E868" s="17" t="inlineStr">
        <is>
          <t>HIGH</t>
        </is>
      </c>
      <c r="F868" s="17" t="inlineStr">
        <is>
          <t>TRUNG BÌNH</t>
        </is>
      </c>
      <c r="G868" s="18" t="inlineStr">
        <is>
          <t>RISK_HIGH · PROMO_EXTRAPOLATION</t>
        </is>
      </c>
      <c r="H868" s="19" t="n">
        <v>7.259504294395446</v>
      </c>
      <c r="I868" s="19" t="n">
        <v>57.51649516820908</v>
      </c>
      <c r="J868" s="19" t="n">
        <v>160.6173034071922</v>
      </c>
      <c r="K868" s="19" t="n">
        <v>57.51649516820908</v>
      </c>
      <c r="L868" s="19" t="n">
        <v>121.9545003175735</v>
      </c>
      <c r="M868" s="19" t="n">
        <v>160.6173034071922</v>
      </c>
      <c r="N868" s="17" t="inlineStr">
        <is>
          <t>B</t>
        </is>
      </c>
      <c r="O868" s="19" t="n">
        <v>75.94130418300628</v>
      </c>
      <c r="P868" s="18" t="inlineStr">
        <is>
          <t>KHÔNG ĐỀ XUẤT TĂNG</t>
        </is>
      </c>
      <c r="Q868" s="17" t="inlineStr">
        <is>
          <t>Có</t>
        </is>
      </c>
      <c r="R868" s="20" t="n"/>
      <c r="S868" s="20" t="n"/>
      <c r="T868" s="21" t="n"/>
      <c r="U868" s="21" t="n"/>
      <c r="V868" s="22">
        <f>IF(U868="A",K868,IF(U868="B",L868,IF(U868="C",M868,IF(N868="A",K868,IF(N868="B",L868,M868)))))</f>
        <v/>
      </c>
      <c r="W868" s="22">
        <f>IF(R868="",O868,MAX(V868-R868-N(S868),0))</f>
        <v/>
      </c>
      <c r="X868" s="20" t="n"/>
      <c r="Y868" s="23">
        <f>IF(OR(X868="",W868=0),"",X868/W868-1)</f>
        <v/>
      </c>
      <c r="Z868" s="24" t="n"/>
      <c r="AA868" s="21" t="n"/>
      <c r="AB868" s="25" t="n"/>
      <c r="AC868" s="26">
        <f>IF(T868="","Chưa quyết định",IF(OR(Z868="",AA868=""),"⚠ Thiếu lý do/người duyệt",IF(AND(X868&lt;&gt;"",N(X868)+N(R868)+N(S868)&gt;M868*1.001,R868&lt;&gt;""),"⚠ Vượt mục tiêu P90",IF(AND(Y868&lt;&gt;"",ABS(N(Y868))&gt;0.3),"⚠ Lệch &gt; 30% so với nhu cầu",IF(Q868="Có","ℹ Kiểm tra ngoại suy KM","✓ Hợp lệ")))))</f>
        <v/>
      </c>
    </row>
    <row r="869">
      <c r="A869" s="16" t="n">
        <v>865</v>
      </c>
      <c r="B869" s="17" t="inlineStr">
        <is>
          <t>DEC-S03-BABY_CARE</t>
        </is>
      </c>
      <c r="C869" s="16" t="n">
        <v>3</v>
      </c>
      <c r="D869" s="17" t="inlineStr">
        <is>
          <t>BABY CARE</t>
        </is>
      </c>
      <c r="E869" s="17" t="inlineStr">
        <is>
          <t>HIGH</t>
        </is>
      </c>
      <c r="F869" s="17" t="inlineStr">
        <is>
          <t>TRUNG BÌNH</t>
        </is>
      </c>
      <c r="G869" s="18" t="inlineStr">
        <is>
          <t>RISK_HIGH · PROMO_EXTRAPOLATION</t>
        </is>
      </c>
      <c r="H869" s="19" t="n">
        <v>7.573070359230042</v>
      </c>
      <c r="I869" s="19" t="n">
        <v>57.2518355846405</v>
      </c>
      <c r="J869" s="19" t="n">
        <v>160.6125101566315</v>
      </c>
      <c r="K869" s="19" t="n">
        <v>57.2518355846405</v>
      </c>
      <c r="L869" s="19" t="n">
        <v>121.8522571921348</v>
      </c>
      <c r="M869" s="19" t="n">
        <v>160.6125101566315</v>
      </c>
      <c r="N869" s="17" t="inlineStr">
        <is>
          <t>B</t>
        </is>
      </c>
      <c r="O869" s="19" t="n">
        <v>76.05078872442245</v>
      </c>
      <c r="P869" s="18" t="inlineStr">
        <is>
          <t>KHÔNG ĐỀ XUẤT TĂNG</t>
        </is>
      </c>
      <c r="Q869" s="17" t="inlineStr">
        <is>
          <t>Có</t>
        </is>
      </c>
      <c r="R869" s="20" t="n"/>
      <c r="S869" s="20" t="n"/>
      <c r="T869" s="21" t="n"/>
      <c r="U869" s="21" t="n"/>
      <c r="V869" s="22">
        <f>IF(U869="A",K869,IF(U869="B",L869,IF(U869="C",M869,IF(N869="A",K869,IF(N869="B",L869,M869)))))</f>
        <v/>
      </c>
      <c r="W869" s="22">
        <f>IF(R869="",O869,MAX(V869-R869-N(S869),0))</f>
        <v/>
      </c>
      <c r="X869" s="20" t="n"/>
      <c r="Y869" s="23">
        <f>IF(OR(X869="",W869=0),"",X869/W869-1)</f>
        <v/>
      </c>
      <c r="Z869" s="24" t="n"/>
      <c r="AA869" s="21" t="n"/>
      <c r="AB869" s="25" t="n"/>
      <c r="AC869" s="26">
        <f>IF(T869="","Chưa quyết định",IF(OR(Z869="",AA869=""),"⚠ Thiếu lý do/người duyệt",IF(AND(X869&lt;&gt;"",N(X869)+N(R869)+N(S869)&gt;M869*1.001,R869&lt;&gt;""),"⚠ Vượt mục tiêu P90",IF(AND(Y869&lt;&gt;"",ABS(N(Y869))&gt;0.3),"⚠ Lệch &gt; 30% so với nhu cầu",IF(Q869="Có","ℹ Kiểm tra ngoại suy KM","✓ Hợp lệ")))))</f>
        <v/>
      </c>
    </row>
    <row r="870">
      <c r="A870" s="16" t="n">
        <v>866</v>
      </c>
      <c r="B870" s="17" t="inlineStr">
        <is>
          <t>DEC-S27-HARDWARE</t>
        </is>
      </c>
      <c r="C870" s="16" t="n">
        <v>27</v>
      </c>
      <c r="D870" s="17" t="inlineStr">
        <is>
          <t>HARDWARE</t>
        </is>
      </c>
      <c r="E870" s="17" t="inlineStr">
        <is>
          <t>HIGH</t>
        </is>
      </c>
      <c r="F870" s="17" t="inlineStr">
        <is>
          <t>TRUNG BÌNH</t>
        </is>
      </c>
      <c r="G870" s="18" t="inlineStr">
        <is>
          <t>RISK_HIGH · PROMO_EXTRAPOLATION</t>
        </is>
      </c>
      <c r="H870" s="19" t="n">
        <v>7.983228921890259</v>
      </c>
      <c r="I870" s="19" t="n">
        <v>56.67672085762024</v>
      </c>
      <c r="J870" s="19" t="n">
        <v>159.5176627635956</v>
      </c>
      <c r="K870" s="19" t="n">
        <v>56.67672085762024</v>
      </c>
      <c r="L870" s="19" t="n">
        <v>120.9523095488548</v>
      </c>
      <c r="M870" s="19" t="n">
        <v>159.5176627635956</v>
      </c>
      <c r="N870" s="17" t="inlineStr">
        <is>
          <t>B</t>
        </is>
      </c>
      <c r="O870" s="19" t="n">
        <v>75.61093286275863</v>
      </c>
      <c r="P870" s="18" t="inlineStr">
        <is>
          <t>KHÔNG ĐỀ XUẤT TĂNG</t>
        </is>
      </c>
      <c r="Q870" s="17" t="inlineStr">
        <is>
          <t>Có</t>
        </is>
      </c>
      <c r="R870" s="20" t="n"/>
      <c r="S870" s="20" t="n"/>
      <c r="T870" s="21" t="n"/>
      <c r="U870" s="21" t="n"/>
      <c r="V870" s="22">
        <f>IF(U870="A",K870,IF(U870="B",L870,IF(U870="C",M870,IF(N870="A",K870,IF(N870="B",L870,M870)))))</f>
        <v/>
      </c>
      <c r="W870" s="22">
        <f>IF(R870="",O870,MAX(V870-R870-N(S870),0))</f>
        <v/>
      </c>
      <c r="X870" s="20" t="n"/>
      <c r="Y870" s="23">
        <f>IF(OR(X870="",W870=0),"",X870/W870-1)</f>
        <v/>
      </c>
      <c r="Z870" s="24" t="n"/>
      <c r="AA870" s="21" t="n"/>
      <c r="AB870" s="25" t="n"/>
      <c r="AC870" s="26">
        <f>IF(T870="","Chưa quyết định",IF(OR(Z870="",AA870=""),"⚠ Thiếu lý do/người duyệt",IF(AND(X870&lt;&gt;"",N(X870)+N(R870)+N(S870)&gt;M870*1.001,R870&lt;&gt;""),"⚠ Vượt mục tiêu P90",IF(AND(Y870&lt;&gt;"",ABS(N(Y870))&gt;0.3),"⚠ Lệch &gt; 30% so với nhu cầu",IF(Q870="Có","ℹ Kiểm tra ngoại suy KM","✓ Hợp lệ")))))</f>
        <v/>
      </c>
    </row>
    <row r="871">
      <c r="A871" s="16" t="n">
        <v>867</v>
      </c>
      <c r="B871" s="17" t="inlineStr">
        <is>
          <t>DEC-S45-HARDWARE</t>
        </is>
      </c>
      <c r="C871" s="16" t="n">
        <v>45</v>
      </c>
      <c r="D871" s="17" t="inlineStr">
        <is>
          <t>HARDWARE</t>
        </is>
      </c>
      <c r="E871" s="17" t="inlineStr">
        <is>
          <t>HIGH</t>
        </is>
      </c>
      <c r="F871" s="17" t="inlineStr">
        <is>
          <t>TRUNG BÌNH</t>
        </is>
      </c>
      <c r="G871" s="18" t="inlineStr">
        <is>
          <t>RISK_HIGH · PROMO_EXTRAPOLATION</t>
        </is>
      </c>
      <c r="H871" s="19" t="n">
        <v>8.150898730754852</v>
      </c>
      <c r="I871" s="19" t="n">
        <v>56.10836696624756</v>
      </c>
      <c r="J871" s="19" t="n">
        <v>159.2091752052307</v>
      </c>
      <c r="K871" s="19" t="n">
        <v>56.10836696624756</v>
      </c>
      <c r="L871" s="19" t="n">
        <v>120.546372115612</v>
      </c>
      <c r="M871" s="19" t="n">
        <v>159.2091752052307</v>
      </c>
      <c r="N871" s="17" t="inlineStr">
        <is>
          <t>B</t>
        </is>
      </c>
      <c r="O871" s="19" t="n">
        <v>75.65967854261396</v>
      </c>
      <c r="P871" s="18" t="inlineStr">
        <is>
          <t>KHÔNG ĐỀ XUẤT TĂNG</t>
        </is>
      </c>
      <c r="Q871" s="17" t="inlineStr">
        <is>
          <t>Có</t>
        </is>
      </c>
      <c r="R871" s="20" t="n"/>
      <c r="S871" s="20" t="n"/>
      <c r="T871" s="21" t="n"/>
      <c r="U871" s="21" t="n"/>
      <c r="V871" s="22">
        <f>IF(U871="A",K871,IF(U871="B",L871,IF(U871="C",M871,IF(N871="A",K871,IF(N871="B",L871,M871)))))</f>
        <v/>
      </c>
      <c r="W871" s="22">
        <f>IF(R871="",O871,MAX(V871-R871-N(S871),0))</f>
        <v/>
      </c>
      <c r="X871" s="20" t="n"/>
      <c r="Y871" s="23">
        <f>IF(OR(X871="",W871=0),"",X871/W871-1)</f>
        <v/>
      </c>
      <c r="Z871" s="24" t="n"/>
      <c r="AA871" s="21" t="n"/>
      <c r="AB871" s="25" t="n"/>
      <c r="AC871" s="26">
        <f>IF(T871="","Chưa quyết định",IF(OR(Z871="",AA871=""),"⚠ Thiếu lý do/người duyệt",IF(AND(X871&lt;&gt;"",N(X871)+N(R871)+N(S871)&gt;M871*1.001,R871&lt;&gt;""),"⚠ Vượt mục tiêu P90",IF(AND(Y871&lt;&gt;"",ABS(N(Y871))&gt;0.3),"⚠ Lệch &gt; 30% so với nhu cầu",IF(Q871="Có","ℹ Kiểm tra ngoại suy KM","✓ Hợp lệ")))))</f>
        <v/>
      </c>
    </row>
    <row r="872">
      <c r="A872" s="16" t="n">
        <v>868</v>
      </c>
      <c r="B872" s="17" t="inlineStr">
        <is>
          <t>DEC-S31-LADIESWEAR</t>
        </is>
      </c>
      <c r="C872" s="16" t="n">
        <v>31</v>
      </c>
      <c r="D872" s="17" t="inlineStr">
        <is>
          <t>LADIESWEAR</t>
        </is>
      </c>
      <c r="E872" s="17" t="inlineStr">
        <is>
          <t>HIGH</t>
        </is>
      </c>
      <c r="F872" s="17" t="inlineStr">
        <is>
          <t>TRUNG BÌNH</t>
        </is>
      </c>
      <c r="G872" s="18" t="inlineStr">
        <is>
          <t>RISK_HIGH · PROMO_EXTRAPOLATION</t>
        </is>
      </c>
      <c r="H872" s="19" t="n">
        <v>5.661336302757263</v>
      </c>
      <c r="I872" s="19" t="n">
        <v>55.79728299379349</v>
      </c>
      <c r="J872" s="19" t="n">
        <v>160.9445362687111</v>
      </c>
      <c r="K872" s="19" t="n">
        <v>55.79728299379349</v>
      </c>
      <c r="L872" s="19" t="n">
        <v>121.514316290617</v>
      </c>
      <c r="M872" s="19" t="n">
        <v>160.9445362687111</v>
      </c>
      <c r="N872" s="17" t="inlineStr">
        <is>
          <t>B</t>
        </is>
      </c>
      <c r="O872" s="19" t="n">
        <v>76.8764898955822</v>
      </c>
      <c r="P872" s="18" t="inlineStr">
        <is>
          <t>KHÔNG ĐỀ XUẤT TĂNG</t>
        </is>
      </c>
      <c r="Q872" s="17" t="inlineStr">
        <is>
          <t>Có</t>
        </is>
      </c>
      <c r="R872" s="20" t="n"/>
      <c r="S872" s="20" t="n"/>
      <c r="T872" s="21" t="n"/>
      <c r="U872" s="21" t="n"/>
      <c r="V872" s="22">
        <f>IF(U872="A",K872,IF(U872="B",L872,IF(U872="C",M872,IF(N872="A",K872,IF(N872="B",L872,M872)))))</f>
        <v/>
      </c>
      <c r="W872" s="22">
        <f>IF(R872="",O872,MAX(V872-R872-N(S872),0))</f>
        <v/>
      </c>
      <c r="X872" s="20" t="n"/>
      <c r="Y872" s="23">
        <f>IF(OR(X872="",W872=0),"",X872/W872-1)</f>
        <v/>
      </c>
      <c r="Z872" s="24" t="n"/>
      <c r="AA872" s="21" t="n"/>
      <c r="AB872" s="25" t="n"/>
      <c r="AC872" s="26">
        <f>IF(T872="","Chưa quyết định",IF(OR(Z872="",AA872=""),"⚠ Thiếu lý do/người duyệt",IF(AND(X872&lt;&gt;"",N(X872)+N(R872)+N(S872)&gt;M872*1.001,R872&lt;&gt;""),"⚠ Vượt mục tiêu P90",IF(AND(Y872&lt;&gt;"",ABS(N(Y872))&gt;0.3),"⚠ Lệch &gt; 30% so với nhu cầu",IF(Q872="Có","ℹ Kiểm tra ngoại suy KM","✓ Hợp lệ")))))</f>
        <v/>
      </c>
    </row>
    <row r="873">
      <c r="A873" s="16" t="n">
        <v>869</v>
      </c>
      <c r="B873" s="17" t="inlineStr">
        <is>
          <t>DEC-S04-AUTOMOTIVE</t>
        </is>
      </c>
      <c r="C873" s="16" t="n">
        <v>4</v>
      </c>
      <c r="D873" s="17" t="inlineStr">
        <is>
          <t>AUTOMOTIVE</t>
        </is>
      </c>
      <c r="E873" s="17" t="inlineStr">
        <is>
          <t>HIGH</t>
        </is>
      </c>
      <c r="F873" s="17" t="inlineStr">
        <is>
          <t>TRUNG BÌNH</t>
        </is>
      </c>
      <c r="G873" s="18" t="inlineStr">
        <is>
          <t>RISK_HIGH · PROMO_EXTRAPOLATION</t>
        </is>
      </c>
      <c r="H873" s="19" t="n">
        <v>8.551934957504272</v>
      </c>
      <c r="I873" s="19" t="n">
        <v>55.72837901115417</v>
      </c>
      <c r="J873" s="19" t="n">
        <v>158.5693209171295</v>
      </c>
      <c r="K873" s="19" t="n">
        <v>55.72837901115417</v>
      </c>
      <c r="L873" s="19" t="n">
        <v>120.0039677023888</v>
      </c>
      <c r="M873" s="19" t="n">
        <v>158.5693209171295</v>
      </c>
      <c r="N873" s="17" t="inlineStr">
        <is>
          <t>B</t>
        </is>
      </c>
      <c r="O873" s="19" t="n">
        <v>75.42126449346543</v>
      </c>
      <c r="P873" s="18" t="inlineStr">
        <is>
          <t>KHÔNG ĐỀ XUẤT TĂNG</t>
        </is>
      </c>
      <c r="Q873" s="17" t="inlineStr">
        <is>
          <t>Có</t>
        </is>
      </c>
      <c r="R873" s="20" t="n"/>
      <c r="S873" s="20" t="n"/>
      <c r="T873" s="21" t="n"/>
      <c r="U873" s="21" t="n"/>
      <c r="V873" s="22">
        <f>IF(U873="A",K873,IF(U873="B",L873,IF(U873="C",M873,IF(N873="A",K873,IF(N873="B",L873,M873)))))</f>
        <v/>
      </c>
      <c r="W873" s="22">
        <f>IF(R873="",O873,MAX(V873-R873-N(S873),0))</f>
        <v/>
      </c>
      <c r="X873" s="20" t="n"/>
      <c r="Y873" s="23">
        <f>IF(OR(X873="",W873=0),"",X873/W873-1)</f>
        <v/>
      </c>
      <c r="Z873" s="24" t="n"/>
      <c r="AA873" s="21" t="n"/>
      <c r="AB873" s="25" t="n"/>
      <c r="AC873" s="26">
        <f>IF(T873="","Chưa quyết định",IF(OR(Z873="",AA873=""),"⚠ Thiếu lý do/người duyệt",IF(AND(X873&lt;&gt;"",N(X873)+N(R873)+N(S873)&gt;M873*1.001,R873&lt;&gt;""),"⚠ Vượt mục tiêu P90",IF(AND(Y873&lt;&gt;"",ABS(N(Y873))&gt;0.3),"⚠ Lệch &gt; 30% so với nhu cầu",IF(Q873="Có","ℹ Kiểm tra ngoại suy KM","✓ Hợp lệ")))))</f>
        <v/>
      </c>
    </row>
    <row r="874">
      <c r="A874" s="16" t="n">
        <v>870</v>
      </c>
      <c r="B874" s="17" t="inlineStr">
        <is>
          <t>DEC-S36-AUTOMOTIVE</t>
        </is>
      </c>
      <c r="C874" s="16" t="n">
        <v>36</v>
      </c>
      <c r="D874" s="17" t="inlineStr">
        <is>
          <t>AUTOMOTIVE</t>
        </is>
      </c>
      <c r="E874" s="17" t="inlineStr">
        <is>
          <t>HIGH</t>
        </is>
      </c>
      <c r="F874" s="17" t="inlineStr">
        <is>
          <t>TRUNG BÌNH</t>
        </is>
      </c>
      <c r="G874" s="18" t="inlineStr">
        <is>
          <t>RISK_HIGH · PROMO_EXTRAPOLATION</t>
        </is>
      </c>
      <c r="H874" s="19" t="n">
        <v>7.020812749862671</v>
      </c>
      <c r="I874" s="19" t="n">
        <v>55.33576393127441</v>
      </c>
      <c r="J874" s="19" t="n">
        <v>158.1767058372498</v>
      </c>
      <c r="K874" s="19" t="n">
        <v>55.33576393127441</v>
      </c>
      <c r="L874" s="19" t="n">
        <v>119.611352622509</v>
      </c>
      <c r="M874" s="19" t="n">
        <v>158.1767058372498</v>
      </c>
      <c r="N874" s="17" t="inlineStr">
        <is>
          <t>B</t>
        </is>
      </c>
      <c r="O874" s="19" t="n">
        <v>75.34274147748947</v>
      </c>
      <c r="P874" s="18" t="inlineStr">
        <is>
          <t>KHÔNG ĐỀ XUẤT TĂNG</t>
        </is>
      </c>
      <c r="Q874" s="17" t="inlineStr">
        <is>
          <t>Có</t>
        </is>
      </c>
      <c r="R874" s="20" t="n"/>
      <c r="S874" s="20" t="n"/>
      <c r="T874" s="21" t="n"/>
      <c r="U874" s="21" t="n"/>
      <c r="V874" s="22">
        <f>IF(U874="A",K874,IF(U874="B",L874,IF(U874="C",M874,IF(N874="A",K874,IF(N874="B",L874,M874)))))</f>
        <v/>
      </c>
      <c r="W874" s="22">
        <f>IF(R874="",O874,MAX(V874-R874-N(S874),0))</f>
        <v/>
      </c>
      <c r="X874" s="20" t="n"/>
      <c r="Y874" s="23">
        <f>IF(OR(X874="",W874=0),"",X874/W874-1)</f>
        <v/>
      </c>
      <c r="Z874" s="24" t="n"/>
      <c r="AA874" s="21" t="n"/>
      <c r="AB874" s="25" t="n"/>
      <c r="AC874" s="26">
        <f>IF(T874="","Chưa quyết định",IF(OR(Z874="",AA874=""),"⚠ Thiếu lý do/người duyệt",IF(AND(X874&lt;&gt;"",N(X874)+N(R874)+N(S874)&gt;M874*1.001,R874&lt;&gt;""),"⚠ Vượt mục tiêu P90",IF(AND(Y874&lt;&gt;"",ABS(N(Y874))&gt;0.3),"⚠ Lệch &gt; 30% so với nhu cầu",IF(Q874="Có","ℹ Kiểm tra ngoại suy KM","✓ Hợp lệ")))))</f>
        <v/>
      </c>
    </row>
    <row r="875">
      <c r="A875" s="16" t="n">
        <v>871</v>
      </c>
      <c r="B875" s="17" t="inlineStr">
        <is>
          <t>DEC-S42-AUTOMOTIVE</t>
        </is>
      </c>
      <c r="C875" s="16" t="n">
        <v>42</v>
      </c>
      <c r="D875" s="17" t="inlineStr">
        <is>
          <t>AUTOMOTIVE</t>
        </is>
      </c>
      <c r="E875" s="17" t="inlineStr">
        <is>
          <t>HIGH</t>
        </is>
      </c>
      <c r="F875" s="17" t="inlineStr">
        <is>
          <t>TRUNG BÌNH</t>
        </is>
      </c>
      <c r="G875" s="18" t="inlineStr">
        <is>
          <t>RISK_HIGH · PROMO_EXTRAPOLATION</t>
        </is>
      </c>
      <c r="H875" s="19" t="n">
        <v>6.611879962682724</v>
      </c>
      <c r="I875" s="19" t="n">
        <v>55.04334846138954</v>
      </c>
      <c r="J875" s="19" t="n">
        <v>156.2749373495579</v>
      </c>
      <c r="K875" s="19" t="n">
        <v>55.04334846138954</v>
      </c>
      <c r="L875" s="19" t="n">
        <v>118.3130915164948</v>
      </c>
      <c r="M875" s="19" t="n">
        <v>156.2749373495579</v>
      </c>
      <c r="N875" s="17" t="inlineStr">
        <is>
          <t>B</t>
        </is>
      </c>
      <c r="O875" s="19" t="n">
        <v>74.2784127473831</v>
      </c>
      <c r="P875" s="18" t="inlineStr">
        <is>
          <t>KHÔNG ĐỀ XUẤT TĂNG</t>
        </is>
      </c>
      <c r="Q875" s="17" t="inlineStr">
        <is>
          <t>Có</t>
        </is>
      </c>
      <c r="R875" s="20" t="n"/>
      <c r="S875" s="20" t="n"/>
      <c r="T875" s="21" t="n"/>
      <c r="U875" s="21" t="n"/>
      <c r="V875" s="22">
        <f>IF(U875="A",K875,IF(U875="B",L875,IF(U875="C",M875,IF(N875="A",K875,IF(N875="B",L875,M875)))))</f>
        <v/>
      </c>
      <c r="W875" s="22">
        <f>IF(R875="",O875,MAX(V875-R875-N(S875),0))</f>
        <v/>
      </c>
      <c r="X875" s="20" t="n"/>
      <c r="Y875" s="23">
        <f>IF(OR(X875="",W875=0),"",X875/W875-1)</f>
        <v/>
      </c>
      <c r="Z875" s="24" t="n"/>
      <c r="AA875" s="21" t="n"/>
      <c r="AB875" s="25" t="n"/>
      <c r="AC875" s="26">
        <f>IF(T875="","Chưa quyết định",IF(OR(Z875="",AA875=""),"⚠ Thiếu lý do/người duyệt",IF(AND(X875&lt;&gt;"",N(X875)+N(R875)+N(S875)&gt;M875*1.001,R875&lt;&gt;""),"⚠ Vượt mục tiêu P90",IF(AND(Y875&lt;&gt;"",ABS(N(Y875))&gt;0.3),"⚠ Lệch &gt; 30% so với nhu cầu",IF(Q875="Có","ℹ Kiểm tra ngoại suy KM","✓ Hợp lệ")))))</f>
        <v/>
      </c>
    </row>
    <row r="876">
      <c r="A876" s="16" t="n">
        <v>872</v>
      </c>
      <c r="B876" s="17" t="inlineStr">
        <is>
          <t>DEC-S12-AUTOMOTIVE</t>
        </is>
      </c>
      <c r="C876" s="16" t="n">
        <v>12</v>
      </c>
      <c r="D876" s="17" t="inlineStr">
        <is>
          <t>AUTOMOTIVE</t>
        </is>
      </c>
      <c r="E876" s="17" t="inlineStr">
        <is>
          <t>HIGH</t>
        </is>
      </c>
      <c r="F876" s="17" t="inlineStr">
        <is>
          <t>TRUNG BÌNH</t>
        </is>
      </c>
      <c r="G876" s="18" t="inlineStr">
        <is>
          <t>RISK_HIGH · PROMO_EXTRAPOLATION</t>
        </is>
      </c>
      <c r="H876" s="19" t="n">
        <v>10.52281172275543</v>
      </c>
      <c r="I876" s="19" t="n">
        <v>53.64865076541901</v>
      </c>
      <c r="J876" s="19" t="n">
        <v>152.2314213037491</v>
      </c>
      <c r="K876" s="19" t="n">
        <v>53.64865076541901</v>
      </c>
      <c r="L876" s="19" t="n">
        <v>115.2628823518753</v>
      </c>
      <c r="M876" s="19" t="n">
        <v>152.2314213037491</v>
      </c>
      <c r="N876" s="17" t="inlineStr">
        <is>
          <t>B</t>
        </is>
      </c>
      <c r="O876" s="19" t="n">
        <v>72.34396173954011</v>
      </c>
      <c r="P876" s="18" t="inlineStr">
        <is>
          <t>KHÔNG ĐỀ XUẤT TĂNG</t>
        </is>
      </c>
      <c r="Q876" s="17" t="inlineStr">
        <is>
          <t>Có</t>
        </is>
      </c>
      <c r="R876" s="20" t="n"/>
      <c r="S876" s="20" t="n"/>
      <c r="T876" s="21" t="n"/>
      <c r="U876" s="21" t="n"/>
      <c r="V876" s="22">
        <f>IF(U876="A",K876,IF(U876="B",L876,IF(U876="C",M876,IF(N876="A",K876,IF(N876="B",L876,M876)))))</f>
        <v/>
      </c>
      <c r="W876" s="22">
        <f>IF(R876="",O876,MAX(V876-R876-N(S876),0))</f>
        <v/>
      </c>
      <c r="X876" s="20" t="n"/>
      <c r="Y876" s="23">
        <f>IF(OR(X876="",W876=0),"",X876/W876-1)</f>
        <v/>
      </c>
      <c r="Z876" s="24" t="n"/>
      <c r="AA876" s="21" t="n"/>
      <c r="AB876" s="25" t="n"/>
      <c r="AC876" s="26">
        <f>IF(T876="","Chưa quyết định",IF(OR(Z876="",AA876=""),"⚠ Thiếu lý do/người duyệt",IF(AND(X876&lt;&gt;"",N(X876)+N(R876)+N(S876)&gt;M876*1.001,R876&lt;&gt;""),"⚠ Vượt mục tiêu P90",IF(AND(Y876&lt;&gt;"",ABS(N(Y876))&gt;0.3),"⚠ Lệch &gt; 30% so với nhu cầu",IF(Q876="Có","ℹ Kiểm tra ngoại suy KM","✓ Hợp lệ")))))</f>
        <v/>
      </c>
    </row>
    <row r="877">
      <c r="A877" s="16" t="n">
        <v>873</v>
      </c>
      <c r="B877" s="17" t="inlineStr">
        <is>
          <t>DEC-S18-AUTOMOTIVE</t>
        </is>
      </c>
      <c r="C877" s="16" t="n">
        <v>18</v>
      </c>
      <c r="D877" s="17" t="inlineStr">
        <is>
          <t>AUTOMOTIVE</t>
        </is>
      </c>
      <c r="E877" s="17" t="inlineStr">
        <is>
          <t>HIGH</t>
        </is>
      </c>
      <c r="F877" s="17" t="inlineStr">
        <is>
          <t>TRUNG BÌNH</t>
        </is>
      </c>
      <c r="G877" s="18" t="inlineStr">
        <is>
          <t>RISK_HIGH · PROMO_EXTRAPOLATION</t>
        </is>
      </c>
      <c r="H877" s="19" t="n">
        <v>9.643173778057101</v>
      </c>
      <c r="I877" s="19" t="n">
        <v>53.07034510374069</v>
      </c>
      <c r="J877" s="19" t="n">
        <v>149.783896291256</v>
      </c>
      <c r="K877" s="19" t="n">
        <v>53.07034510374069</v>
      </c>
      <c r="L877" s="19" t="n">
        <v>113.5163145959377</v>
      </c>
      <c r="M877" s="19" t="n">
        <v>149.783896291256</v>
      </c>
      <c r="N877" s="17" t="inlineStr">
        <is>
          <t>B</t>
        </is>
      </c>
      <c r="O877" s="19" t="n">
        <v>71.06003851294517</v>
      </c>
      <c r="P877" s="18" t="inlineStr">
        <is>
          <t>KHÔNG ĐỀ XUẤT TĂNG</t>
        </is>
      </c>
      <c r="Q877" s="17" t="inlineStr">
        <is>
          <t>Có</t>
        </is>
      </c>
      <c r="R877" s="20" t="n"/>
      <c r="S877" s="20" t="n"/>
      <c r="T877" s="21" t="n"/>
      <c r="U877" s="21" t="n"/>
      <c r="V877" s="22">
        <f>IF(U877="A",K877,IF(U877="B",L877,IF(U877="C",M877,IF(N877="A",K877,IF(N877="B",L877,M877)))))</f>
        <v/>
      </c>
      <c r="W877" s="22">
        <f>IF(R877="",O877,MAX(V877-R877-N(S877),0))</f>
        <v/>
      </c>
      <c r="X877" s="20" t="n"/>
      <c r="Y877" s="23">
        <f>IF(OR(X877="",W877=0),"",X877/W877-1)</f>
        <v/>
      </c>
      <c r="Z877" s="24" t="n"/>
      <c r="AA877" s="21" t="n"/>
      <c r="AB877" s="25" t="n"/>
      <c r="AC877" s="26">
        <f>IF(T877="","Chưa quyết định",IF(OR(Z877="",AA877=""),"⚠ Thiếu lý do/người duyệt",IF(AND(X877&lt;&gt;"",N(X877)+N(R877)+N(S877)&gt;M877*1.001,R877&lt;&gt;""),"⚠ Vượt mục tiêu P90",IF(AND(Y877&lt;&gt;"",ABS(N(Y877))&gt;0.3),"⚠ Lệch &gt; 30% so với nhu cầu",IF(Q877="Có","ℹ Kiểm tra ngoại suy KM","✓ Hợp lệ")))))</f>
        <v/>
      </c>
    </row>
    <row r="878">
      <c r="A878" s="16" t="n">
        <v>874</v>
      </c>
      <c r="B878" s="17" t="inlineStr">
        <is>
          <t>DEC-S18-PET_SUPPLIES</t>
        </is>
      </c>
      <c r="C878" s="16" t="n">
        <v>18</v>
      </c>
      <c r="D878" s="17" t="inlineStr">
        <is>
          <t>PET SUPPLIES</t>
        </is>
      </c>
      <c r="E878" s="17" t="inlineStr">
        <is>
          <t>HIGH</t>
        </is>
      </c>
      <c r="F878" s="17" t="inlineStr">
        <is>
          <t>TRUNG BÌNH</t>
        </is>
      </c>
      <c r="G878" s="18" t="inlineStr">
        <is>
          <t>RISK_HIGH · PROMO_EXTRAPOLATION</t>
        </is>
      </c>
      <c r="H878" s="19" t="n">
        <v>7.098845875263214</v>
      </c>
      <c r="I878" s="19" t="n">
        <v>53.04411315917969</v>
      </c>
      <c r="J878" s="19" t="n">
        <v>153.7559693813324</v>
      </c>
      <c r="K878" s="19" t="n">
        <v>53.04411315917969</v>
      </c>
      <c r="L878" s="19" t="n">
        <v>115.9890232980251</v>
      </c>
      <c r="M878" s="19" t="n">
        <v>153.7559693813324</v>
      </c>
      <c r="N878" s="17" t="inlineStr">
        <is>
          <t>B</t>
        </is>
      </c>
      <c r="O878" s="19" t="n">
        <v>73.55373277068138</v>
      </c>
      <c r="P878" s="18" t="inlineStr">
        <is>
          <t>KHÔNG ĐỀ XUẤT TĂNG</t>
        </is>
      </c>
      <c r="Q878" s="17" t="inlineStr">
        <is>
          <t>Có</t>
        </is>
      </c>
      <c r="R878" s="20" t="n"/>
      <c r="S878" s="20" t="n"/>
      <c r="T878" s="21" t="n"/>
      <c r="U878" s="21" t="n"/>
      <c r="V878" s="22">
        <f>IF(U878="A",K878,IF(U878="B",L878,IF(U878="C",M878,IF(N878="A",K878,IF(N878="B",L878,M878)))))</f>
        <v/>
      </c>
      <c r="W878" s="22">
        <f>IF(R878="",O878,MAX(V878-R878-N(S878),0))</f>
        <v/>
      </c>
      <c r="X878" s="20" t="n"/>
      <c r="Y878" s="23">
        <f>IF(OR(X878="",W878=0),"",X878/W878-1)</f>
        <v/>
      </c>
      <c r="Z878" s="24" t="n"/>
      <c r="AA878" s="21" t="n"/>
      <c r="AB878" s="25" t="n"/>
      <c r="AC878" s="26">
        <f>IF(T878="","Chưa quyết định",IF(OR(Z878="",AA878=""),"⚠ Thiếu lý do/người duyệt",IF(AND(X878&lt;&gt;"",N(X878)+N(R878)+N(S878)&gt;M878*1.001,R878&lt;&gt;""),"⚠ Vượt mục tiêu P90",IF(AND(Y878&lt;&gt;"",ABS(N(Y878))&gt;0.3),"⚠ Lệch &gt; 30% so với nhu cầu",IF(Q878="Có","ℹ Kiểm tra ngoại suy KM","✓ Hợp lệ")))))</f>
        <v/>
      </c>
    </row>
    <row r="879">
      <c r="A879" s="16" t="n">
        <v>875</v>
      </c>
      <c r="B879" s="17" t="inlineStr">
        <is>
          <t>DEC-S35-CELEBRATION</t>
        </is>
      </c>
      <c r="C879" s="16" t="n">
        <v>35</v>
      </c>
      <c r="D879" s="17" t="inlineStr">
        <is>
          <t>CELEBRATION</t>
        </is>
      </c>
      <c r="E879" s="17" t="inlineStr">
        <is>
          <t>HIGH</t>
        </is>
      </c>
      <c r="F879" s="17" t="inlineStr">
        <is>
          <t>TRUNG BÌNH</t>
        </is>
      </c>
      <c r="G879" s="18" t="inlineStr">
        <is>
          <t>RISK_HIGH · PROMO_EXTRAPOLATION</t>
        </is>
      </c>
      <c r="H879" s="19" t="n">
        <v>5.402311342954636</v>
      </c>
      <c r="I879" s="19" t="n">
        <v>52.54209652543068</v>
      </c>
      <c r="J879" s="19" t="n">
        <v>157.4294834673405</v>
      </c>
      <c r="K879" s="19" t="n">
        <v>52.54209652543068</v>
      </c>
      <c r="L879" s="19" t="n">
        <v>118.0967133641243</v>
      </c>
      <c r="M879" s="19" t="n">
        <v>157.4294834673405</v>
      </c>
      <c r="N879" s="17" t="inlineStr">
        <is>
          <t>B</t>
        </is>
      </c>
      <c r="O879" s="19" t="n">
        <v>76.06303614377975</v>
      </c>
      <c r="P879" s="18" t="inlineStr">
        <is>
          <t>KHÔNG ĐỀ XUẤT TĂNG</t>
        </is>
      </c>
      <c r="Q879" s="17" t="inlineStr">
        <is>
          <t>Có</t>
        </is>
      </c>
      <c r="R879" s="20" t="n"/>
      <c r="S879" s="20" t="n"/>
      <c r="T879" s="21" t="n"/>
      <c r="U879" s="21" t="n"/>
      <c r="V879" s="22">
        <f>IF(U879="A",K879,IF(U879="B",L879,IF(U879="C",M879,IF(N879="A",K879,IF(N879="B",L879,M879)))))</f>
        <v/>
      </c>
      <c r="W879" s="22">
        <f>IF(R879="",O879,MAX(V879-R879-N(S879),0))</f>
        <v/>
      </c>
      <c r="X879" s="20" t="n"/>
      <c r="Y879" s="23">
        <f>IF(OR(X879="",W879=0),"",X879/W879-1)</f>
        <v/>
      </c>
      <c r="Z879" s="24" t="n"/>
      <c r="AA879" s="21" t="n"/>
      <c r="AB879" s="25" t="n"/>
      <c r="AC879" s="26">
        <f>IF(T879="","Chưa quyết định",IF(OR(Z879="",AA879=""),"⚠ Thiếu lý do/người duyệt",IF(AND(X879&lt;&gt;"",N(X879)+N(R879)+N(S879)&gt;M879*1.001,R879&lt;&gt;""),"⚠ Vượt mục tiêu P90",IF(AND(Y879&lt;&gt;"",ABS(N(Y879))&gt;0.3),"⚠ Lệch &gt; 30% so với nhu cầu",IF(Q879="Có","ℹ Kiểm tra ngoại suy KM","✓ Hợp lệ")))))</f>
        <v/>
      </c>
    </row>
    <row r="880">
      <c r="A880" s="16" t="n">
        <v>876</v>
      </c>
      <c r="B880" s="17" t="inlineStr">
        <is>
          <t>DEC-S48-LINGERIE</t>
        </is>
      </c>
      <c r="C880" s="16" t="n">
        <v>48</v>
      </c>
      <c r="D880" s="17" t="inlineStr">
        <is>
          <t>LINGERIE</t>
        </is>
      </c>
      <c r="E880" s="17" t="inlineStr">
        <is>
          <t>HIGH</t>
        </is>
      </c>
      <c r="F880" s="17" t="inlineStr">
        <is>
          <t>TRUNG BÌNH</t>
        </is>
      </c>
      <c r="G880" s="18" t="inlineStr">
        <is>
          <t>RISK_HIGH · PROMO_EXTRAPOLATION</t>
        </is>
      </c>
      <c r="H880" s="19" t="n">
        <v>11.09498825669289</v>
      </c>
      <c r="I880" s="19" t="n">
        <v>51.88583669066429</v>
      </c>
      <c r="J880" s="19" t="n">
        <v>146.4703021943569</v>
      </c>
      <c r="K880" s="19" t="n">
        <v>51.88583669066429</v>
      </c>
      <c r="L880" s="19" t="n">
        <v>111.0011276304722</v>
      </c>
      <c r="M880" s="19" t="n">
        <v>146.4703021943569</v>
      </c>
      <c r="N880" s="17" t="inlineStr">
        <is>
          <t>B</t>
        </is>
      </c>
      <c r="O880" s="19" t="n">
        <v>69.49245827794074</v>
      </c>
      <c r="P880" s="18" t="inlineStr">
        <is>
          <t>KHÔNG ĐỀ XUẤT TĂNG</t>
        </is>
      </c>
      <c r="Q880" s="17" t="inlineStr">
        <is>
          <t>Có</t>
        </is>
      </c>
      <c r="R880" s="20" t="n"/>
      <c r="S880" s="20" t="n"/>
      <c r="T880" s="21" t="n"/>
      <c r="U880" s="21" t="n"/>
      <c r="V880" s="22">
        <f>IF(U880="A",K880,IF(U880="B",L880,IF(U880="C",M880,IF(N880="A",K880,IF(N880="B",L880,M880)))))</f>
        <v/>
      </c>
      <c r="W880" s="22">
        <f>IF(R880="",O880,MAX(V880-R880-N(S880),0))</f>
        <v/>
      </c>
      <c r="X880" s="20" t="n"/>
      <c r="Y880" s="23">
        <f>IF(OR(X880="",W880=0),"",X880/W880-1)</f>
        <v/>
      </c>
      <c r="Z880" s="24" t="n"/>
      <c r="AA880" s="21" t="n"/>
      <c r="AB880" s="25" t="n"/>
      <c r="AC880" s="26">
        <f>IF(T880="","Chưa quyết định",IF(OR(Z880="",AA880=""),"⚠ Thiếu lý do/người duyệt",IF(AND(X880&lt;&gt;"",N(X880)+N(R880)+N(S880)&gt;M880*1.001,R880&lt;&gt;""),"⚠ Vượt mục tiêu P90",IF(AND(Y880&lt;&gt;"",ABS(N(Y880))&gt;0.3),"⚠ Lệch &gt; 30% so với nhu cầu",IF(Q880="Có","ℹ Kiểm tra ngoại suy KM","✓ Hợp lệ")))))</f>
        <v/>
      </c>
    </row>
    <row r="881">
      <c r="A881" s="16" t="n">
        <v>877</v>
      </c>
      <c r="B881" s="17" t="inlineStr">
        <is>
          <t>DEC-S37-LINGERIE</t>
        </is>
      </c>
      <c r="C881" s="16" t="n">
        <v>37</v>
      </c>
      <c r="D881" s="17" t="inlineStr">
        <is>
          <t>LINGERIE</t>
        </is>
      </c>
      <c r="E881" s="17" t="inlineStr">
        <is>
          <t>HIGH</t>
        </is>
      </c>
      <c r="F881" s="17" t="inlineStr">
        <is>
          <t>TRUNG BÌNH</t>
        </is>
      </c>
      <c r="G881" s="18" t="inlineStr">
        <is>
          <t>RISK_HIGH · PROMO_EXTRAPOLATION</t>
        </is>
      </c>
      <c r="H881" s="19" t="n">
        <v>5.418863368034363</v>
      </c>
      <c r="I881" s="19" t="n">
        <v>51.75421905517578</v>
      </c>
      <c r="J881" s="19" t="n">
        <v>152.7259416103363</v>
      </c>
      <c r="K881" s="19" t="n">
        <v>51.75421905517578</v>
      </c>
      <c r="L881" s="19" t="n">
        <v>114.8615456521511</v>
      </c>
      <c r="M881" s="19" t="n">
        <v>152.7259416103363</v>
      </c>
      <c r="N881" s="17" t="inlineStr">
        <is>
          <t>B</t>
        </is>
      </c>
      <c r="O881" s="19" t="n">
        <v>73.45817040801047</v>
      </c>
      <c r="P881" s="18" t="inlineStr">
        <is>
          <t>KHÔNG ĐỀ XUẤT TĂNG</t>
        </is>
      </c>
      <c r="Q881" s="17" t="inlineStr">
        <is>
          <t>Có</t>
        </is>
      </c>
      <c r="R881" s="20" t="n"/>
      <c r="S881" s="20" t="n"/>
      <c r="T881" s="21" t="n"/>
      <c r="U881" s="21" t="n"/>
      <c r="V881" s="22">
        <f>IF(U881="A",K881,IF(U881="B",L881,IF(U881="C",M881,IF(N881="A",K881,IF(N881="B",L881,M881)))))</f>
        <v/>
      </c>
      <c r="W881" s="22">
        <f>IF(R881="",O881,MAX(V881-R881-N(S881),0))</f>
        <v/>
      </c>
      <c r="X881" s="20" t="n"/>
      <c r="Y881" s="23">
        <f>IF(OR(X881="",W881=0),"",X881/W881-1)</f>
        <v/>
      </c>
      <c r="Z881" s="24" t="n"/>
      <c r="AA881" s="21" t="n"/>
      <c r="AB881" s="25" t="n"/>
      <c r="AC881" s="26">
        <f>IF(T881="","Chưa quyết định",IF(OR(Z881="",AA881=""),"⚠ Thiếu lý do/người duyệt",IF(AND(X881&lt;&gt;"",N(X881)+N(R881)+N(S881)&gt;M881*1.001,R881&lt;&gt;""),"⚠ Vượt mục tiêu P90",IF(AND(Y881&lt;&gt;"",ABS(N(Y881))&gt;0.3),"⚠ Lệch &gt; 30% so với nhu cầu",IF(Q881="Có","ℹ Kiểm tra ngoại suy KM","✓ Hợp lệ")))))</f>
        <v/>
      </c>
    </row>
    <row r="882">
      <c r="A882" s="16" t="n">
        <v>878</v>
      </c>
      <c r="B882" s="17" t="inlineStr">
        <is>
          <t>DEC-S45-HOME_APPLIANCES</t>
        </is>
      </c>
      <c r="C882" s="16" t="n">
        <v>45</v>
      </c>
      <c r="D882" s="17" t="inlineStr">
        <is>
          <t>HOME APPLIANCES</t>
        </is>
      </c>
      <c r="E882" s="17" t="inlineStr">
        <is>
          <t>HIGH</t>
        </is>
      </c>
      <c r="F882" s="17" t="inlineStr">
        <is>
          <t>TRUNG BÌNH</t>
        </is>
      </c>
      <c r="G882" s="18" t="inlineStr">
        <is>
          <t>RISK_HIGH · PROMO_EXTRAPOLATION</t>
        </is>
      </c>
      <c r="H882" s="19" t="n">
        <v>7.285813021659852</v>
      </c>
      <c r="I882" s="19" t="n">
        <v>51.53324240446091</v>
      </c>
      <c r="J882" s="19" t="n">
        <v>150.3758792757988</v>
      </c>
      <c r="K882" s="19" t="n">
        <v>51.53324240446091</v>
      </c>
      <c r="L882" s="19" t="n">
        <v>113.3098904490471</v>
      </c>
      <c r="M882" s="19" t="n">
        <v>150.3758792757988</v>
      </c>
      <c r="N882" s="17" t="inlineStr">
        <is>
          <t>B</t>
        </is>
      </c>
      <c r="O882" s="19" t="n">
        <v>72.08329652547836</v>
      </c>
      <c r="P882" s="18" t="inlineStr">
        <is>
          <t>KHÔNG ĐỀ XUẤT TĂNG</t>
        </is>
      </c>
      <c r="Q882" s="17" t="inlineStr">
        <is>
          <t>Có</t>
        </is>
      </c>
      <c r="R882" s="20" t="n"/>
      <c r="S882" s="20" t="n"/>
      <c r="T882" s="21" t="n"/>
      <c r="U882" s="21" t="n"/>
      <c r="V882" s="22">
        <f>IF(U882="A",K882,IF(U882="B",L882,IF(U882="C",M882,IF(N882="A",K882,IF(N882="B",L882,M882)))))</f>
        <v/>
      </c>
      <c r="W882" s="22">
        <f>IF(R882="",O882,MAX(V882-R882-N(S882),0))</f>
        <v/>
      </c>
      <c r="X882" s="20" t="n"/>
      <c r="Y882" s="23">
        <f>IF(OR(X882="",W882=0),"",X882/W882-1)</f>
        <v/>
      </c>
      <c r="Z882" s="24" t="n"/>
      <c r="AA882" s="21" t="n"/>
      <c r="AB882" s="25" t="n"/>
      <c r="AC882" s="26">
        <f>IF(T882="","Chưa quyết định",IF(OR(Z882="",AA882=""),"⚠ Thiếu lý do/người duyệt",IF(AND(X882&lt;&gt;"",N(X882)+N(R882)+N(S882)&gt;M882*1.001,R882&lt;&gt;""),"⚠ Vượt mục tiêu P90",IF(AND(Y882&lt;&gt;"",ABS(N(Y882))&gt;0.3),"⚠ Lệch &gt; 30% so với nhu cầu",IF(Q882="Có","ℹ Kiểm tra ngoại suy KM","✓ Hợp lệ")))))</f>
        <v/>
      </c>
    </row>
    <row r="883">
      <c r="A883" s="16" t="n">
        <v>879</v>
      </c>
      <c r="B883" s="17" t="inlineStr">
        <is>
          <t>DEC-S10-PLAYERS_AND_ELECTRONICS</t>
        </is>
      </c>
      <c r="C883" s="16" t="n">
        <v>10</v>
      </c>
      <c r="D883" s="17" t="inlineStr">
        <is>
          <t>PLAYERS AND ELECTRONICS</t>
        </is>
      </c>
      <c r="E883" s="17" t="inlineStr">
        <is>
          <t>HIGH</t>
        </is>
      </c>
      <c r="F883" s="17" t="inlineStr">
        <is>
          <t>TRUNG BÌNH</t>
        </is>
      </c>
      <c r="G883" s="18" t="inlineStr">
        <is>
          <t>RISK_HIGH · PROMO_EXTRAPOLATION</t>
        </is>
      </c>
      <c r="H883" s="19" t="n">
        <v>7.640050196647644</v>
      </c>
      <c r="I883" s="19" t="n">
        <v>50.99851143360138</v>
      </c>
      <c r="J883" s="19" t="n">
        <v>147.7120626211166</v>
      </c>
      <c r="K883" s="19" t="n">
        <v>50.99851143360138</v>
      </c>
      <c r="L883" s="19" t="n">
        <v>111.4444809257984</v>
      </c>
      <c r="M883" s="19" t="n">
        <v>147.7120626211166</v>
      </c>
      <c r="N883" s="17" t="inlineStr">
        <is>
          <t>B</t>
        </is>
      </c>
      <c r="O883" s="19" t="n">
        <v>70.6456717789173</v>
      </c>
      <c r="P883" s="18" t="inlineStr">
        <is>
          <t>KHÔNG ĐỀ XUẤT TĂNG</t>
        </is>
      </c>
      <c r="Q883" s="17" t="inlineStr">
        <is>
          <t>Có</t>
        </is>
      </c>
      <c r="R883" s="20" t="n"/>
      <c r="S883" s="20" t="n"/>
      <c r="T883" s="21" t="n"/>
      <c r="U883" s="21" t="n"/>
      <c r="V883" s="22">
        <f>IF(U883="A",K883,IF(U883="B",L883,IF(U883="C",M883,IF(N883="A",K883,IF(N883="B",L883,M883)))))</f>
        <v/>
      </c>
      <c r="W883" s="22">
        <f>IF(R883="",O883,MAX(V883-R883-N(S883),0))</f>
        <v/>
      </c>
      <c r="X883" s="20" t="n"/>
      <c r="Y883" s="23">
        <f>IF(OR(X883="",W883=0),"",X883/W883-1)</f>
        <v/>
      </c>
      <c r="Z883" s="24" t="n"/>
      <c r="AA883" s="21" t="n"/>
      <c r="AB883" s="25" t="n"/>
      <c r="AC883" s="26">
        <f>IF(T883="","Chưa quyết định",IF(OR(Z883="",AA883=""),"⚠ Thiếu lý do/người duyệt",IF(AND(X883&lt;&gt;"",N(X883)+N(R883)+N(S883)&gt;M883*1.001,R883&lt;&gt;""),"⚠ Vượt mục tiêu P90",IF(AND(Y883&lt;&gt;"",ABS(N(Y883))&gt;0.3),"⚠ Lệch &gt; 30% so với nhu cầu",IF(Q883="Có","ℹ Kiểm tra ngoại suy KM","✓ Hợp lệ")))))</f>
        <v/>
      </c>
    </row>
    <row r="884">
      <c r="A884" s="16" t="n">
        <v>880</v>
      </c>
      <c r="B884" s="17" t="inlineStr">
        <is>
          <t>DEC-S15-LINGERIE</t>
        </is>
      </c>
      <c r="C884" s="16" t="n">
        <v>15</v>
      </c>
      <c r="D884" s="17" t="inlineStr">
        <is>
          <t>LINGERIE</t>
        </is>
      </c>
      <c r="E884" s="17" t="inlineStr">
        <is>
          <t>HIGH</t>
        </is>
      </c>
      <c r="F884" s="17" t="inlineStr">
        <is>
          <t>TRUNG BÌNH</t>
        </is>
      </c>
      <c r="G884" s="18" t="inlineStr">
        <is>
          <t>RISK_HIGH · PROMO_EXTRAPOLATION</t>
        </is>
      </c>
      <c r="H884" s="19" t="n">
        <v>10.35791752338409</v>
      </c>
      <c r="I884" s="19" t="n">
        <v>50.76803029328585</v>
      </c>
      <c r="J884" s="19" t="n">
        <v>146.9618488147855</v>
      </c>
      <c r="K884" s="19" t="n">
        <v>50.76803029328585</v>
      </c>
      <c r="L884" s="19" t="n">
        <v>110.8891668692231</v>
      </c>
      <c r="M884" s="19" t="n">
        <v>146.9618488147855</v>
      </c>
      <c r="N884" s="17" t="inlineStr">
        <is>
          <t>B</t>
        </is>
      </c>
      <c r="O884" s="19" t="n">
        <v>70.27474263459445</v>
      </c>
      <c r="P884" s="18" t="inlineStr">
        <is>
          <t>KHÔNG ĐỀ XUẤT TĂNG</t>
        </is>
      </c>
      <c r="Q884" s="17" t="inlineStr">
        <is>
          <t>Có</t>
        </is>
      </c>
      <c r="R884" s="20" t="n"/>
      <c r="S884" s="20" t="n"/>
      <c r="T884" s="21" t="n"/>
      <c r="U884" s="21" t="n"/>
      <c r="V884" s="22">
        <f>IF(U884="A",K884,IF(U884="B",L884,IF(U884="C",M884,IF(N884="A",K884,IF(N884="B",L884,M884)))))</f>
        <v/>
      </c>
      <c r="W884" s="22">
        <f>IF(R884="",O884,MAX(V884-R884-N(S884),0))</f>
        <v/>
      </c>
      <c r="X884" s="20" t="n"/>
      <c r="Y884" s="23">
        <f>IF(OR(X884="",W884=0),"",X884/W884-1)</f>
        <v/>
      </c>
      <c r="Z884" s="24" t="n"/>
      <c r="AA884" s="21" t="n"/>
      <c r="AB884" s="25" t="n"/>
      <c r="AC884" s="26">
        <f>IF(T884="","Chưa quyết định",IF(OR(Z884="",AA884=""),"⚠ Thiếu lý do/người duyệt",IF(AND(X884&lt;&gt;"",N(X884)+N(R884)+N(S884)&gt;M884*1.001,R884&lt;&gt;""),"⚠ Vượt mục tiêu P90",IF(AND(Y884&lt;&gt;"",ABS(N(Y884))&gt;0.3),"⚠ Lệch &gt; 30% so với nhu cầu",IF(Q884="Có","ℹ Kiểm tra ngoại suy KM","✓ Hợp lệ")))))</f>
        <v/>
      </c>
    </row>
    <row r="885">
      <c r="A885" s="16" t="n">
        <v>881</v>
      </c>
      <c r="B885" s="17" t="inlineStr">
        <is>
          <t>DEC-S16-AUTOMOTIVE</t>
        </is>
      </c>
      <c r="C885" s="16" t="n">
        <v>16</v>
      </c>
      <c r="D885" s="17" t="inlineStr">
        <is>
          <t>AUTOMOTIVE</t>
        </is>
      </c>
      <c r="E885" s="17" t="inlineStr">
        <is>
          <t>HIGH</t>
        </is>
      </c>
      <c r="F885" s="17" t="inlineStr">
        <is>
          <t>TRUNG BÌNH</t>
        </is>
      </c>
      <c r="G885" s="18" t="inlineStr">
        <is>
          <t>RISK_HIGH · PROMO_EXTRAPOLATION</t>
        </is>
      </c>
      <c r="H885" s="19" t="n">
        <v>4.070120316743851</v>
      </c>
      <c r="I885" s="19" t="n">
        <v>50.63384929671884</v>
      </c>
      <c r="J885" s="19" t="n">
        <v>149.7363525010645</v>
      </c>
      <c r="K885" s="19" t="n">
        <v>50.63384929671884</v>
      </c>
      <c r="L885" s="19" t="n">
        <v>112.5729137994349</v>
      </c>
      <c r="M885" s="19" t="n">
        <v>149.7363525010645</v>
      </c>
      <c r="N885" s="17" t="inlineStr">
        <is>
          <t>B</t>
        </is>
      </c>
      <c r="O885" s="19" t="n">
        <v>72.06583436205983</v>
      </c>
      <c r="P885" s="18" t="inlineStr">
        <is>
          <t>KHÔNG ĐỀ XUẤT TĂNG</t>
        </is>
      </c>
      <c r="Q885" s="17" t="inlineStr">
        <is>
          <t>Có</t>
        </is>
      </c>
      <c r="R885" s="20" t="n"/>
      <c r="S885" s="20" t="n"/>
      <c r="T885" s="21" t="n"/>
      <c r="U885" s="21" t="n"/>
      <c r="V885" s="22">
        <f>IF(U885="A",K885,IF(U885="B",L885,IF(U885="C",M885,IF(N885="A",K885,IF(N885="B",L885,M885)))))</f>
        <v/>
      </c>
      <c r="W885" s="22">
        <f>IF(R885="",O885,MAX(V885-R885-N(S885),0))</f>
        <v/>
      </c>
      <c r="X885" s="20" t="n"/>
      <c r="Y885" s="23">
        <f>IF(OR(X885="",W885=0),"",X885/W885-1)</f>
        <v/>
      </c>
      <c r="Z885" s="24" t="n"/>
      <c r="AA885" s="21" t="n"/>
      <c r="AB885" s="25" t="n"/>
      <c r="AC885" s="26">
        <f>IF(T885="","Chưa quyết định",IF(OR(Z885="",AA885=""),"⚠ Thiếu lý do/người duyệt",IF(AND(X885&lt;&gt;"",N(X885)+N(R885)+N(S885)&gt;M885*1.001,R885&lt;&gt;""),"⚠ Vượt mục tiêu P90",IF(AND(Y885&lt;&gt;"",ABS(N(Y885))&gt;0.3),"⚠ Lệch &gt; 30% so với nhu cầu",IF(Q885="Có","ℹ Kiểm tra ngoại suy KM","✓ Hợp lệ")))))</f>
        <v/>
      </c>
    </row>
    <row r="886">
      <c r="A886" s="16" t="n">
        <v>882</v>
      </c>
      <c r="B886" s="17" t="inlineStr">
        <is>
          <t>DEC-S30-CELEBRATION</t>
        </is>
      </c>
      <c r="C886" s="16" t="n">
        <v>30</v>
      </c>
      <c r="D886" s="17" t="inlineStr">
        <is>
          <t>CELEBRATION</t>
        </is>
      </c>
      <c r="E886" s="17" t="inlineStr">
        <is>
          <t>HIGH</t>
        </is>
      </c>
      <c r="F886" s="17" t="inlineStr">
        <is>
          <t>TRUNG BÌNH</t>
        </is>
      </c>
      <c r="G886" s="18" t="inlineStr">
        <is>
          <t>RISK_HIGH · PROMO_EXTRAPOLATION</t>
        </is>
      </c>
      <c r="H886" s="19" t="n">
        <v>10.9164293050766</v>
      </c>
      <c r="I886" s="19" t="n">
        <v>50.61760318279266</v>
      </c>
      <c r="J886" s="19" t="n">
        <v>144.9422023534775</v>
      </c>
      <c r="K886" s="19" t="n">
        <v>50.61760318279266</v>
      </c>
      <c r="L886" s="19" t="n">
        <v>109.5704776644707</v>
      </c>
      <c r="M886" s="19" t="n">
        <v>144.9422023534775</v>
      </c>
      <c r="N886" s="17" t="inlineStr">
        <is>
          <t>B</t>
        </is>
      </c>
      <c r="O886" s="19" t="n">
        <v>69.07639511823655</v>
      </c>
      <c r="P886" s="18" t="inlineStr">
        <is>
          <t>KHÔNG ĐỀ XUẤT TĂNG</t>
        </is>
      </c>
      <c r="Q886" s="17" t="inlineStr">
        <is>
          <t>Có</t>
        </is>
      </c>
      <c r="R886" s="20" t="n"/>
      <c r="S886" s="20" t="n"/>
      <c r="T886" s="21" t="n"/>
      <c r="U886" s="21" t="n"/>
      <c r="V886" s="22">
        <f>IF(U886="A",K886,IF(U886="B",L886,IF(U886="C",M886,IF(N886="A",K886,IF(N886="B",L886,M886)))))</f>
        <v/>
      </c>
      <c r="W886" s="22">
        <f>IF(R886="",O886,MAX(V886-R886-N(S886),0))</f>
        <v/>
      </c>
      <c r="X886" s="20" t="n"/>
      <c r="Y886" s="23">
        <f>IF(OR(X886="",W886=0),"",X886/W886-1)</f>
        <v/>
      </c>
      <c r="Z886" s="24" t="n"/>
      <c r="AA886" s="21" t="n"/>
      <c r="AB886" s="25" t="n"/>
      <c r="AC886" s="26">
        <f>IF(T886="","Chưa quyết định",IF(OR(Z886="",AA886=""),"⚠ Thiếu lý do/người duyệt",IF(AND(X886&lt;&gt;"",N(X886)+N(R886)+N(S886)&gt;M886*1.001,R886&lt;&gt;""),"⚠ Vượt mục tiêu P90",IF(AND(Y886&lt;&gt;"",ABS(N(Y886))&gt;0.3),"⚠ Lệch &gt; 30% so với nhu cầu",IF(Q886="Có","ℹ Kiểm tra ngoại suy KM","✓ Hợp lệ")))))</f>
        <v/>
      </c>
    </row>
    <row r="887">
      <c r="A887" s="16" t="n">
        <v>883</v>
      </c>
      <c r="B887" s="17" t="inlineStr">
        <is>
          <t>DEC-S15-AUTOMOTIVE</t>
        </is>
      </c>
      <c r="C887" s="16" t="n">
        <v>15</v>
      </c>
      <c r="D887" s="17" t="inlineStr">
        <is>
          <t>AUTOMOTIVE</t>
        </is>
      </c>
      <c r="E887" s="17" t="inlineStr">
        <is>
          <t>HIGH</t>
        </is>
      </c>
      <c r="F887" s="17" t="inlineStr">
        <is>
          <t>TRUNG BÌNH</t>
        </is>
      </c>
      <c r="G887" s="18" t="inlineStr">
        <is>
          <t>RISK_HIGH · PROMO_EXTRAPOLATION</t>
        </is>
      </c>
      <c r="H887" s="19" t="n">
        <v>9.1375923037529</v>
      </c>
      <c r="I887" s="19" t="n">
        <v>50.10082828998566</v>
      </c>
      <c r="J887" s="19" t="n">
        <v>146.5545131444931</v>
      </c>
      <c r="K887" s="19" t="n">
        <v>50.10082828998566</v>
      </c>
      <c r="L887" s="19" t="n">
        <v>110.3843813240528</v>
      </c>
      <c r="M887" s="19" t="n">
        <v>146.5545131444931</v>
      </c>
      <c r="N887" s="17" t="inlineStr">
        <is>
          <t>B</t>
        </is>
      </c>
      <c r="O887" s="19" t="n">
        <v>70.30371869206428</v>
      </c>
      <c r="P887" s="18" t="inlineStr">
        <is>
          <t>KHÔNG ĐỀ XUẤT TĂNG</t>
        </is>
      </c>
      <c r="Q887" s="17" t="inlineStr">
        <is>
          <t>Có</t>
        </is>
      </c>
      <c r="R887" s="20" t="n"/>
      <c r="S887" s="20" t="n"/>
      <c r="T887" s="21" t="n"/>
      <c r="U887" s="21" t="n"/>
      <c r="V887" s="22">
        <f>IF(U887="A",K887,IF(U887="B",L887,IF(U887="C",M887,IF(N887="A",K887,IF(N887="B",L887,M887)))))</f>
        <v/>
      </c>
      <c r="W887" s="22">
        <f>IF(R887="",O887,MAX(V887-R887-N(S887),0))</f>
        <v/>
      </c>
      <c r="X887" s="20" t="n"/>
      <c r="Y887" s="23">
        <f>IF(OR(X887="",W887=0),"",X887/W887-1)</f>
        <v/>
      </c>
      <c r="Z887" s="24" t="n"/>
      <c r="AA887" s="21" t="n"/>
      <c r="AB887" s="25" t="n"/>
      <c r="AC887" s="26">
        <f>IF(T887="","Chưa quyết định",IF(OR(Z887="",AA887=""),"⚠ Thiếu lý do/người duyệt",IF(AND(X887&lt;&gt;"",N(X887)+N(R887)+N(S887)&gt;M887*1.001,R887&lt;&gt;""),"⚠ Vượt mục tiêu P90",IF(AND(Y887&lt;&gt;"",ABS(N(Y887))&gt;0.3),"⚠ Lệch &gt; 30% so với nhu cầu",IF(Q887="Có","ℹ Kiểm tra ngoại suy KM","✓ Hợp lệ")))))</f>
        <v/>
      </c>
    </row>
    <row r="888">
      <c r="A888" s="16" t="n">
        <v>884</v>
      </c>
      <c r="B888" s="17" t="inlineStr">
        <is>
          <t>DEC-S20-MAGAZINES</t>
        </is>
      </c>
      <c r="C888" s="16" t="n">
        <v>20</v>
      </c>
      <c r="D888" s="17" t="inlineStr">
        <is>
          <t>MAGAZINES</t>
        </is>
      </c>
      <c r="E888" s="17" t="inlineStr">
        <is>
          <t>HIGH</t>
        </is>
      </c>
      <c r="F888" s="17" t="inlineStr">
        <is>
          <t>TRUNG BÌNH</t>
        </is>
      </c>
      <c r="G888" s="18" t="inlineStr">
        <is>
          <t>RISK_HIGH · PROMO_EXTRAPOLATION</t>
        </is>
      </c>
      <c r="H888" s="19" t="n">
        <v>5.750773388147354</v>
      </c>
      <c r="I888" s="19" t="n">
        <v>49.80449745059013</v>
      </c>
      <c r="J888" s="19" t="n">
        <v>148.647134321928</v>
      </c>
      <c r="K888" s="19" t="n">
        <v>49.80449745059013</v>
      </c>
      <c r="L888" s="19" t="n">
        <v>111.5811454951763</v>
      </c>
      <c r="M888" s="19" t="n">
        <v>148.647134321928</v>
      </c>
      <c r="N888" s="17" t="inlineStr">
        <is>
          <t>B</t>
        </is>
      </c>
      <c r="O888" s="19" t="n">
        <v>71.73754753470421</v>
      </c>
      <c r="P888" s="18" t="inlineStr">
        <is>
          <t>KHÔNG ĐỀ XUẤT TĂNG</t>
        </is>
      </c>
      <c r="Q888" s="17" t="inlineStr">
        <is>
          <t>Có</t>
        </is>
      </c>
      <c r="R888" s="20" t="n"/>
      <c r="S888" s="20" t="n"/>
      <c r="T888" s="21" t="n"/>
      <c r="U888" s="21" t="n"/>
      <c r="V888" s="22">
        <f>IF(U888="A",K888,IF(U888="B",L888,IF(U888="C",M888,IF(N888="A",K888,IF(N888="B",L888,M888)))))</f>
        <v/>
      </c>
      <c r="W888" s="22">
        <f>IF(R888="",O888,MAX(V888-R888-N(S888),0))</f>
        <v/>
      </c>
      <c r="X888" s="20" t="n"/>
      <c r="Y888" s="23">
        <f>IF(OR(X888="",W888=0),"",X888/W888-1)</f>
        <v/>
      </c>
      <c r="Z888" s="24" t="n"/>
      <c r="AA888" s="21" t="n"/>
      <c r="AB888" s="25" t="n"/>
      <c r="AC888" s="26">
        <f>IF(T888="","Chưa quyết định",IF(OR(Z888="",AA888=""),"⚠ Thiếu lý do/người duyệt",IF(AND(X888&lt;&gt;"",N(X888)+N(R888)+N(S888)&gt;M888*1.001,R888&lt;&gt;""),"⚠ Vượt mục tiêu P90",IF(AND(Y888&lt;&gt;"",ABS(N(Y888))&gt;0.3),"⚠ Lệch &gt; 30% so với nhu cầu",IF(Q888="Có","ℹ Kiểm tra ngoại suy KM","✓ Hợp lệ")))))</f>
        <v/>
      </c>
    </row>
    <row r="889">
      <c r="A889" s="16" t="n">
        <v>885</v>
      </c>
      <c r="B889" s="17" t="inlineStr">
        <is>
          <t>DEC-S13-BEAUTY</t>
        </is>
      </c>
      <c r="C889" s="16" t="n">
        <v>13</v>
      </c>
      <c r="D889" s="17" t="inlineStr">
        <is>
          <t>BEAUTY</t>
        </is>
      </c>
      <c r="E889" s="17" t="inlineStr">
        <is>
          <t>HIGH</t>
        </is>
      </c>
      <c r="F889" s="17" t="inlineStr">
        <is>
          <t>TRUNG BÌNH</t>
        </is>
      </c>
      <c r="G889" s="18" t="inlineStr">
        <is>
          <t>RISK_HIGH · PROMO_EXTRAPOLATION</t>
        </is>
      </c>
      <c r="H889" s="19" t="n">
        <v>15.93347378373146</v>
      </c>
      <c r="I889" s="19" t="n">
        <v>49.58544827252626</v>
      </c>
      <c r="J889" s="19" t="n">
        <v>141.7809617593884</v>
      </c>
      <c r="K889" s="19" t="n">
        <v>49.58544827252626</v>
      </c>
      <c r="L889" s="19" t="n">
        <v>107.2076442018151</v>
      </c>
      <c r="M889" s="19" t="n">
        <v>141.7809617593884</v>
      </c>
      <c r="N889" s="17" t="inlineStr">
        <is>
          <t>B</t>
        </is>
      </c>
      <c r="O889" s="19" t="n">
        <v>67.53928558379411</v>
      </c>
      <c r="P889" s="18" t="inlineStr">
        <is>
          <t>KHÔNG ĐỀ XUẤT TĂNG</t>
        </is>
      </c>
      <c r="Q889" s="17" t="inlineStr">
        <is>
          <t>Có</t>
        </is>
      </c>
      <c r="R889" s="20" t="n"/>
      <c r="S889" s="20" t="n"/>
      <c r="T889" s="21" t="n"/>
      <c r="U889" s="21" t="n"/>
      <c r="V889" s="22">
        <f>IF(U889="A",K889,IF(U889="B",L889,IF(U889="C",M889,IF(N889="A",K889,IF(N889="B",L889,M889)))))</f>
        <v/>
      </c>
      <c r="W889" s="22">
        <f>IF(R889="",O889,MAX(V889-R889-N(S889),0))</f>
        <v/>
      </c>
      <c r="X889" s="20" t="n"/>
      <c r="Y889" s="23">
        <f>IF(OR(X889="",W889=0),"",X889/W889-1)</f>
        <v/>
      </c>
      <c r="Z889" s="24" t="n"/>
      <c r="AA889" s="21" t="n"/>
      <c r="AB889" s="25" t="n"/>
      <c r="AC889" s="26">
        <f>IF(T889="","Chưa quyết định",IF(OR(Z889="",AA889=""),"⚠ Thiếu lý do/người duyệt",IF(AND(X889&lt;&gt;"",N(X889)+N(R889)+N(S889)&gt;M889*1.001,R889&lt;&gt;""),"⚠ Vượt mục tiêu P90",IF(AND(Y889&lt;&gt;"",ABS(N(Y889))&gt;0.3),"⚠ Lệch &gt; 30% so với nhu cầu",IF(Q889="Có","ℹ Kiểm tra ngoại suy KM","✓ Hợp lệ")))))</f>
        <v/>
      </c>
    </row>
    <row r="890">
      <c r="A890" s="16" t="n">
        <v>886</v>
      </c>
      <c r="B890" s="17" t="inlineStr">
        <is>
          <t>DEC-S46-HARDWARE</t>
        </is>
      </c>
      <c r="C890" s="16" t="n">
        <v>46</v>
      </c>
      <c r="D890" s="17" t="inlineStr">
        <is>
          <t>HARDWARE</t>
        </is>
      </c>
      <c r="E890" s="17" t="inlineStr">
        <is>
          <t>HIGH</t>
        </is>
      </c>
      <c r="F890" s="17" t="inlineStr">
        <is>
          <t>TRUNG BÌNH</t>
        </is>
      </c>
      <c r="G890" s="18" t="inlineStr">
        <is>
          <t>RISK_HIGH · PROMO_EXTRAPOLATION</t>
        </is>
      </c>
      <c r="H890" s="19" t="n">
        <v>4.700868779420853</v>
      </c>
      <c r="I890" s="19" t="n">
        <v>49.56799963116646</v>
      </c>
      <c r="J890" s="19" t="n">
        <v>148.6705028355122</v>
      </c>
      <c r="K890" s="19" t="n">
        <v>49.56799963116646</v>
      </c>
      <c r="L890" s="19" t="n">
        <v>111.5070641338825</v>
      </c>
      <c r="M890" s="19" t="n">
        <v>148.6705028355122</v>
      </c>
      <c r="N890" s="17" t="inlineStr">
        <is>
          <t>B</t>
        </is>
      </c>
      <c r="O890" s="19" t="n">
        <v>71.85266442894935</v>
      </c>
      <c r="P890" s="18" t="inlineStr">
        <is>
          <t>KHÔNG ĐỀ XUẤT TĂNG</t>
        </is>
      </c>
      <c r="Q890" s="17" t="inlineStr">
        <is>
          <t>Có</t>
        </is>
      </c>
      <c r="R890" s="20" t="n"/>
      <c r="S890" s="20" t="n"/>
      <c r="T890" s="21" t="n"/>
      <c r="U890" s="21" t="n"/>
      <c r="V890" s="22">
        <f>IF(U890="A",K890,IF(U890="B",L890,IF(U890="C",M890,IF(N890="A",K890,IF(N890="B",L890,M890)))))</f>
        <v/>
      </c>
      <c r="W890" s="22">
        <f>IF(R890="",O890,MAX(V890-R890-N(S890),0))</f>
        <v/>
      </c>
      <c r="X890" s="20" t="n"/>
      <c r="Y890" s="23">
        <f>IF(OR(X890="",W890=0),"",X890/W890-1)</f>
        <v/>
      </c>
      <c r="Z890" s="24" t="n"/>
      <c r="AA890" s="21" t="n"/>
      <c r="AB890" s="25" t="n"/>
      <c r="AC890" s="26">
        <f>IF(T890="","Chưa quyết định",IF(OR(Z890="",AA890=""),"⚠ Thiếu lý do/người duyệt",IF(AND(X890&lt;&gt;"",N(X890)+N(R890)+N(S890)&gt;M890*1.001,R890&lt;&gt;""),"⚠ Vượt mục tiêu P90",IF(AND(Y890&lt;&gt;"",ABS(N(Y890))&gt;0.3),"⚠ Lệch &gt; 30% so với nhu cầu",IF(Q890="Có","ℹ Kiểm tra ngoại suy KM","✓ Hợp lệ")))))</f>
        <v/>
      </c>
    </row>
    <row r="891">
      <c r="A891" s="16" t="n">
        <v>887</v>
      </c>
      <c r="B891" s="17" t="inlineStr">
        <is>
          <t>DEC-S22-AUTOMOTIVE</t>
        </is>
      </c>
      <c r="C891" s="16" t="n">
        <v>22</v>
      </c>
      <c r="D891" s="17" t="inlineStr">
        <is>
          <t>AUTOMOTIVE</t>
        </is>
      </c>
      <c r="E891" s="17" t="inlineStr">
        <is>
          <t>HIGH</t>
        </is>
      </c>
      <c r="F891" s="17" t="inlineStr">
        <is>
          <t>TRUNG BÌNH</t>
        </is>
      </c>
      <c r="G891" s="18" t="inlineStr">
        <is>
          <t>RISK_HIGH · PROMO_EXTRAPOLATION</t>
        </is>
      </c>
      <c r="H891" s="19" t="n">
        <v>5.510514941811562</v>
      </c>
      <c r="I891" s="19" t="n">
        <v>49.5337537676096</v>
      </c>
      <c r="J891" s="19" t="n">
        <v>148.3763906389475</v>
      </c>
      <c r="K891" s="19" t="n">
        <v>49.5337537676096</v>
      </c>
      <c r="L891" s="19" t="n">
        <v>111.3104018121958</v>
      </c>
      <c r="M891" s="19" t="n">
        <v>148.3763906389475</v>
      </c>
      <c r="N891" s="17" t="inlineStr">
        <is>
          <t>B</t>
        </is>
      </c>
      <c r="O891" s="19" t="n">
        <v>71.68339879810812</v>
      </c>
      <c r="P891" s="18" t="inlineStr">
        <is>
          <t>KHÔNG ĐỀ XUẤT TĂNG</t>
        </is>
      </c>
      <c r="Q891" s="17" t="inlineStr">
        <is>
          <t>Có</t>
        </is>
      </c>
      <c r="R891" s="20" t="n"/>
      <c r="S891" s="20" t="n"/>
      <c r="T891" s="21" t="n"/>
      <c r="U891" s="21" t="n"/>
      <c r="V891" s="22">
        <f>IF(U891="A",K891,IF(U891="B",L891,IF(U891="C",M891,IF(N891="A",K891,IF(N891="B",L891,M891)))))</f>
        <v/>
      </c>
      <c r="W891" s="22">
        <f>IF(R891="",O891,MAX(V891-R891-N(S891),0))</f>
        <v/>
      </c>
      <c r="X891" s="20" t="n"/>
      <c r="Y891" s="23">
        <f>IF(OR(X891="",W891=0),"",X891/W891-1)</f>
        <v/>
      </c>
      <c r="Z891" s="24" t="n"/>
      <c r="AA891" s="21" t="n"/>
      <c r="AB891" s="25" t="n"/>
      <c r="AC891" s="26">
        <f>IF(T891="","Chưa quyết định",IF(OR(Z891="",AA891=""),"⚠ Thiếu lý do/người duyệt",IF(AND(X891&lt;&gt;"",N(X891)+N(R891)+N(S891)&gt;M891*1.001,R891&lt;&gt;""),"⚠ Vượt mục tiêu P90",IF(AND(Y891&lt;&gt;"",ABS(N(Y891))&gt;0.3),"⚠ Lệch &gt; 30% so với nhu cầu",IF(Q891="Có","ℹ Kiểm tra ngoại suy KM","✓ Hợp lệ")))))</f>
        <v/>
      </c>
    </row>
    <row r="892">
      <c r="A892" s="16" t="n">
        <v>888</v>
      </c>
      <c r="B892" s="17" t="inlineStr">
        <is>
          <t>DEC-S05-PET_SUPPLIES</t>
        </is>
      </c>
      <c r="C892" s="16" t="n">
        <v>5</v>
      </c>
      <c r="D892" s="17" t="inlineStr">
        <is>
          <t>PET SUPPLIES</t>
        </is>
      </c>
      <c r="E892" s="17" t="inlineStr">
        <is>
          <t>HIGH</t>
        </is>
      </c>
      <c r="F892" s="17" t="inlineStr">
        <is>
          <t>TRUNG BÌNH</t>
        </is>
      </c>
      <c r="G892" s="18" t="inlineStr">
        <is>
          <t>RISK_HIGH · PROMO_EXTRAPOLATION</t>
        </is>
      </c>
      <c r="H892" s="19" t="n">
        <v>5.678527998924256</v>
      </c>
      <c r="I892" s="19" t="n">
        <v>49.44260078668594</v>
      </c>
      <c r="J892" s="19" t="n">
        <v>148.2852376580238</v>
      </c>
      <c r="K892" s="19" t="n">
        <v>49.44260078668594</v>
      </c>
      <c r="L892" s="19" t="n">
        <v>111.2192488312721</v>
      </c>
      <c r="M892" s="19" t="n">
        <v>148.2852376580238</v>
      </c>
      <c r="N892" s="17" t="inlineStr">
        <is>
          <t>B</t>
        </is>
      </c>
      <c r="O892" s="19" t="n">
        <v>71.66516820192336</v>
      </c>
      <c r="P892" s="18" t="inlineStr">
        <is>
          <t>KHÔNG ĐỀ XUẤT TĂNG</t>
        </is>
      </c>
      <c r="Q892" s="17" t="inlineStr">
        <is>
          <t>Có</t>
        </is>
      </c>
      <c r="R892" s="20" t="n"/>
      <c r="S892" s="20" t="n"/>
      <c r="T892" s="21" t="n"/>
      <c r="U892" s="21" t="n"/>
      <c r="V892" s="22">
        <f>IF(U892="A",K892,IF(U892="B",L892,IF(U892="C",M892,IF(N892="A",K892,IF(N892="B",L892,M892)))))</f>
        <v/>
      </c>
      <c r="W892" s="22">
        <f>IF(R892="",O892,MAX(V892-R892-N(S892),0))</f>
        <v/>
      </c>
      <c r="X892" s="20" t="n"/>
      <c r="Y892" s="23">
        <f>IF(OR(X892="",W892=0),"",X892/W892-1)</f>
        <v/>
      </c>
      <c r="Z892" s="24" t="n"/>
      <c r="AA892" s="21" t="n"/>
      <c r="AB892" s="25" t="n"/>
      <c r="AC892" s="26">
        <f>IF(T892="","Chưa quyết định",IF(OR(Z892="",AA892=""),"⚠ Thiếu lý do/người duyệt",IF(AND(X892&lt;&gt;"",N(X892)+N(R892)+N(S892)&gt;M892*1.001,R892&lt;&gt;""),"⚠ Vượt mục tiêu P90",IF(AND(Y892&lt;&gt;"",ABS(N(Y892))&gt;0.3),"⚠ Lệch &gt; 30% so với nhu cầu",IF(Q892="Có","ℹ Kiểm tra ngoại suy KM","✓ Hợp lệ")))))</f>
        <v/>
      </c>
    </row>
    <row r="893">
      <c r="A893" s="16" t="n">
        <v>889</v>
      </c>
      <c r="B893" s="17" t="inlineStr">
        <is>
          <t>DEC-S40-MAGAZINES</t>
        </is>
      </c>
      <c r="C893" s="16" t="n">
        <v>40</v>
      </c>
      <c r="D893" s="17" t="inlineStr">
        <is>
          <t>MAGAZINES</t>
        </is>
      </c>
      <c r="E893" s="17" t="inlineStr">
        <is>
          <t>HIGH</t>
        </is>
      </c>
      <c r="F893" s="17" t="inlineStr">
        <is>
          <t>TRUNG BÌNH</t>
        </is>
      </c>
      <c r="G893" s="18" t="inlineStr">
        <is>
          <t>RISK_HIGH · PROMO_EXTRAPOLATION</t>
        </is>
      </c>
      <c r="H893" s="19" t="n">
        <v>3.717534065246582</v>
      </c>
      <c r="I893" s="19" t="n">
        <v>49.42639947682619</v>
      </c>
      <c r="J893" s="19" t="n">
        <v>150.3981220319867</v>
      </c>
      <c r="K893" s="19" t="n">
        <v>49.42639947682619</v>
      </c>
      <c r="L893" s="19" t="n">
        <v>112.5337260738015</v>
      </c>
      <c r="M893" s="19" t="n">
        <v>150.3981220319867</v>
      </c>
      <c r="N893" s="17" t="inlineStr">
        <is>
          <t>B</t>
        </is>
      </c>
      <c r="O893" s="19" t="n">
        <v>72.99260649234056</v>
      </c>
      <c r="P893" s="18" t="inlineStr">
        <is>
          <t>KHÔNG ĐỀ XUẤT TĂNG</t>
        </is>
      </c>
      <c r="Q893" s="17" t="inlineStr">
        <is>
          <t>Có</t>
        </is>
      </c>
      <c r="R893" s="20" t="n"/>
      <c r="S893" s="20" t="n"/>
      <c r="T893" s="21" t="n"/>
      <c r="U893" s="21" t="n"/>
      <c r="V893" s="22">
        <f>IF(U893="A",K893,IF(U893="B",L893,IF(U893="C",M893,IF(N893="A",K893,IF(N893="B",L893,M893)))))</f>
        <v/>
      </c>
      <c r="W893" s="22">
        <f>IF(R893="",O893,MAX(V893-R893-N(S893),0))</f>
        <v/>
      </c>
      <c r="X893" s="20" t="n"/>
      <c r="Y893" s="23">
        <f>IF(OR(X893="",W893=0),"",X893/W893-1)</f>
        <v/>
      </c>
      <c r="Z893" s="24" t="n"/>
      <c r="AA893" s="21" t="n"/>
      <c r="AB893" s="25" t="n"/>
      <c r="AC893" s="26">
        <f>IF(T893="","Chưa quyết định",IF(OR(Z893="",AA893=""),"⚠ Thiếu lý do/người duyệt",IF(AND(X893&lt;&gt;"",N(X893)+N(R893)+N(S893)&gt;M893*1.001,R893&lt;&gt;""),"⚠ Vượt mục tiêu P90",IF(AND(Y893&lt;&gt;"",ABS(N(Y893))&gt;0.3),"⚠ Lệch &gt; 30% so với nhu cầu",IF(Q893="Có","ℹ Kiểm tra ngoại suy KM","✓ Hợp lệ")))))</f>
        <v/>
      </c>
    </row>
    <row r="894">
      <c r="A894" s="16" t="n">
        <v>890</v>
      </c>
      <c r="B894" s="17" t="inlineStr">
        <is>
          <t>DEC-S17-PET_SUPPLIES</t>
        </is>
      </c>
      <c r="C894" s="16" t="n">
        <v>17</v>
      </c>
      <c r="D894" s="17" t="inlineStr">
        <is>
          <t>PET SUPPLIES</t>
        </is>
      </c>
      <c r="E894" s="17" t="inlineStr">
        <is>
          <t>HIGH</t>
        </is>
      </c>
      <c r="F894" s="17" t="inlineStr">
        <is>
          <t>TRUNG BÌNH</t>
        </is>
      </c>
      <c r="G894" s="18" t="inlineStr">
        <is>
          <t>RISK_HIGH · PROMO_EXTRAPOLATION</t>
        </is>
      </c>
      <c r="H894" s="19" t="n">
        <v>6.384381484985352</v>
      </c>
      <c r="I894" s="19" t="n">
        <v>48.43281698226929</v>
      </c>
      <c r="J894" s="19" t="n">
        <v>147.0155875205994</v>
      </c>
      <c r="K894" s="19" t="n">
        <v>48.43281698226929</v>
      </c>
      <c r="L894" s="19" t="n">
        <v>110.0470485687256</v>
      </c>
      <c r="M894" s="19" t="n">
        <v>147.0155875205994</v>
      </c>
      <c r="N894" s="17" t="inlineStr">
        <is>
          <t>B</t>
        </is>
      </c>
      <c r="O894" s="19" t="n">
        <v>71.30079498291016</v>
      </c>
      <c r="P894" s="18" t="inlineStr">
        <is>
          <t>KHÔNG ĐỀ XUẤT TĂNG</t>
        </is>
      </c>
      <c r="Q894" s="17" t="inlineStr">
        <is>
          <t>Có</t>
        </is>
      </c>
      <c r="R894" s="20" t="n"/>
      <c r="S894" s="20" t="n"/>
      <c r="T894" s="21" t="n"/>
      <c r="U894" s="21" t="n"/>
      <c r="V894" s="22">
        <f>IF(U894="A",K894,IF(U894="B",L894,IF(U894="C",M894,IF(N894="A",K894,IF(N894="B",L894,M894)))))</f>
        <v/>
      </c>
      <c r="W894" s="22">
        <f>IF(R894="",O894,MAX(V894-R894-N(S894),0))</f>
        <v/>
      </c>
      <c r="X894" s="20" t="n"/>
      <c r="Y894" s="23">
        <f>IF(OR(X894="",W894=0),"",X894/W894-1)</f>
        <v/>
      </c>
      <c r="Z894" s="24" t="n"/>
      <c r="AA894" s="21" t="n"/>
      <c r="AB894" s="25" t="n"/>
      <c r="AC894" s="26">
        <f>IF(T894="","Chưa quyết định",IF(OR(Z894="",AA894=""),"⚠ Thiếu lý do/người duyệt",IF(AND(X894&lt;&gt;"",N(X894)+N(R894)+N(S894)&gt;M894*1.001,R894&lt;&gt;""),"⚠ Vượt mục tiêu P90",IF(AND(Y894&lt;&gt;"",ABS(N(Y894))&gt;0.3),"⚠ Lệch &gt; 30% so với nhu cầu",IF(Q894="Có","ℹ Kiểm tra ngoại suy KM","✓ Hợp lệ")))))</f>
        <v/>
      </c>
    </row>
    <row r="895">
      <c r="A895" s="16" t="n">
        <v>891</v>
      </c>
      <c r="B895" s="17" t="inlineStr">
        <is>
          <t>DEC-S24-HARDWARE</t>
        </is>
      </c>
      <c r="C895" s="16" t="n">
        <v>24</v>
      </c>
      <c r="D895" s="17" t="inlineStr">
        <is>
          <t>HARDWARE</t>
        </is>
      </c>
      <c r="E895" s="17" t="inlineStr">
        <is>
          <t>HIGH</t>
        </is>
      </c>
      <c r="F895" s="17" t="inlineStr">
        <is>
          <t>TRUNG BÌNH</t>
        </is>
      </c>
      <c r="G895" s="18" t="inlineStr">
        <is>
          <t>RISK_HIGH · PROMO_EXTRAPOLATION</t>
        </is>
      </c>
      <c r="H895" s="19" t="n">
        <v>5.197069144248962</v>
      </c>
      <c r="I895" s="19" t="n">
        <v>47.83243328332901</v>
      </c>
      <c r="J895" s="19" t="n">
        <v>146.1553374886513</v>
      </c>
      <c r="K895" s="19" t="n">
        <v>47.83243328332901</v>
      </c>
      <c r="L895" s="19" t="n">
        <v>109.2842484116554</v>
      </c>
      <c r="M895" s="19" t="n">
        <v>146.1553374886513</v>
      </c>
      <c r="N895" s="17" t="inlineStr">
        <is>
          <t>B</t>
        </is>
      </c>
      <c r="O895" s="19" t="n">
        <v>71.01830178499222</v>
      </c>
      <c r="P895" s="18" t="inlineStr">
        <is>
          <t>KHÔNG ĐỀ XUẤT TĂNG</t>
        </is>
      </c>
      <c r="Q895" s="17" t="inlineStr">
        <is>
          <t>Có</t>
        </is>
      </c>
      <c r="R895" s="20" t="n"/>
      <c r="S895" s="20" t="n"/>
      <c r="T895" s="21" t="n"/>
      <c r="U895" s="21" t="n"/>
      <c r="V895" s="22">
        <f>IF(U895="A",K895,IF(U895="B",L895,IF(U895="C",M895,IF(N895="A",K895,IF(N895="B",L895,M895)))))</f>
        <v/>
      </c>
      <c r="W895" s="22">
        <f>IF(R895="",O895,MAX(V895-R895-N(S895),0))</f>
        <v/>
      </c>
      <c r="X895" s="20" t="n"/>
      <c r="Y895" s="23">
        <f>IF(OR(X895="",W895=0),"",X895/W895-1)</f>
        <v/>
      </c>
      <c r="Z895" s="24" t="n"/>
      <c r="AA895" s="21" t="n"/>
      <c r="AB895" s="25" t="n"/>
      <c r="AC895" s="26">
        <f>IF(T895="","Chưa quyết định",IF(OR(Z895="",AA895=""),"⚠ Thiếu lý do/người duyệt",IF(AND(X895&lt;&gt;"",N(X895)+N(R895)+N(S895)&gt;M895*1.001,R895&lt;&gt;""),"⚠ Vượt mục tiêu P90",IF(AND(Y895&lt;&gt;"",ABS(N(Y895))&gt;0.3),"⚠ Lệch &gt; 30% so với nhu cầu",IF(Q895="Có","ℹ Kiểm tra ngoại suy KM","✓ Hợp lệ")))))</f>
        <v/>
      </c>
    </row>
    <row r="896">
      <c r="A896" s="16" t="n">
        <v>892</v>
      </c>
      <c r="B896" s="17" t="inlineStr">
        <is>
          <t>DEC-S23-SEAFOOD</t>
        </is>
      </c>
      <c r="C896" s="16" t="n">
        <v>23</v>
      </c>
      <c r="D896" s="17" t="inlineStr">
        <is>
          <t>SEAFOOD</t>
        </is>
      </c>
      <c r="E896" s="17" t="inlineStr">
        <is>
          <t>HIGH</t>
        </is>
      </c>
      <c r="F896" s="17" t="inlineStr">
        <is>
          <t>TRUNG BÌNH</t>
        </is>
      </c>
      <c r="G896" s="18" t="inlineStr">
        <is>
          <t>RISK_HIGH · PROMO_EXTRAPOLATION</t>
        </is>
      </c>
      <c r="H896" s="19" t="n">
        <v>12.85011459589004</v>
      </c>
      <c r="I896" s="19" t="n">
        <v>47.82721034809947</v>
      </c>
      <c r="J896" s="19" t="n">
        <v>145.7249669246376</v>
      </c>
      <c r="K896" s="19" t="n">
        <v>47.82721034809947</v>
      </c>
      <c r="L896" s="19" t="n">
        <v>109.0133082084358</v>
      </c>
      <c r="M896" s="19" t="n">
        <v>145.7249669246376</v>
      </c>
      <c r="N896" s="17" t="inlineStr">
        <is>
          <t>B</t>
        </is>
      </c>
      <c r="O896" s="19" t="n">
        <v>70.75153992995619</v>
      </c>
      <c r="P896" s="18" t="inlineStr">
        <is>
          <t>CÂN NHẮC THỬ NGHIỆM</t>
        </is>
      </c>
      <c r="Q896" s="17" t="inlineStr">
        <is>
          <t>Có</t>
        </is>
      </c>
      <c r="R896" s="20" t="n"/>
      <c r="S896" s="20" t="n"/>
      <c r="T896" s="21" t="n"/>
      <c r="U896" s="21" t="n"/>
      <c r="V896" s="22">
        <f>IF(U896="A",K896,IF(U896="B",L896,IF(U896="C",M896,IF(N896="A",K896,IF(N896="B",L896,M896)))))</f>
        <v/>
      </c>
      <c r="W896" s="22">
        <f>IF(R896="",O896,MAX(V896-R896-N(S896),0))</f>
        <v/>
      </c>
      <c r="X896" s="20" t="n"/>
      <c r="Y896" s="23">
        <f>IF(OR(X896="",W896=0),"",X896/W896-1)</f>
        <v/>
      </c>
      <c r="Z896" s="24" t="n"/>
      <c r="AA896" s="21" t="n"/>
      <c r="AB896" s="25" t="n"/>
      <c r="AC896" s="26">
        <f>IF(T896="","Chưa quyết định",IF(OR(Z896="",AA896=""),"⚠ Thiếu lý do/người duyệt",IF(AND(X896&lt;&gt;"",N(X896)+N(R896)+N(S896)&gt;M896*1.001,R896&lt;&gt;""),"⚠ Vượt mục tiêu P90",IF(AND(Y896&lt;&gt;"",ABS(N(Y896))&gt;0.3),"⚠ Lệch &gt; 30% so với nhu cầu",IF(Q896="Có","ℹ Kiểm tra ngoại suy KM","✓ Hợp lệ")))))</f>
        <v/>
      </c>
    </row>
    <row r="897">
      <c r="A897" s="16" t="n">
        <v>893</v>
      </c>
      <c r="B897" s="17" t="inlineStr">
        <is>
          <t>DEC-S13-AUTOMOTIVE</t>
        </is>
      </c>
      <c r="C897" s="16" t="n">
        <v>13</v>
      </c>
      <c r="D897" s="17" t="inlineStr">
        <is>
          <t>AUTOMOTIVE</t>
        </is>
      </c>
      <c r="E897" s="17" t="inlineStr">
        <is>
          <t>HIGH</t>
        </is>
      </c>
      <c r="F897" s="17" t="inlineStr">
        <is>
          <t>TRUNG BÌNH</t>
        </is>
      </c>
      <c r="G897" s="18" t="inlineStr">
        <is>
          <t>RISK_HIGH · PROMO_EXTRAPOLATION</t>
        </is>
      </c>
      <c r="H897" s="19" t="n">
        <v>11.85746039748192</v>
      </c>
      <c r="I897" s="19" t="n">
        <v>47.65588577464223</v>
      </c>
      <c r="J897" s="19" t="n">
        <v>140.1112655945122</v>
      </c>
      <c r="K897" s="19" t="n">
        <v>47.65588577464223</v>
      </c>
      <c r="L897" s="19" t="n">
        <v>105.440498162061</v>
      </c>
      <c r="M897" s="19" t="n">
        <v>140.1112655945122</v>
      </c>
      <c r="N897" s="17" t="inlineStr">
        <is>
          <t>B</t>
        </is>
      </c>
      <c r="O897" s="19" t="n">
        <v>67.31578954234719</v>
      </c>
      <c r="P897" s="18" t="inlineStr">
        <is>
          <t>KHÔNG ĐỀ XUẤT TĂNG</t>
        </is>
      </c>
      <c r="Q897" s="17" t="inlineStr">
        <is>
          <t>Có</t>
        </is>
      </c>
      <c r="R897" s="20" t="n"/>
      <c r="S897" s="20" t="n"/>
      <c r="T897" s="21" t="n"/>
      <c r="U897" s="21" t="n"/>
      <c r="V897" s="22">
        <f>IF(U897="A",K897,IF(U897="B",L897,IF(U897="C",M897,IF(N897="A",K897,IF(N897="B",L897,M897)))))</f>
        <v/>
      </c>
      <c r="W897" s="22">
        <f>IF(R897="",O897,MAX(V897-R897-N(S897),0))</f>
        <v/>
      </c>
      <c r="X897" s="20" t="n"/>
      <c r="Y897" s="23">
        <f>IF(OR(X897="",W897=0),"",X897/W897-1)</f>
        <v/>
      </c>
      <c r="Z897" s="24" t="n"/>
      <c r="AA897" s="21" t="n"/>
      <c r="AB897" s="25" t="n"/>
      <c r="AC897" s="26">
        <f>IF(T897="","Chưa quyết định",IF(OR(Z897="",AA897=""),"⚠ Thiếu lý do/người duyệt",IF(AND(X897&lt;&gt;"",N(X897)+N(R897)+N(S897)&gt;M897*1.001,R897&lt;&gt;""),"⚠ Vượt mục tiêu P90",IF(AND(Y897&lt;&gt;"",ABS(N(Y897))&gt;0.3),"⚠ Lệch &gt; 30% so với nhu cầu",IF(Q897="Có","ℹ Kiểm tra ngoại suy KM","✓ Hợp lệ")))))</f>
        <v/>
      </c>
    </row>
    <row r="898">
      <c r="A898" s="16" t="n">
        <v>894</v>
      </c>
      <c r="B898" s="17" t="inlineStr">
        <is>
          <t>DEC-S08-BABY_CARE</t>
        </is>
      </c>
      <c r="C898" s="16" t="n">
        <v>8</v>
      </c>
      <c r="D898" s="17" t="inlineStr">
        <is>
          <t>BABY CARE</t>
        </is>
      </c>
      <c r="E898" s="17" t="inlineStr">
        <is>
          <t>HIGH</t>
        </is>
      </c>
      <c r="F898" s="17" t="inlineStr">
        <is>
          <t>TRUNG BÌNH</t>
        </is>
      </c>
      <c r="G898" s="18" t="inlineStr">
        <is>
          <t>RISK_HIGH · PROMO_EXTRAPOLATION</t>
        </is>
      </c>
      <c r="H898" s="19" t="n">
        <v>9.19943995475769</v>
      </c>
      <c r="I898" s="19" t="n">
        <v>47.46442484855652</v>
      </c>
      <c r="J898" s="19" t="n">
        <v>143.6582433700561</v>
      </c>
      <c r="K898" s="19" t="n">
        <v>47.46442484855652</v>
      </c>
      <c r="L898" s="19" t="n">
        <v>107.5855614244938</v>
      </c>
      <c r="M898" s="19" t="n">
        <v>143.6582433700561</v>
      </c>
      <c r="N898" s="17" t="inlineStr">
        <is>
          <t>B</t>
        </is>
      </c>
      <c r="O898" s="19" t="n">
        <v>69.61402154564857</v>
      </c>
      <c r="P898" s="18" t="inlineStr">
        <is>
          <t>KHÔNG ĐỀ XUẤT TĂNG</t>
        </is>
      </c>
      <c r="Q898" s="17" t="inlineStr">
        <is>
          <t>Có</t>
        </is>
      </c>
      <c r="R898" s="20" t="n"/>
      <c r="S898" s="20" t="n"/>
      <c r="T898" s="21" t="n"/>
      <c r="U898" s="21" t="n"/>
      <c r="V898" s="22">
        <f>IF(U898="A",K898,IF(U898="B",L898,IF(U898="C",M898,IF(N898="A",K898,IF(N898="B",L898,M898)))))</f>
        <v/>
      </c>
      <c r="W898" s="22">
        <f>IF(R898="",O898,MAX(V898-R898-N(S898),0))</f>
        <v/>
      </c>
      <c r="X898" s="20" t="n"/>
      <c r="Y898" s="23">
        <f>IF(OR(X898="",W898=0),"",X898/W898-1)</f>
        <v/>
      </c>
      <c r="Z898" s="24" t="n"/>
      <c r="AA898" s="21" t="n"/>
      <c r="AB898" s="25" t="n"/>
      <c r="AC898" s="26">
        <f>IF(T898="","Chưa quyết định",IF(OR(Z898="",AA898=""),"⚠ Thiếu lý do/người duyệt",IF(AND(X898&lt;&gt;"",N(X898)+N(R898)+N(S898)&gt;M898*1.001,R898&lt;&gt;""),"⚠ Vượt mục tiêu P90",IF(AND(Y898&lt;&gt;"",ABS(N(Y898))&gt;0.3),"⚠ Lệch &gt; 30% so với nhu cầu",IF(Q898="Có","ℹ Kiểm tra ngoại suy KM","✓ Hợp lệ")))))</f>
        <v/>
      </c>
    </row>
    <row r="899">
      <c r="A899" s="16" t="n">
        <v>895</v>
      </c>
      <c r="B899" s="17" t="inlineStr">
        <is>
          <t>DEC-S40-SEAFOOD</t>
        </is>
      </c>
      <c r="C899" s="16" t="n">
        <v>40</v>
      </c>
      <c r="D899" s="17" t="inlineStr">
        <is>
          <t>SEAFOOD</t>
        </is>
      </c>
      <c r="E899" s="17" t="inlineStr">
        <is>
          <t>HIGH</t>
        </is>
      </c>
      <c r="F899" s="17" t="inlineStr">
        <is>
          <t>TRUNG BÌNH</t>
        </is>
      </c>
      <c r="G899" s="18" t="inlineStr">
        <is>
          <t>RISK_HIGH · PROMO_EXTRAPOLATION</t>
        </is>
      </c>
      <c r="H899" s="19" t="n">
        <v>4.873535311222076</v>
      </c>
      <c r="I899" s="19" t="n">
        <v>47.13060867786408</v>
      </c>
      <c r="J899" s="19" t="n">
        <v>153.5447079896927</v>
      </c>
      <c r="K899" s="19" t="n">
        <v>47.13060867786408</v>
      </c>
      <c r="L899" s="19" t="n">
        <v>113.639420747757</v>
      </c>
      <c r="M899" s="19" t="n">
        <v>153.5447079896927</v>
      </c>
      <c r="N899" s="17" t="inlineStr">
        <is>
          <t>B</t>
        </is>
      </c>
      <c r="O899" s="19" t="n">
        <v>75.9349338054657</v>
      </c>
      <c r="P899" s="18" t="inlineStr">
        <is>
          <t>KHÔNG ĐỀ XUẤT TĂNG</t>
        </is>
      </c>
      <c r="Q899" s="17" t="inlineStr">
        <is>
          <t>Có</t>
        </is>
      </c>
      <c r="R899" s="20" t="n"/>
      <c r="S899" s="20" t="n"/>
      <c r="T899" s="21" t="n"/>
      <c r="U899" s="21" t="n"/>
      <c r="V899" s="22">
        <f>IF(U899="A",K899,IF(U899="B",L899,IF(U899="C",M899,IF(N899="A",K899,IF(N899="B",L899,M899)))))</f>
        <v/>
      </c>
      <c r="W899" s="22">
        <f>IF(R899="",O899,MAX(V899-R899-N(S899),0))</f>
        <v/>
      </c>
      <c r="X899" s="20" t="n"/>
      <c r="Y899" s="23">
        <f>IF(OR(X899="",W899=0),"",X899/W899-1)</f>
        <v/>
      </c>
      <c r="Z899" s="24" t="n"/>
      <c r="AA899" s="21" t="n"/>
      <c r="AB899" s="25" t="n"/>
      <c r="AC899" s="26">
        <f>IF(T899="","Chưa quyết định",IF(OR(Z899="",AA899=""),"⚠ Thiếu lý do/người duyệt",IF(AND(X899&lt;&gt;"",N(X899)+N(R899)+N(S899)&gt;M899*1.001,R899&lt;&gt;""),"⚠ Vượt mục tiêu P90",IF(AND(Y899&lt;&gt;"",ABS(N(Y899))&gt;0.3),"⚠ Lệch &gt; 30% so với nhu cầu",IF(Q899="Có","ℹ Kiểm tra ngoại suy KM","✓ Hợp lệ")))))</f>
        <v/>
      </c>
    </row>
    <row r="900">
      <c r="A900" s="16" t="n">
        <v>896</v>
      </c>
      <c r="B900" s="17" t="inlineStr">
        <is>
          <t>DEC-S09-HARDWARE</t>
        </is>
      </c>
      <c r="C900" s="16" t="n">
        <v>9</v>
      </c>
      <c r="D900" s="17" t="inlineStr">
        <is>
          <t>HARDWARE</t>
        </is>
      </c>
      <c r="E900" s="17" t="inlineStr">
        <is>
          <t>HIGH</t>
        </is>
      </c>
      <c r="F900" s="17" t="inlineStr">
        <is>
          <t>TRUNG BÌNH</t>
        </is>
      </c>
      <c r="G900" s="18" t="inlineStr">
        <is>
          <t>RISK_HIGH · PROMO_EXTRAPOLATION</t>
        </is>
      </c>
      <c r="H900" s="19" t="n">
        <v>7.089517831802368</v>
      </c>
      <c r="I900" s="19" t="n">
        <v>47.05612526834011</v>
      </c>
      <c r="J900" s="19" t="n">
        <v>145.3790294736624</v>
      </c>
      <c r="K900" s="19" t="n">
        <v>47.05612526834011</v>
      </c>
      <c r="L900" s="19" t="n">
        <v>108.5079403966665</v>
      </c>
      <c r="M900" s="19" t="n">
        <v>145.3790294736624</v>
      </c>
      <c r="N900" s="17" t="inlineStr">
        <is>
          <t>B</t>
        </is>
      </c>
      <c r="O900" s="19" t="n">
        <v>70.86304018199444</v>
      </c>
      <c r="P900" s="18" t="inlineStr">
        <is>
          <t>KHÔNG ĐỀ XUẤT TĂNG</t>
        </is>
      </c>
      <c r="Q900" s="17" t="inlineStr">
        <is>
          <t>Có</t>
        </is>
      </c>
      <c r="R900" s="20" t="n"/>
      <c r="S900" s="20" t="n"/>
      <c r="T900" s="21" t="n"/>
      <c r="U900" s="21" t="n"/>
      <c r="V900" s="22">
        <f>IF(U900="A",K900,IF(U900="B",L900,IF(U900="C",M900,IF(N900="A",K900,IF(N900="B",L900,M900)))))</f>
        <v/>
      </c>
      <c r="W900" s="22">
        <f>IF(R900="",O900,MAX(V900-R900-N(S900),0))</f>
        <v/>
      </c>
      <c r="X900" s="20" t="n"/>
      <c r="Y900" s="23">
        <f>IF(OR(X900="",W900=0),"",X900/W900-1)</f>
        <v/>
      </c>
      <c r="Z900" s="24" t="n"/>
      <c r="AA900" s="21" t="n"/>
      <c r="AB900" s="25" t="n"/>
      <c r="AC900" s="26">
        <f>IF(T900="","Chưa quyết định",IF(OR(Z900="",AA900=""),"⚠ Thiếu lý do/người duyệt",IF(AND(X900&lt;&gt;"",N(X900)+N(R900)+N(S900)&gt;M900*1.001,R900&lt;&gt;""),"⚠ Vượt mục tiêu P90",IF(AND(Y900&lt;&gt;"",ABS(N(Y900))&gt;0.3),"⚠ Lệch &gt; 30% so với nhu cầu",IF(Q900="Có","ℹ Kiểm tra ngoại suy KM","✓ Hợp lệ")))))</f>
        <v/>
      </c>
    </row>
    <row r="901">
      <c r="A901" s="16" t="n">
        <v>897</v>
      </c>
      <c r="B901" s="17" t="inlineStr">
        <is>
          <t>DEC-S30-LINGERIE</t>
        </is>
      </c>
      <c r="C901" s="16" t="n">
        <v>30</v>
      </c>
      <c r="D901" s="17" t="inlineStr">
        <is>
          <t>LINGERIE</t>
        </is>
      </c>
      <c r="E901" s="17" t="inlineStr">
        <is>
          <t>HIGH</t>
        </is>
      </c>
      <c r="F901" s="17" t="inlineStr">
        <is>
          <t>TRUNG BÌNH</t>
        </is>
      </c>
      <c r="G901" s="18" t="inlineStr">
        <is>
          <t>RISK_HIGH · PROMO_EXTRAPOLATION</t>
        </is>
      </c>
      <c r="H901" s="19" t="n">
        <v>7.073382925987244</v>
      </c>
      <c r="I901" s="19" t="n">
        <v>46.94155848026276</v>
      </c>
      <c r="J901" s="19" t="n">
        <v>141.5260239839554</v>
      </c>
      <c r="K901" s="19" t="n">
        <v>46.94155848026276</v>
      </c>
      <c r="L901" s="19" t="n">
        <v>106.0568494200706</v>
      </c>
      <c r="M901" s="19" t="n">
        <v>141.5260239839554</v>
      </c>
      <c r="N901" s="17" t="inlineStr">
        <is>
          <t>B</t>
        </is>
      </c>
      <c r="O901" s="19" t="n">
        <v>68.50360263586043</v>
      </c>
      <c r="P901" s="18" t="inlineStr">
        <is>
          <t>KHÔNG ĐỀ XUẤT TĂNG</t>
        </is>
      </c>
      <c r="Q901" s="17" t="inlineStr">
        <is>
          <t>Có</t>
        </is>
      </c>
      <c r="R901" s="20" t="n"/>
      <c r="S901" s="20" t="n"/>
      <c r="T901" s="21" t="n"/>
      <c r="U901" s="21" t="n"/>
      <c r="V901" s="22">
        <f>IF(U901="A",K901,IF(U901="B",L901,IF(U901="C",M901,IF(N901="A",K901,IF(N901="B",L901,M901)))))</f>
        <v/>
      </c>
      <c r="W901" s="22">
        <f>IF(R901="",O901,MAX(V901-R901-N(S901),0))</f>
        <v/>
      </c>
      <c r="X901" s="20" t="n"/>
      <c r="Y901" s="23">
        <f>IF(OR(X901="",W901=0),"",X901/W901-1)</f>
        <v/>
      </c>
      <c r="Z901" s="24" t="n"/>
      <c r="AA901" s="21" t="n"/>
      <c r="AB901" s="25" t="n"/>
      <c r="AC901" s="26">
        <f>IF(T901="","Chưa quyết định",IF(OR(Z901="",AA901=""),"⚠ Thiếu lý do/người duyệt",IF(AND(X901&lt;&gt;"",N(X901)+N(R901)+N(S901)&gt;M901*1.001,R901&lt;&gt;""),"⚠ Vượt mục tiêu P90",IF(AND(Y901&lt;&gt;"",ABS(N(Y901))&gt;0.3),"⚠ Lệch &gt; 30% so với nhu cầu",IF(Q901="Có","ℹ Kiểm tra ngoại suy KM","✓ Hợp lệ")))))</f>
        <v/>
      </c>
    </row>
    <row r="902">
      <c r="A902" s="16" t="n">
        <v>898</v>
      </c>
      <c r="B902" s="17" t="inlineStr">
        <is>
          <t>DEC-S34-HOME_APPLIANCES</t>
        </is>
      </c>
      <c r="C902" s="16" t="n">
        <v>34</v>
      </c>
      <c r="D902" s="17" t="inlineStr">
        <is>
          <t>HOME APPLIANCES</t>
        </is>
      </c>
      <c r="E902" s="17" t="inlineStr">
        <is>
          <t>HIGH</t>
        </is>
      </c>
      <c r="F902" s="17" t="inlineStr">
        <is>
          <t>TRUNG BÌNH</t>
        </is>
      </c>
      <c r="G902" s="18" t="inlineStr">
        <is>
          <t>RISK_HIGH · PROMO_EXTRAPOLATION</t>
        </is>
      </c>
      <c r="H902" s="19" t="n">
        <v>6.752411437034607</v>
      </c>
      <c r="I902" s="19" t="n">
        <v>46.80201089382172</v>
      </c>
      <c r="J902" s="19" t="n">
        <v>142.9958294153213</v>
      </c>
      <c r="K902" s="19" t="n">
        <v>46.80201089382172</v>
      </c>
      <c r="L902" s="19" t="n">
        <v>106.923147469759</v>
      </c>
      <c r="M902" s="19" t="n">
        <v>142.9958294153213</v>
      </c>
      <c r="N902" s="17" t="inlineStr">
        <is>
          <t>B</t>
        </is>
      </c>
      <c r="O902" s="19" t="n">
        <v>69.4815387547016</v>
      </c>
      <c r="P902" s="18" t="inlineStr">
        <is>
          <t>KHÔNG ĐỀ XUẤT TĂNG</t>
        </is>
      </c>
      <c r="Q902" s="17" t="inlineStr">
        <is>
          <t>Có</t>
        </is>
      </c>
      <c r="R902" s="20" t="n"/>
      <c r="S902" s="20" t="n"/>
      <c r="T902" s="21" t="n"/>
      <c r="U902" s="21" t="n"/>
      <c r="V902" s="22">
        <f>IF(U902="A",K902,IF(U902="B",L902,IF(U902="C",M902,IF(N902="A",K902,IF(N902="B",L902,M902)))))</f>
        <v/>
      </c>
      <c r="W902" s="22">
        <f>IF(R902="",O902,MAX(V902-R902-N(S902),0))</f>
        <v/>
      </c>
      <c r="X902" s="20" t="n"/>
      <c r="Y902" s="23">
        <f>IF(OR(X902="",W902=0),"",X902/W902-1)</f>
        <v/>
      </c>
      <c r="Z902" s="24" t="n"/>
      <c r="AA902" s="21" t="n"/>
      <c r="AB902" s="25" t="n"/>
      <c r="AC902" s="26">
        <f>IF(T902="","Chưa quyết định",IF(OR(Z902="",AA902=""),"⚠ Thiếu lý do/người duyệt",IF(AND(X902&lt;&gt;"",N(X902)+N(R902)+N(S902)&gt;M902*1.001,R902&lt;&gt;""),"⚠ Vượt mục tiêu P90",IF(AND(Y902&lt;&gt;"",ABS(N(Y902))&gt;0.3),"⚠ Lệch &gt; 30% so với nhu cầu",IF(Q902="Có","ℹ Kiểm tra ngoại suy KM","✓ Hợp lệ")))))</f>
        <v/>
      </c>
    </row>
    <row r="903">
      <c r="A903" s="16" t="n">
        <v>899</v>
      </c>
      <c r="B903" s="17" t="inlineStr">
        <is>
          <t>DEC-S38-HARDWARE</t>
        </is>
      </c>
      <c r="C903" s="16" t="n">
        <v>38</v>
      </c>
      <c r="D903" s="17" t="inlineStr">
        <is>
          <t>HARDWARE</t>
        </is>
      </c>
      <c r="E903" s="17" t="inlineStr">
        <is>
          <t>HIGH</t>
        </is>
      </c>
      <c r="F903" s="17" t="inlineStr">
        <is>
          <t>TRUNG BÌNH</t>
        </is>
      </c>
      <c r="G903" s="18" t="inlineStr">
        <is>
          <t>RISK_HIGH · PROMO_EXTRAPOLATION</t>
        </is>
      </c>
      <c r="H903" s="19" t="n">
        <v>5.865293788909913</v>
      </c>
      <c r="I903" s="19" t="n">
        <v>46.58657652139664</v>
      </c>
      <c r="J903" s="19" t="n">
        <v>143.0402613759041</v>
      </c>
      <c r="K903" s="19" t="n">
        <v>46.58657652139664</v>
      </c>
      <c r="L903" s="19" t="n">
        <v>106.8701295554638</v>
      </c>
      <c r="M903" s="19" t="n">
        <v>143.0402613759041</v>
      </c>
      <c r="N903" s="17" t="inlineStr">
        <is>
          <t>B</t>
        </is>
      </c>
      <c r="O903" s="19" t="n">
        <v>69.60086833834649</v>
      </c>
      <c r="P903" s="18" t="inlineStr">
        <is>
          <t>KHÔNG ĐỀ XUẤT TĂNG</t>
        </is>
      </c>
      <c r="Q903" s="17" t="inlineStr">
        <is>
          <t>Có</t>
        </is>
      </c>
      <c r="R903" s="20" t="n"/>
      <c r="S903" s="20" t="n"/>
      <c r="T903" s="21" t="n"/>
      <c r="U903" s="21" t="n"/>
      <c r="V903" s="22">
        <f>IF(U903="A",K903,IF(U903="B",L903,IF(U903="C",M903,IF(N903="A",K903,IF(N903="B",L903,M903)))))</f>
        <v/>
      </c>
      <c r="W903" s="22">
        <f>IF(R903="",O903,MAX(V903-R903-N(S903),0))</f>
        <v/>
      </c>
      <c r="X903" s="20" t="n"/>
      <c r="Y903" s="23">
        <f>IF(OR(X903="",W903=0),"",X903/W903-1)</f>
        <v/>
      </c>
      <c r="Z903" s="24" t="n"/>
      <c r="AA903" s="21" t="n"/>
      <c r="AB903" s="25" t="n"/>
      <c r="AC903" s="26">
        <f>IF(T903="","Chưa quyết định",IF(OR(Z903="",AA903=""),"⚠ Thiếu lý do/người duyệt",IF(AND(X903&lt;&gt;"",N(X903)+N(R903)+N(S903)&gt;M903*1.001,R903&lt;&gt;""),"⚠ Vượt mục tiêu P90",IF(AND(Y903&lt;&gt;"",ABS(N(Y903))&gt;0.3),"⚠ Lệch &gt; 30% so với nhu cầu",IF(Q903="Có","ℹ Kiểm tra ngoại suy KM","✓ Hợp lệ")))))</f>
        <v/>
      </c>
    </row>
    <row r="904">
      <c r="A904" s="16" t="n">
        <v>900</v>
      </c>
      <c r="B904" s="17" t="inlineStr">
        <is>
          <t>DEC-S52-HOME_APPLIANCES</t>
        </is>
      </c>
      <c r="C904" s="16" t="n">
        <v>52</v>
      </c>
      <c r="D904" s="17" t="inlineStr">
        <is>
          <t>HOME APPLIANCES</t>
        </is>
      </c>
      <c r="E904" s="17" t="inlineStr">
        <is>
          <t>HIGH</t>
        </is>
      </c>
      <c r="F904" s="17" t="inlineStr">
        <is>
          <t>TRUNG BÌNH</t>
        </is>
      </c>
      <c r="G904" s="18" t="inlineStr">
        <is>
          <t>RISK_HIGH · PROMO_EXTRAPOLATION</t>
        </is>
      </c>
      <c r="H904" s="19" t="n">
        <v>8.199528056383134</v>
      </c>
      <c r="I904" s="19" t="n">
        <v>46.50859805941582</v>
      </c>
      <c r="J904" s="19" t="n">
        <v>140.5733308970928</v>
      </c>
      <c r="K904" s="19" t="n">
        <v>46.50859805941582</v>
      </c>
      <c r="L904" s="19" t="n">
        <v>105.2990560829639</v>
      </c>
      <c r="M904" s="19" t="n">
        <v>140.5733308970928</v>
      </c>
      <c r="N904" s="17" t="inlineStr">
        <is>
          <t>B</t>
        </is>
      </c>
      <c r="O904" s="19" t="n">
        <v>68.09217763543128</v>
      </c>
      <c r="P904" s="18" t="inlineStr">
        <is>
          <t>KHÔNG ĐỀ XUẤT TĂNG</t>
        </is>
      </c>
      <c r="Q904" s="17" t="inlineStr">
        <is>
          <t>Có</t>
        </is>
      </c>
      <c r="R904" s="20" t="n"/>
      <c r="S904" s="20" t="n"/>
      <c r="T904" s="21" t="n"/>
      <c r="U904" s="21" t="n"/>
      <c r="V904" s="22">
        <f>IF(U904="A",K904,IF(U904="B",L904,IF(U904="C",M904,IF(N904="A",K904,IF(N904="B",L904,M904)))))</f>
        <v/>
      </c>
      <c r="W904" s="22">
        <f>IF(R904="",O904,MAX(V904-R904-N(S904),0))</f>
        <v/>
      </c>
      <c r="X904" s="20" t="n"/>
      <c r="Y904" s="23">
        <f>IF(OR(X904="",W904=0),"",X904/W904-1)</f>
        <v/>
      </c>
      <c r="Z904" s="24" t="n"/>
      <c r="AA904" s="21" t="n"/>
      <c r="AB904" s="25" t="n"/>
      <c r="AC904" s="26">
        <f>IF(T904="","Chưa quyết định",IF(OR(Z904="",AA904=""),"⚠ Thiếu lý do/người duyệt",IF(AND(X904&lt;&gt;"",N(X904)+N(R904)+N(S904)&gt;M904*1.001,R904&lt;&gt;""),"⚠ Vượt mục tiêu P90",IF(AND(Y904&lt;&gt;"",ABS(N(Y904))&gt;0.3),"⚠ Lệch &gt; 30% so với nhu cầu",IF(Q904="Có","ℹ Kiểm tra ngoại suy KM","✓ Hợp lệ")))))</f>
        <v/>
      </c>
    </row>
    <row r="905">
      <c r="A905" s="16" t="n">
        <v>901</v>
      </c>
      <c r="B905" s="17" t="inlineStr">
        <is>
          <t>DEC-S54-LINGERIE</t>
        </is>
      </c>
      <c r="C905" s="16" t="n">
        <v>54</v>
      </c>
      <c r="D905" s="17" t="inlineStr">
        <is>
          <t>LINGERIE</t>
        </is>
      </c>
      <c r="E905" s="17" t="inlineStr">
        <is>
          <t>HIGH</t>
        </is>
      </c>
      <c r="F905" s="17" t="inlineStr">
        <is>
          <t>TRUNG BÌNH</t>
        </is>
      </c>
      <c r="G905" s="18" t="inlineStr">
        <is>
          <t>RISK_HIGH · PROMO_EXTRAPOLATION</t>
        </is>
      </c>
      <c r="H905" s="19" t="n">
        <v>8.674363124370576</v>
      </c>
      <c r="I905" s="19" t="n">
        <v>45.74263289570808</v>
      </c>
      <c r="J905" s="19" t="n">
        <v>137.9381463825703</v>
      </c>
      <c r="K905" s="19" t="n">
        <v>45.74263289570808</v>
      </c>
      <c r="L905" s="19" t="n">
        <v>103.3648288249969</v>
      </c>
      <c r="M905" s="19" t="n">
        <v>137.9381463825703</v>
      </c>
      <c r="N905" s="17" t="inlineStr">
        <is>
          <t>B</t>
        </is>
      </c>
      <c r="O905" s="19" t="n">
        <v>66.77072250843048</v>
      </c>
      <c r="P905" s="18" t="inlineStr">
        <is>
          <t>KHÔNG ĐỀ XUẤT TĂNG</t>
        </is>
      </c>
      <c r="Q905" s="17" t="inlineStr">
        <is>
          <t>Có</t>
        </is>
      </c>
      <c r="R905" s="20" t="n"/>
      <c r="S905" s="20" t="n"/>
      <c r="T905" s="21" t="n"/>
      <c r="U905" s="21" t="n"/>
      <c r="V905" s="22">
        <f>IF(U905="A",K905,IF(U905="B",L905,IF(U905="C",M905,IF(N905="A",K905,IF(N905="B",L905,M905)))))</f>
        <v/>
      </c>
      <c r="W905" s="22">
        <f>IF(R905="",O905,MAX(V905-R905-N(S905),0))</f>
        <v/>
      </c>
      <c r="X905" s="20" t="n"/>
      <c r="Y905" s="23">
        <f>IF(OR(X905="",W905=0),"",X905/W905-1)</f>
        <v/>
      </c>
      <c r="Z905" s="24" t="n"/>
      <c r="AA905" s="21" t="n"/>
      <c r="AB905" s="25" t="n"/>
      <c r="AC905" s="26">
        <f>IF(T905="","Chưa quyết định",IF(OR(Z905="",AA905=""),"⚠ Thiếu lý do/người duyệt",IF(AND(X905&lt;&gt;"",N(X905)+N(R905)+N(S905)&gt;M905*1.001,R905&lt;&gt;""),"⚠ Vượt mục tiêu P90",IF(AND(Y905&lt;&gt;"",ABS(N(Y905))&gt;0.3),"⚠ Lệch &gt; 30% so với nhu cầu",IF(Q905="Có","ℹ Kiểm tra ngoại suy KM","✓ Hợp lệ")))))</f>
        <v/>
      </c>
    </row>
    <row r="906">
      <c r="A906" s="16" t="n">
        <v>902</v>
      </c>
      <c r="B906" s="17" t="inlineStr">
        <is>
          <t>DEC-S28-SEAFOOD</t>
        </is>
      </c>
      <c r="C906" s="16" t="n">
        <v>28</v>
      </c>
      <c r="D906" s="17" t="inlineStr">
        <is>
          <t>SEAFOOD</t>
        </is>
      </c>
      <c r="E906" s="17" t="inlineStr">
        <is>
          <t>HIGH</t>
        </is>
      </c>
      <c r="F906" s="17" t="inlineStr">
        <is>
          <t>TRUNG BÌNH</t>
        </is>
      </c>
      <c r="G906" s="18" t="inlineStr">
        <is>
          <t>RISK_HIGH · PROMO_EXTRAPOLATION</t>
        </is>
      </c>
      <c r="H906" s="19" t="n">
        <v>10.90790430307388</v>
      </c>
      <c r="I906" s="19" t="n">
        <v>45.62748277187347</v>
      </c>
      <c r="J906" s="19" t="n">
        <v>139.8694412946701</v>
      </c>
      <c r="K906" s="19" t="n">
        <v>45.62748277187347</v>
      </c>
      <c r="L906" s="19" t="n">
        <v>104.5287068486214</v>
      </c>
      <c r="M906" s="19" t="n">
        <v>139.8694412946701</v>
      </c>
      <c r="N906" s="17" t="inlineStr">
        <is>
          <t>B</t>
        </is>
      </c>
      <c r="O906" s="19" t="n">
        <v>68.02672063112259</v>
      </c>
      <c r="P906" s="18" t="inlineStr">
        <is>
          <t>KHÔNG ĐỀ XUẤT TĂNG</t>
        </is>
      </c>
      <c r="Q906" s="17" t="inlineStr">
        <is>
          <t>Có</t>
        </is>
      </c>
      <c r="R906" s="20" t="n"/>
      <c r="S906" s="20" t="n"/>
      <c r="T906" s="21" t="n"/>
      <c r="U906" s="21" t="n"/>
      <c r="V906" s="22">
        <f>IF(U906="A",K906,IF(U906="B",L906,IF(U906="C",M906,IF(N906="A",K906,IF(N906="B",L906,M906)))))</f>
        <v/>
      </c>
      <c r="W906" s="22">
        <f>IF(R906="",O906,MAX(V906-R906-N(S906),0))</f>
        <v/>
      </c>
      <c r="X906" s="20" t="n"/>
      <c r="Y906" s="23">
        <f>IF(OR(X906="",W906=0),"",X906/W906-1)</f>
        <v/>
      </c>
      <c r="Z906" s="24" t="n"/>
      <c r="AA906" s="21" t="n"/>
      <c r="AB906" s="25" t="n"/>
      <c r="AC906" s="26">
        <f>IF(T906="","Chưa quyết định",IF(OR(Z906="",AA906=""),"⚠ Thiếu lý do/người duyệt",IF(AND(X906&lt;&gt;"",N(X906)+N(R906)+N(S906)&gt;M906*1.001,R906&lt;&gt;""),"⚠ Vượt mục tiêu P90",IF(AND(Y906&lt;&gt;"",ABS(N(Y906))&gt;0.3),"⚠ Lệch &gt; 30% so với nhu cầu",IF(Q906="Có","ℹ Kiểm tra ngoại suy KM","✓ Hợp lệ")))))</f>
        <v/>
      </c>
    </row>
    <row r="907">
      <c r="A907" s="16" t="n">
        <v>903</v>
      </c>
      <c r="B907" s="17" t="inlineStr">
        <is>
          <t>DEC-S31-MAGAZINES</t>
        </is>
      </c>
      <c r="C907" s="16" t="n">
        <v>31</v>
      </c>
      <c r="D907" s="17" t="inlineStr">
        <is>
          <t>MAGAZINES</t>
        </is>
      </c>
      <c r="E907" s="17" t="inlineStr">
        <is>
          <t>HIGH</t>
        </is>
      </c>
      <c r="F907" s="17" t="inlineStr">
        <is>
          <t>TRUNG BÌNH</t>
        </is>
      </c>
      <c r="G907" s="18" t="inlineStr">
        <is>
          <t>RISK_HIGH · PROMO_EXTRAPOLATION</t>
        </is>
      </c>
      <c r="H907" s="19" t="n">
        <v>5.643945384025574</v>
      </c>
      <c r="I907" s="19" t="n">
        <v>45.09257864207029</v>
      </c>
      <c r="J907" s="19" t="n">
        <v>139.4171778127551</v>
      </c>
      <c r="K907" s="19" t="n">
        <v>45.09257864207029</v>
      </c>
      <c r="L907" s="19" t="n">
        <v>104.0454531237483</v>
      </c>
      <c r="M907" s="19" t="n">
        <v>139.4171778127551</v>
      </c>
      <c r="N907" s="17" t="inlineStr">
        <is>
          <t>B</t>
        </is>
      </c>
      <c r="O907" s="19" t="n">
        <v>67.97139021009207</v>
      </c>
      <c r="P907" s="18" t="inlineStr">
        <is>
          <t>KHÔNG ĐỀ XUẤT TĂNG</t>
        </is>
      </c>
      <c r="Q907" s="17" t="inlineStr">
        <is>
          <t>Có</t>
        </is>
      </c>
      <c r="R907" s="20" t="n"/>
      <c r="S907" s="20" t="n"/>
      <c r="T907" s="21" t="n"/>
      <c r="U907" s="21" t="n"/>
      <c r="V907" s="22">
        <f>IF(U907="A",K907,IF(U907="B",L907,IF(U907="C",M907,IF(N907="A",K907,IF(N907="B",L907,M907)))))</f>
        <v/>
      </c>
      <c r="W907" s="22">
        <f>IF(R907="",O907,MAX(V907-R907-N(S907),0))</f>
        <v/>
      </c>
      <c r="X907" s="20" t="n"/>
      <c r="Y907" s="23">
        <f>IF(OR(X907="",W907=0),"",X907/W907-1)</f>
        <v/>
      </c>
      <c r="Z907" s="24" t="n"/>
      <c r="AA907" s="21" t="n"/>
      <c r="AB907" s="25" t="n"/>
      <c r="AC907" s="26">
        <f>IF(T907="","Chưa quyết định",IF(OR(Z907="",AA907=""),"⚠ Thiếu lý do/người duyệt",IF(AND(X907&lt;&gt;"",N(X907)+N(R907)+N(S907)&gt;M907*1.001,R907&lt;&gt;""),"⚠ Vượt mục tiêu P90",IF(AND(Y907&lt;&gt;"",ABS(N(Y907))&gt;0.3),"⚠ Lệch &gt; 30% so với nhu cầu",IF(Q907="Có","ℹ Kiểm tra ngoại suy KM","✓ Hợp lệ")))))</f>
        <v/>
      </c>
    </row>
    <row r="908">
      <c r="A908" s="16" t="n">
        <v>904</v>
      </c>
      <c r="B908" s="17" t="inlineStr">
        <is>
          <t>DEC-S11-BABY_CARE</t>
        </is>
      </c>
      <c r="C908" s="16" t="n">
        <v>11</v>
      </c>
      <c r="D908" s="17" t="inlineStr">
        <is>
          <t>BABY CARE</t>
        </is>
      </c>
      <c r="E908" s="17" t="inlineStr">
        <is>
          <t>HIGH</t>
        </is>
      </c>
      <c r="F908" s="17" t="inlineStr">
        <is>
          <t>TRUNG BÌNH</t>
        </is>
      </c>
      <c r="G908" s="18" t="inlineStr">
        <is>
          <t>RISK_HIGH · PROMO_EXTRAPOLATION</t>
        </is>
      </c>
      <c r="H908" s="19" t="n">
        <v>5.832899165153504</v>
      </c>
      <c r="I908" s="19" t="n">
        <v>45.01109743118286</v>
      </c>
      <c r="J908" s="19" t="n">
        <v>141.2049159526825</v>
      </c>
      <c r="K908" s="19" t="n">
        <v>45.01109743118286</v>
      </c>
      <c r="L908" s="19" t="n">
        <v>105.1322340071201</v>
      </c>
      <c r="M908" s="19" t="n">
        <v>141.2049159526825</v>
      </c>
      <c r="N908" s="17" t="inlineStr">
        <is>
          <t>B</t>
        </is>
      </c>
      <c r="O908" s="19" t="n">
        <v>69.12335606217384</v>
      </c>
      <c r="P908" s="18" t="inlineStr">
        <is>
          <t>KHÔNG ĐỀ XUẤT TĂNG</t>
        </is>
      </c>
      <c r="Q908" s="17" t="inlineStr">
        <is>
          <t>Có</t>
        </is>
      </c>
      <c r="R908" s="20" t="n"/>
      <c r="S908" s="20" t="n"/>
      <c r="T908" s="21" t="n"/>
      <c r="U908" s="21" t="n"/>
      <c r="V908" s="22">
        <f>IF(U908="A",K908,IF(U908="B",L908,IF(U908="C",M908,IF(N908="A",K908,IF(N908="B",L908,M908)))))</f>
        <v/>
      </c>
      <c r="W908" s="22">
        <f>IF(R908="",O908,MAX(V908-R908-N(S908),0))</f>
        <v/>
      </c>
      <c r="X908" s="20" t="n"/>
      <c r="Y908" s="23">
        <f>IF(OR(X908="",W908=0),"",X908/W908-1)</f>
        <v/>
      </c>
      <c r="Z908" s="24" t="n"/>
      <c r="AA908" s="21" t="n"/>
      <c r="AB908" s="25" t="n"/>
      <c r="AC908" s="26">
        <f>IF(T908="","Chưa quyết định",IF(OR(Z908="",AA908=""),"⚠ Thiếu lý do/người duyệt",IF(AND(X908&lt;&gt;"",N(X908)+N(R908)+N(S908)&gt;M908*1.001,R908&lt;&gt;""),"⚠ Vượt mục tiêu P90",IF(AND(Y908&lt;&gt;"",ABS(N(Y908))&gt;0.3),"⚠ Lệch &gt; 30% so với nhu cầu",IF(Q908="Có","ℹ Kiểm tra ngoại suy KM","✓ Hợp lệ")))))</f>
        <v/>
      </c>
    </row>
    <row r="909">
      <c r="A909" s="16" t="n">
        <v>905</v>
      </c>
      <c r="B909" s="17" t="inlineStr">
        <is>
          <t>DEC-S16-PLAYERS_AND_ELECTRONICS</t>
        </is>
      </c>
      <c r="C909" s="16" t="n">
        <v>16</v>
      </c>
      <c r="D909" s="17" t="inlineStr">
        <is>
          <t>PLAYERS AND ELECTRONICS</t>
        </is>
      </c>
      <c r="E909" s="17" t="inlineStr">
        <is>
          <t>HIGH</t>
        </is>
      </c>
      <c r="F909" s="17" t="inlineStr">
        <is>
          <t>TRUNG BÌNH</t>
        </is>
      </c>
      <c r="G909" s="18" t="inlineStr">
        <is>
          <t>RISK_HIGH · PROMO_EXTRAPOLATION</t>
        </is>
      </c>
      <c r="H909" s="19" t="n">
        <v>7.685989508032799</v>
      </c>
      <c r="I909" s="19" t="n">
        <v>44.92233882844448</v>
      </c>
      <c r="J909" s="19" t="n">
        <v>137.1178523153067</v>
      </c>
      <c r="K909" s="19" t="n">
        <v>44.92233882844448</v>
      </c>
      <c r="L909" s="19" t="n">
        <v>102.5445347577333</v>
      </c>
      <c r="M909" s="19" t="n">
        <v>137.1178523153067</v>
      </c>
      <c r="N909" s="17" t="inlineStr">
        <is>
          <t>B</t>
        </is>
      </c>
      <c r="O909" s="19" t="n">
        <v>66.60666369497775</v>
      </c>
      <c r="P909" s="18" t="inlineStr">
        <is>
          <t>KHÔNG ĐỀ XUẤT TĂNG</t>
        </is>
      </c>
      <c r="Q909" s="17" t="inlineStr">
        <is>
          <t>Có</t>
        </is>
      </c>
      <c r="R909" s="20" t="n"/>
      <c r="S909" s="20" t="n"/>
      <c r="T909" s="21" t="n"/>
      <c r="U909" s="21" t="n"/>
      <c r="V909" s="22">
        <f>IF(U909="A",K909,IF(U909="B",L909,IF(U909="C",M909,IF(N909="A",K909,IF(N909="B",L909,M909)))))</f>
        <v/>
      </c>
      <c r="W909" s="22">
        <f>IF(R909="",O909,MAX(V909-R909-N(S909),0))</f>
        <v/>
      </c>
      <c r="X909" s="20" t="n"/>
      <c r="Y909" s="23">
        <f>IF(OR(X909="",W909=0),"",X909/W909-1)</f>
        <v/>
      </c>
      <c r="Z909" s="24" t="n"/>
      <c r="AA909" s="21" t="n"/>
      <c r="AB909" s="25" t="n"/>
      <c r="AC909" s="26">
        <f>IF(T909="","Chưa quyết định",IF(OR(Z909="",AA909=""),"⚠ Thiếu lý do/người duyệt",IF(AND(X909&lt;&gt;"",N(X909)+N(R909)+N(S909)&gt;M909*1.001,R909&lt;&gt;""),"⚠ Vượt mục tiêu P90",IF(AND(Y909&lt;&gt;"",ABS(N(Y909))&gt;0.3),"⚠ Lệch &gt; 30% so với nhu cầu",IF(Q909="Có","ℹ Kiểm tra ngoại suy KM","✓ Hợp lệ")))))</f>
        <v/>
      </c>
    </row>
    <row r="910">
      <c r="A910" s="16" t="n">
        <v>906</v>
      </c>
      <c r="B910" s="17" t="inlineStr">
        <is>
          <t>DEC-S28-MAGAZINES</t>
        </is>
      </c>
      <c r="C910" s="16" t="n">
        <v>28</v>
      </c>
      <c r="D910" s="17" t="inlineStr">
        <is>
          <t>MAGAZINES</t>
        </is>
      </c>
      <c r="E910" s="17" t="inlineStr">
        <is>
          <t>HIGH</t>
        </is>
      </c>
      <c r="F910" s="17" t="inlineStr">
        <is>
          <t>TRUNG BÌNH</t>
        </is>
      </c>
      <c r="G910" s="18" t="inlineStr">
        <is>
          <t>RISK_HIGH · PROMO_EXTRAPOLATION</t>
        </is>
      </c>
      <c r="H910" s="19" t="n">
        <v>3.336456510424614</v>
      </c>
      <c r="I910" s="19" t="n">
        <v>44.86013017594814</v>
      </c>
      <c r="J910" s="19" t="n">
        <v>141.3138150304556</v>
      </c>
      <c r="K910" s="19" t="n">
        <v>44.86013017594814</v>
      </c>
      <c r="L910" s="19" t="n">
        <v>105.1436832100153</v>
      </c>
      <c r="M910" s="19" t="n">
        <v>141.3138150304556</v>
      </c>
      <c r="N910" s="17" t="inlineStr">
        <is>
          <t>B</t>
        </is>
      </c>
      <c r="O910" s="19" t="n">
        <v>69.25557906925678</v>
      </c>
      <c r="P910" s="18" t="inlineStr">
        <is>
          <t>KHÔNG ĐỀ XUẤT TĂNG</t>
        </is>
      </c>
      <c r="Q910" s="17" t="inlineStr">
        <is>
          <t>Có</t>
        </is>
      </c>
      <c r="R910" s="20" t="n"/>
      <c r="S910" s="20" t="n"/>
      <c r="T910" s="21" t="n"/>
      <c r="U910" s="21" t="n"/>
      <c r="V910" s="22">
        <f>IF(U910="A",K910,IF(U910="B",L910,IF(U910="C",M910,IF(N910="A",K910,IF(N910="B",L910,M910)))))</f>
        <v/>
      </c>
      <c r="W910" s="22">
        <f>IF(R910="",O910,MAX(V910-R910-N(S910),0))</f>
        <v/>
      </c>
      <c r="X910" s="20" t="n"/>
      <c r="Y910" s="23">
        <f>IF(OR(X910="",W910=0),"",X910/W910-1)</f>
        <v/>
      </c>
      <c r="Z910" s="24" t="n"/>
      <c r="AA910" s="21" t="n"/>
      <c r="AB910" s="25" t="n"/>
      <c r="AC910" s="26">
        <f>IF(T910="","Chưa quyết định",IF(OR(Z910="",AA910=""),"⚠ Thiếu lý do/người duyệt",IF(AND(X910&lt;&gt;"",N(X910)+N(R910)+N(S910)&gt;M910*1.001,R910&lt;&gt;""),"⚠ Vượt mục tiêu P90",IF(AND(Y910&lt;&gt;"",ABS(N(Y910))&gt;0.3),"⚠ Lệch &gt; 30% so với nhu cầu",IF(Q910="Có","ℹ Kiểm tra ngoại suy KM","✓ Hợp lệ")))))</f>
        <v/>
      </c>
    </row>
    <row r="911">
      <c r="A911" s="16" t="n">
        <v>907</v>
      </c>
      <c r="B911" s="17" t="inlineStr">
        <is>
          <t>DEC-S47-HOME_APPLIANCES</t>
        </is>
      </c>
      <c r="C911" s="16" t="n">
        <v>47</v>
      </c>
      <c r="D911" s="17" t="inlineStr">
        <is>
          <t>HOME APPLIANCES</t>
        </is>
      </c>
      <c r="E911" s="17" t="inlineStr">
        <is>
          <t>HIGH</t>
        </is>
      </c>
      <c r="F911" s="17" t="inlineStr">
        <is>
          <t>TRUNG BÌNH</t>
        </is>
      </c>
      <c r="G911" s="18" t="inlineStr">
        <is>
          <t>RISK_HIGH · PROMO_EXTRAPOLATION</t>
        </is>
      </c>
      <c r="H911" s="19" t="n">
        <v>6.92252151966095</v>
      </c>
      <c r="I911" s="19" t="n">
        <v>44.82469098269939</v>
      </c>
      <c r="J911" s="19" t="n">
        <v>137.2800708025694</v>
      </c>
      <c r="K911" s="19" t="n">
        <v>44.82469098269939</v>
      </c>
      <c r="L911" s="19" t="n">
        <v>102.6093033701181</v>
      </c>
      <c r="M911" s="19" t="n">
        <v>137.2800708025694</v>
      </c>
      <c r="N911" s="17" t="inlineStr">
        <is>
          <t>B</t>
        </is>
      </c>
      <c r="O911" s="19" t="n">
        <v>66.74955058395862</v>
      </c>
      <c r="P911" s="18" t="inlineStr">
        <is>
          <t>KHÔNG ĐỀ XUẤT TĂNG</t>
        </is>
      </c>
      <c r="Q911" s="17" t="inlineStr">
        <is>
          <t>Có</t>
        </is>
      </c>
      <c r="R911" s="20" t="n"/>
      <c r="S911" s="20" t="n"/>
      <c r="T911" s="21" t="n"/>
      <c r="U911" s="21" t="n"/>
      <c r="V911" s="22">
        <f>IF(U911="A",K911,IF(U911="B",L911,IF(U911="C",M911,IF(N911="A",K911,IF(N911="B",L911,M911)))))</f>
        <v/>
      </c>
      <c r="W911" s="22">
        <f>IF(R911="",O911,MAX(V911-R911-N(S911),0))</f>
        <v/>
      </c>
      <c r="X911" s="20" t="n"/>
      <c r="Y911" s="23">
        <f>IF(OR(X911="",W911=0),"",X911/W911-1)</f>
        <v/>
      </c>
      <c r="Z911" s="24" t="n"/>
      <c r="AA911" s="21" t="n"/>
      <c r="AB911" s="25" t="n"/>
      <c r="AC911" s="26">
        <f>IF(T911="","Chưa quyết định",IF(OR(Z911="",AA911=""),"⚠ Thiếu lý do/người duyệt",IF(AND(X911&lt;&gt;"",N(X911)+N(R911)+N(S911)&gt;M911*1.001,R911&lt;&gt;""),"⚠ Vượt mục tiêu P90",IF(AND(Y911&lt;&gt;"",ABS(N(Y911))&gt;0.3),"⚠ Lệch &gt; 30% so với nhu cầu",IF(Q911="Có","ℹ Kiểm tra ngoại suy KM","✓ Hợp lệ")))))</f>
        <v/>
      </c>
    </row>
    <row r="912">
      <c r="A912" s="16" t="n">
        <v>908</v>
      </c>
      <c r="B912" s="17" t="inlineStr">
        <is>
          <t>DEC-S03-BOOKS</t>
        </is>
      </c>
      <c r="C912" s="16" t="n">
        <v>3</v>
      </c>
      <c r="D912" s="17" t="inlineStr">
        <is>
          <t>BOOKS</t>
        </is>
      </c>
      <c r="E912" s="17" t="inlineStr">
        <is>
          <t>HIGH</t>
        </is>
      </c>
      <c r="F912" s="17" t="inlineStr">
        <is>
          <t>TRUNG BÌNH</t>
        </is>
      </c>
      <c r="G912" s="18" t="inlineStr">
        <is>
          <t>RISK_HIGH · PROMO_EXTRAPOLATION</t>
        </is>
      </c>
      <c r="H912" s="19" t="n">
        <v>7.967340409755707</v>
      </c>
      <c r="I912" s="19" t="n">
        <v>44.70465481281281</v>
      </c>
      <c r="J912" s="19" t="n">
        <v>136.900168299675</v>
      </c>
      <c r="K912" s="19" t="n">
        <v>44.70465481281281</v>
      </c>
      <c r="L912" s="19" t="n">
        <v>102.3268507421017</v>
      </c>
      <c r="M912" s="19" t="n">
        <v>136.900168299675</v>
      </c>
      <c r="N912" s="17" t="inlineStr">
        <is>
          <t>B</t>
        </is>
      </c>
      <c r="O912" s="19" t="n">
        <v>66.56312689185143</v>
      </c>
      <c r="P912" s="18" t="inlineStr">
        <is>
          <t>KHÔNG ĐỀ XUẤT TĂNG</t>
        </is>
      </c>
      <c r="Q912" s="17" t="inlineStr">
        <is>
          <t>Có</t>
        </is>
      </c>
      <c r="R912" s="20" t="n"/>
      <c r="S912" s="20" t="n"/>
      <c r="T912" s="21" t="n"/>
      <c r="U912" s="21" t="n"/>
      <c r="V912" s="22">
        <f>IF(U912="A",K912,IF(U912="B",L912,IF(U912="C",M912,IF(N912="A",K912,IF(N912="B",L912,M912)))))</f>
        <v/>
      </c>
      <c r="W912" s="22">
        <f>IF(R912="",O912,MAX(V912-R912-N(S912),0))</f>
        <v/>
      </c>
      <c r="X912" s="20" t="n"/>
      <c r="Y912" s="23">
        <f>IF(OR(X912="",W912=0),"",X912/W912-1)</f>
        <v/>
      </c>
      <c r="Z912" s="24" t="n"/>
      <c r="AA912" s="21" t="n"/>
      <c r="AB912" s="25" t="n"/>
      <c r="AC912" s="26">
        <f>IF(T912="","Chưa quyết định",IF(OR(Z912="",AA912=""),"⚠ Thiếu lý do/người duyệt",IF(AND(X912&lt;&gt;"",N(X912)+N(R912)+N(S912)&gt;M912*1.001,R912&lt;&gt;""),"⚠ Vượt mục tiêu P90",IF(AND(Y912&lt;&gt;"",ABS(N(Y912))&gt;0.3),"⚠ Lệch &gt; 30% so với nhu cầu",IF(Q912="Có","ℹ Kiểm tra ngoại suy KM","✓ Hợp lệ")))))</f>
        <v/>
      </c>
    </row>
    <row r="913">
      <c r="A913" s="16" t="n">
        <v>909</v>
      </c>
      <c r="B913" s="17" t="inlineStr">
        <is>
          <t>DEC-S43-LINGERIE</t>
        </is>
      </c>
      <c r="C913" s="16" t="n">
        <v>43</v>
      </c>
      <c r="D913" s="17" t="inlineStr">
        <is>
          <t>LINGERIE</t>
        </is>
      </c>
      <c r="E913" s="17" t="inlineStr">
        <is>
          <t>HIGH</t>
        </is>
      </c>
      <c r="F913" s="17" t="inlineStr">
        <is>
          <t>TRUNG BÌNH</t>
        </is>
      </c>
      <c r="G913" s="18" t="inlineStr">
        <is>
          <t>RISK_HIGH · PROMO_EXTRAPOLATION</t>
        </is>
      </c>
      <c r="H913" s="19" t="n">
        <v>8.505091059207917</v>
      </c>
      <c r="I913" s="19" t="n">
        <v>44.61614085733891</v>
      </c>
      <c r="J913" s="19" t="n">
        <v>136.5517880111933</v>
      </c>
      <c r="K913" s="19" t="n">
        <v>44.61614085733891</v>
      </c>
      <c r="L913" s="19" t="n">
        <v>102.0759203284979</v>
      </c>
      <c r="M913" s="19" t="n">
        <v>136.5517880111933</v>
      </c>
      <c r="N913" s="17" t="inlineStr">
        <is>
          <t>B</t>
        </is>
      </c>
      <c r="O913" s="19" t="n">
        <v>66.38300764262675</v>
      </c>
      <c r="P913" s="18" t="inlineStr">
        <is>
          <t>KHÔNG ĐỀ XUẤT TĂNG</t>
        </is>
      </c>
      <c r="Q913" s="17" t="inlineStr">
        <is>
          <t>Có</t>
        </is>
      </c>
      <c r="R913" s="20" t="n"/>
      <c r="S913" s="20" t="n"/>
      <c r="T913" s="21" t="n"/>
      <c r="U913" s="21" t="n"/>
      <c r="V913" s="22">
        <f>IF(U913="A",K913,IF(U913="B",L913,IF(U913="C",M913,IF(N913="A",K913,IF(N913="B",L913,M913)))))</f>
        <v/>
      </c>
      <c r="W913" s="22">
        <f>IF(R913="",O913,MAX(V913-R913-N(S913),0))</f>
        <v/>
      </c>
      <c r="X913" s="20" t="n"/>
      <c r="Y913" s="23">
        <f>IF(OR(X913="",W913=0),"",X913/W913-1)</f>
        <v/>
      </c>
      <c r="Z913" s="24" t="n"/>
      <c r="AA913" s="21" t="n"/>
      <c r="AB913" s="25" t="n"/>
      <c r="AC913" s="26">
        <f>IF(T913="","Chưa quyết định",IF(OR(Z913="",AA913=""),"⚠ Thiếu lý do/người duyệt",IF(AND(X913&lt;&gt;"",N(X913)+N(R913)+N(S913)&gt;M913*1.001,R913&lt;&gt;""),"⚠ Vượt mục tiêu P90",IF(AND(Y913&lt;&gt;"",ABS(N(Y913))&gt;0.3),"⚠ Lệch &gt; 30% so với nhu cầu",IF(Q913="Có","ℹ Kiểm tra ngoại suy KM","✓ Hợp lệ")))))</f>
        <v/>
      </c>
    </row>
    <row r="914">
      <c r="A914" s="16" t="n">
        <v>910</v>
      </c>
      <c r="B914" s="17" t="inlineStr">
        <is>
          <t>DEC-S25-AUTOMOTIVE</t>
        </is>
      </c>
      <c r="C914" s="16" t="n">
        <v>25</v>
      </c>
      <c r="D914" s="17" t="inlineStr">
        <is>
          <t>AUTOMOTIVE</t>
        </is>
      </c>
      <c r="E914" s="17" t="inlineStr">
        <is>
          <t>HIGH</t>
        </is>
      </c>
      <c r="F914" s="17" t="inlineStr">
        <is>
          <t>TRUNG BÌNH</t>
        </is>
      </c>
      <c r="G914" s="18" t="inlineStr">
        <is>
          <t>RISK_HIGH · PROMO_EXTRAPOLATION</t>
        </is>
      </c>
      <c r="H914" s="19" t="n">
        <v>5.326569056510925</v>
      </c>
      <c r="I914" s="19" t="n">
        <v>44.5104895234108</v>
      </c>
      <c r="J914" s="19" t="n">
        <v>142.8333937287331</v>
      </c>
      <c r="K914" s="19" t="n">
        <v>44.5104895234108</v>
      </c>
      <c r="L914" s="19" t="n">
        <v>105.9623046517372</v>
      </c>
      <c r="M914" s="19" t="n">
        <v>142.8333937287331</v>
      </c>
      <c r="N914" s="17" t="inlineStr">
        <is>
          <t>B</t>
        </is>
      </c>
      <c r="O914" s="19" t="n">
        <v>70.35391303300858</v>
      </c>
      <c r="P914" s="18" t="inlineStr">
        <is>
          <t>KHÔNG ĐỀ XUẤT TĂNG</t>
        </is>
      </c>
      <c r="Q914" s="17" t="inlineStr">
        <is>
          <t>Có</t>
        </is>
      </c>
      <c r="R914" s="20" t="n"/>
      <c r="S914" s="20" t="n"/>
      <c r="T914" s="21" t="n"/>
      <c r="U914" s="21" t="n"/>
      <c r="V914" s="22">
        <f>IF(U914="A",K914,IF(U914="B",L914,IF(U914="C",M914,IF(N914="A",K914,IF(N914="B",L914,M914)))))</f>
        <v/>
      </c>
      <c r="W914" s="22">
        <f>IF(R914="",O914,MAX(V914-R914-N(S914),0))</f>
        <v/>
      </c>
      <c r="X914" s="20" t="n"/>
      <c r="Y914" s="23">
        <f>IF(OR(X914="",W914=0),"",X914/W914-1)</f>
        <v/>
      </c>
      <c r="Z914" s="24" t="n"/>
      <c r="AA914" s="21" t="n"/>
      <c r="AB914" s="25" t="n"/>
      <c r="AC914" s="26">
        <f>IF(T914="","Chưa quyết định",IF(OR(Z914="",AA914=""),"⚠ Thiếu lý do/người duyệt",IF(AND(X914&lt;&gt;"",N(X914)+N(R914)+N(S914)&gt;M914*1.001,R914&lt;&gt;""),"⚠ Vượt mục tiêu P90",IF(AND(Y914&lt;&gt;"",ABS(N(Y914))&gt;0.3),"⚠ Lệch &gt; 30% so với nhu cầu",IF(Q914="Có","ℹ Kiểm tra ngoại suy KM","✓ Hợp lệ")))))</f>
        <v/>
      </c>
    </row>
    <row r="915">
      <c r="A915" s="16" t="n">
        <v>911</v>
      </c>
      <c r="B915" s="17" t="inlineStr">
        <is>
          <t>DEC-S21-PET_SUPPLIES</t>
        </is>
      </c>
      <c r="C915" s="16" t="n">
        <v>21</v>
      </c>
      <c r="D915" s="17" t="inlineStr">
        <is>
          <t>PET SUPPLIES</t>
        </is>
      </c>
      <c r="E915" s="17" t="inlineStr">
        <is>
          <t>HIGH</t>
        </is>
      </c>
      <c r="F915" s="17" t="inlineStr">
        <is>
          <t>TRUNG BÌNH</t>
        </is>
      </c>
      <c r="G915" s="18" t="inlineStr">
        <is>
          <t>RISK_HIGH · PROMO_EXTRAPOLATION</t>
        </is>
      </c>
      <c r="H915" s="19" t="n">
        <v>6.512096625566483</v>
      </c>
      <c r="I915" s="19" t="n">
        <v>44.46565238386393</v>
      </c>
      <c r="J915" s="19" t="n">
        <v>138.7902515545487</v>
      </c>
      <c r="K915" s="19" t="n">
        <v>44.46565238386393</v>
      </c>
      <c r="L915" s="19" t="n">
        <v>103.4185268655419</v>
      </c>
      <c r="M915" s="19" t="n">
        <v>138.7902515545487</v>
      </c>
      <c r="N915" s="17" t="inlineStr">
        <is>
          <t>B</t>
        </is>
      </c>
      <c r="O915" s="19" t="n">
        <v>67.84600495845079</v>
      </c>
      <c r="P915" s="18" t="inlineStr">
        <is>
          <t>KHÔNG ĐỀ XUẤT TĂNG</t>
        </is>
      </c>
      <c r="Q915" s="17" t="inlineStr">
        <is>
          <t>Có</t>
        </is>
      </c>
      <c r="R915" s="20" t="n"/>
      <c r="S915" s="20" t="n"/>
      <c r="T915" s="21" t="n"/>
      <c r="U915" s="21" t="n"/>
      <c r="V915" s="22">
        <f>IF(U915="A",K915,IF(U915="B",L915,IF(U915="C",M915,IF(N915="A",K915,IF(N915="B",L915,M915)))))</f>
        <v/>
      </c>
      <c r="W915" s="22">
        <f>IF(R915="",O915,MAX(V915-R915-N(S915),0))</f>
        <v/>
      </c>
      <c r="X915" s="20" t="n"/>
      <c r="Y915" s="23">
        <f>IF(OR(X915="",W915=0),"",X915/W915-1)</f>
        <v/>
      </c>
      <c r="Z915" s="24" t="n"/>
      <c r="AA915" s="21" t="n"/>
      <c r="AB915" s="25" t="n"/>
      <c r="AC915" s="26">
        <f>IF(T915="","Chưa quyết định",IF(OR(Z915="",AA915=""),"⚠ Thiếu lý do/người duyệt",IF(AND(X915&lt;&gt;"",N(X915)+N(R915)+N(S915)&gt;M915*1.001,R915&lt;&gt;""),"⚠ Vượt mục tiêu P90",IF(AND(Y915&lt;&gt;"",ABS(N(Y915))&gt;0.3),"⚠ Lệch &gt; 30% so với nhu cầu",IF(Q915="Có","ℹ Kiểm tra ngoại suy KM","✓ Hợp lệ")))))</f>
        <v/>
      </c>
    </row>
    <row r="916">
      <c r="A916" s="16" t="n">
        <v>912</v>
      </c>
      <c r="B916" s="17" t="inlineStr">
        <is>
          <t>DEC-S07-HOME_APPLIANCES</t>
        </is>
      </c>
      <c r="C916" s="16" t="n">
        <v>7</v>
      </c>
      <c r="D916" s="17" t="inlineStr">
        <is>
          <t>HOME APPLIANCES</t>
        </is>
      </c>
      <c r="E916" s="17" t="inlineStr">
        <is>
          <t>HIGH</t>
        </is>
      </c>
      <c r="F916" s="17" t="inlineStr">
        <is>
          <t>TRUNG BÌNH</t>
        </is>
      </c>
      <c r="G916" s="18" t="inlineStr">
        <is>
          <t>RISK_HIGH · PROMO_EXTRAPOLATION</t>
        </is>
      </c>
      <c r="H916" s="19" t="n">
        <v>5.569998931884766</v>
      </c>
      <c r="I916" s="19" t="n">
        <v>44.36063742637634</v>
      </c>
      <c r="J916" s="19" t="n">
        <v>140.554455947876</v>
      </c>
      <c r="K916" s="19" t="n">
        <v>44.36063742637634</v>
      </c>
      <c r="L916" s="19" t="n">
        <v>104.4817740023136</v>
      </c>
      <c r="M916" s="19" t="n">
        <v>140.554455947876</v>
      </c>
      <c r="N916" s="17" t="inlineStr">
        <is>
          <t>B</t>
        </is>
      </c>
      <c r="O916" s="19" t="n">
        <v>68.99326406121253</v>
      </c>
      <c r="P916" s="18" t="inlineStr">
        <is>
          <t>KHÔNG ĐỀ XUẤT TĂNG</t>
        </is>
      </c>
      <c r="Q916" s="17" t="inlineStr">
        <is>
          <t>Có</t>
        </is>
      </c>
      <c r="R916" s="20" t="n"/>
      <c r="S916" s="20" t="n"/>
      <c r="T916" s="21" t="n"/>
      <c r="U916" s="21" t="n"/>
      <c r="V916" s="22">
        <f>IF(U916="A",K916,IF(U916="B",L916,IF(U916="C",M916,IF(N916="A",K916,IF(N916="B",L916,M916)))))</f>
        <v/>
      </c>
      <c r="W916" s="22">
        <f>IF(R916="",O916,MAX(V916-R916-N(S916),0))</f>
        <v/>
      </c>
      <c r="X916" s="20" t="n"/>
      <c r="Y916" s="23">
        <f>IF(OR(X916="",W916=0),"",X916/W916-1)</f>
        <v/>
      </c>
      <c r="Z916" s="24" t="n"/>
      <c r="AA916" s="21" t="n"/>
      <c r="AB916" s="25" t="n"/>
      <c r="AC916" s="26">
        <f>IF(T916="","Chưa quyết định",IF(OR(Z916="",AA916=""),"⚠ Thiếu lý do/người duyệt",IF(AND(X916&lt;&gt;"",N(X916)+N(R916)+N(S916)&gt;M916*1.001,R916&lt;&gt;""),"⚠ Vượt mục tiêu P90",IF(AND(Y916&lt;&gt;"",ABS(N(Y916))&gt;0.3),"⚠ Lệch &gt; 30% so với nhu cầu",IF(Q916="Có","ℹ Kiểm tra ngoại suy KM","✓ Hợp lệ")))))</f>
        <v/>
      </c>
    </row>
    <row r="917">
      <c r="A917" s="16" t="n">
        <v>913</v>
      </c>
      <c r="B917" s="17" t="inlineStr">
        <is>
          <t>DEC-S24-BOOKS</t>
        </is>
      </c>
      <c r="C917" s="16" t="n">
        <v>24</v>
      </c>
      <c r="D917" s="17" t="inlineStr">
        <is>
          <t>BOOKS</t>
        </is>
      </c>
      <c r="E917" s="17" t="inlineStr">
        <is>
          <t>HIGH</t>
        </is>
      </c>
      <c r="F917" s="17" t="inlineStr">
        <is>
          <t>TRUNG BÌNH</t>
        </is>
      </c>
      <c r="G917" s="18" t="inlineStr">
        <is>
          <t>RISK_HIGH · PROMO_EXTRAPOLATION</t>
        </is>
      </c>
      <c r="H917" s="19" t="n">
        <v>6.159841442108155</v>
      </c>
      <c r="I917" s="19" t="n">
        <v>44.31612813472748</v>
      </c>
      <c r="J917" s="19" t="n">
        <v>138.6407273054123</v>
      </c>
      <c r="K917" s="19" t="n">
        <v>44.31612813472748</v>
      </c>
      <c r="L917" s="19" t="n">
        <v>103.2690026164055</v>
      </c>
      <c r="M917" s="19" t="n">
        <v>138.6407273054123</v>
      </c>
      <c r="N917" s="17" t="inlineStr">
        <is>
          <t>B</t>
        </is>
      </c>
      <c r="O917" s="19" t="n">
        <v>67.8161001086235</v>
      </c>
      <c r="P917" s="18" t="inlineStr">
        <is>
          <t>KHÔNG ĐỀ XUẤT TĂNG</t>
        </is>
      </c>
      <c r="Q917" s="17" t="inlineStr">
        <is>
          <t>Có</t>
        </is>
      </c>
      <c r="R917" s="20" t="n"/>
      <c r="S917" s="20" t="n"/>
      <c r="T917" s="21" t="n"/>
      <c r="U917" s="21" t="n"/>
      <c r="V917" s="22">
        <f>IF(U917="A",K917,IF(U917="B",L917,IF(U917="C",M917,IF(N917="A",K917,IF(N917="B",L917,M917)))))</f>
        <v/>
      </c>
      <c r="W917" s="22">
        <f>IF(R917="",O917,MAX(V917-R917-N(S917),0))</f>
        <v/>
      </c>
      <c r="X917" s="20" t="n"/>
      <c r="Y917" s="23">
        <f>IF(OR(X917="",W917=0),"",X917/W917-1)</f>
        <v/>
      </c>
      <c r="Z917" s="24" t="n"/>
      <c r="AA917" s="21" t="n"/>
      <c r="AB917" s="25" t="n"/>
      <c r="AC917" s="26">
        <f>IF(T917="","Chưa quyết định",IF(OR(Z917="",AA917=""),"⚠ Thiếu lý do/người duyệt",IF(AND(X917&lt;&gt;"",N(X917)+N(R917)+N(S917)&gt;M917*1.001,R917&lt;&gt;""),"⚠ Vượt mục tiêu P90",IF(AND(Y917&lt;&gt;"",ABS(N(Y917))&gt;0.3),"⚠ Lệch &gt; 30% so với nhu cầu",IF(Q917="Có","ℹ Kiểm tra ngoại suy KM","✓ Hợp lệ")))))</f>
        <v/>
      </c>
    </row>
    <row r="918">
      <c r="A918" s="16" t="n">
        <v>914</v>
      </c>
      <c r="B918" s="17" t="inlineStr">
        <is>
          <t>DEC-S47-HARDWARE</t>
        </is>
      </c>
      <c r="C918" s="16" t="n">
        <v>47</v>
      </c>
      <c r="D918" s="17" t="inlineStr">
        <is>
          <t>HARDWARE</t>
        </is>
      </c>
      <c r="E918" s="17" t="inlineStr">
        <is>
          <t>HIGH</t>
        </is>
      </c>
      <c r="F918" s="17" t="inlineStr">
        <is>
          <t>TRUNG BÌNH</t>
        </is>
      </c>
      <c r="G918" s="18" t="inlineStr">
        <is>
          <t>RISK_HIGH · PROMO_EXTRAPOLATION</t>
        </is>
      </c>
      <c r="H918" s="19" t="n">
        <v>5.358161365985871</v>
      </c>
      <c r="I918" s="19" t="n">
        <v>43.96682339906693</v>
      </c>
      <c r="J918" s="19" t="n">
        <v>136.4222032189369</v>
      </c>
      <c r="K918" s="19" t="n">
        <v>43.96682339906693</v>
      </c>
      <c r="L918" s="19" t="n">
        <v>101.7514357864857</v>
      </c>
      <c r="M918" s="19" t="n">
        <v>136.4222032189369</v>
      </c>
      <c r="N918" s="17" t="inlineStr">
        <is>
          <t>B</t>
        </is>
      </c>
      <c r="O918" s="19" t="n">
        <v>66.57797706723213</v>
      </c>
      <c r="P918" s="18" t="inlineStr">
        <is>
          <t>KHÔNG ĐỀ XUẤT TĂNG</t>
        </is>
      </c>
      <c r="Q918" s="17" t="inlineStr">
        <is>
          <t>Có</t>
        </is>
      </c>
      <c r="R918" s="20" t="n"/>
      <c r="S918" s="20" t="n"/>
      <c r="T918" s="21" t="n"/>
      <c r="U918" s="21" t="n"/>
      <c r="V918" s="22">
        <f>IF(U918="A",K918,IF(U918="B",L918,IF(U918="C",M918,IF(N918="A",K918,IF(N918="B",L918,M918)))))</f>
        <v/>
      </c>
      <c r="W918" s="22">
        <f>IF(R918="",O918,MAX(V918-R918-N(S918),0))</f>
        <v/>
      </c>
      <c r="X918" s="20" t="n"/>
      <c r="Y918" s="23">
        <f>IF(OR(X918="",W918=0),"",X918/W918-1)</f>
        <v/>
      </c>
      <c r="Z918" s="24" t="n"/>
      <c r="AA918" s="21" t="n"/>
      <c r="AB918" s="25" t="n"/>
      <c r="AC918" s="26">
        <f>IF(T918="","Chưa quyết định",IF(OR(Z918="",AA918=""),"⚠ Thiếu lý do/người duyệt",IF(AND(X918&lt;&gt;"",N(X918)+N(R918)+N(S918)&gt;M918*1.001,R918&lt;&gt;""),"⚠ Vượt mục tiêu P90",IF(AND(Y918&lt;&gt;"",ABS(N(Y918))&gt;0.3),"⚠ Lệch &gt; 30% so với nhu cầu",IF(Q918="Có","ℹ Kiểm tra ngoại suy KM","✓ Hợp lệ")))))</f>
        <v/>
      </c>
    </row>
    <row r="919">
      <c r="A919" s="16" t="n">
        <v>915</v>
      </c>
      <c r="B919" s="17" t="inlineStr">
        <is>
          <t>DEC-S48-HOME_APPLIANCES</t>
        </is>
      </c>
      <c r="C919" s="16" t="n">
        <v>48</v>
      </c>
      <c r="D919" s="17" t="inlineStr">
        <is>
          <t>HOME APPLIANCES</t>
        </is>
      </c>
      <c r="E919" s="17" t="inlineStr">
        <is>
          <t>HIGH</t>
        </is>
      </c>
      <c r="F919" s="17" t="inlineStr">
        <is>
          <t>TRUNG BÌNH</t>
        </is>
      </c>
      <c r="G919" s="18" t="inlineStr">
        <is>
          <t>RISK_HIGH · PROMO_EXTRAPOLATION</t>
        </is>
      </c>
      <c r="H919" s="19" t="n">
        <v>4.971166175603867</v>
      </c>
      <c r="I919" s="19" t="n">
        <v>43.65562907652929</v>
      </c>
      <c r="J919" s="19" t="n">
        <v>138.2400945802219</v>
      </c>
      <c r="K919" s="19" t="n">
        <v>43.65562907652929</v>
      </c>
      <c r="L919" s="19" t="n">
        <v>102.7709200163372</v>
      </c>
      <c r="M919" s="19" t="n">
        <v>138.2400945802219</v>
      </c>
      <c r="N919" s="17" t="inlineStr">
        <is>
          <t>B</t>
        </is>
      </c>
      <c r="O919" s="19" t="n">
        <v>67.84641675511375</v>
      </c>
      <c r="P919" s="18" t="inlineStr">
        <is>
          <t>KHÔNG ĐỀ XUẤT TĂNG</t>
        </is>
      </c>
      <c r="Q919" s="17" t="inlineStr">
        <is>
          <t>Có</t>
        </is>
      </c>
      <c r="R919" s="20" t="n"/>
      <c r="S919" s="20" t="n"/>
      <c r="T919" s="21" t="n"/>
      <c r="U919" s="21" t="n"/>
      <c r="V919" s="22">
        <f>IF(U919="A",K919,IF(U919="B",L919,IF(U919="C",M919,IF(N919="A",K919,IF(N919="B",L919,M919)))))</f>
        <v/>
      </c>
      <c r="W919" s="22">
        <f>IF(R919="",O919,MAX(V919-R919-N(S919),0))</f>
        <v/>
      </c>
      <c r="X919" s="20" t="n"/>
      <c r="Y919" s="23">
        <f>IF(OR(X919="",W919=0),"",X919/W919-1)</f>
        <v/>
      </c>
      <c r="Z919" s="24" t="n"/>
      <c r="AA919" s="21" t="n"/>
      <c r="AB919" s="25" t="n"/>
      <c r="AC919" s="26">
        <f>IF(T919="","Chưa quyết định",IF(OR(Z919="",AA919=""),"⚠ Thiếu lý do/người duyệt",IF(AND(X919&lt;&gt;"",N(X919)+N(R919)+N(S919)&gt;M919*1.001,R919&lt;&gt;""),"⚠ Vượt mục tiêu P90",IF(AND(Y919&lt;&gt;"",ABS(N(Y919))&gt;0.3),"⚠ Lệch &gt; 30% so với nhu cầu",IF(Q919="Có","ℹ Kiểm tra ngoại suy KM","✓ Hợp lệ")))))</f>
        <v/>
      </c>
    </row>
    <row r="920">
      <c r="A920" s="16" t="n">
        <v>916</v>
      </c>
      <c r="B920" s="17" t="inlineStr">
        <is>
          <t>DEC-S32-HOME_AND_KITCHEN_II</t>
        </is>
      </c>
      <c r="C920" s="16" t="n">
        <v>32</v>
      </c>
      <c r="D920" s="17" t="inlineStr">
        <is>
          <t>HOME AND KITCHEN II</t>
        </is>
      </c>
      <c r="E920" s="17" t="inlineStr">
        <is>
          <t>HIGH</t>
        </is>
      </c>
      <c r="F920" s="17" t="inlineStr">
        <is>
          <t>TRUNG BÌNH</t>
        </is>
      </c>
      <c r="G920" s="18" t="inlineStr">
        <is>
          <t>RISK_HIGH · PROMO_EXTRAPOLATION</t>
        </is>
      </c>
      <c r="H920" s="19" t="n">
        <v>5.104321336746216</v>
      </c>
      <c r="I920" s="19" t="n">
        <v>43.3161763548851</v>
      </c>
      <c r="J920" s="19" t="n">
        <v>137.6407755255699</v>
      </c>
      <c r="K920" s="19" t="n">
        <v>43.3161763548851</v>
      </c>
      <c r="L920" s="19" t="n">
        <v>102.2690508365631</v>
      </c>
      <c r="M920" s="19" t="n">
        <v>137.6407755255699</v>
      </c>
      <c r="N920" s="17" t="inlineStr">
        <is>
          <t>B</t>
        </is>
      </c>
      <c r="O920" s="19" t="n">
        <v>67.61610975265503</v>
      </c>
      <c r="P920" s="18" t="inlineStr">
        <is>
          <t>KHÔNG ĐỀ XUẤT TĂNG</t>
        </is>
      </c>
      <c r="Q920" s="17" t="inlineStr">
        <is>
          <t>Có</t>
        </is>
      </c>
      <c r="R920" s="20" t="n"/>
      <c r="S920" s="20" t="n"/>
      <c r="T920" s="21" t="n"/>
      <c r="U920" s="21" t="n"/>
      <c r="V920" s="22">
        <f>IF(U920="A",K920,IF(U920="B",L920,IF(U920="C",M920,IF(N920="A",K920,IF(N920="B",L920,M920)))))</f>
        <v/>
      </c>
      <c r="W920" s="22">
        <f>IF(R920="",O920,MAX(V920-R920-N(S920),0))</f>
        <v/>
      </c>
      <c r="X920" s="20" t="n"/>
      <c r="Y920" s="23">
        <f>IF(OR(X920="",W920=0),"",X920/W920-1)</f>
        <v/>
      </c>
      <c r="Z920" s="24" t="n"/>
      <c r="AA920" s="21" t="n"/>
      <c r="AB920" s="25" t="n"/>
      <c r="AC920" s="26">
        <f>IF(T920="","Chưa quyết định",IF(OR(Z920="",AA920=""),"⚠ Thiếu lý do/người duyệt",IF(AND(X920&lt;&gt;"",N(X920)+N(R920)+N(S920)&gt;M920*1.001,R920&lt;&gt;""),"⚠ Vượt mục tiêu P90",IF(AND(Y920&lt;&gt;"",ABS(N(Y920))&gt;0.3),"⚠ Lệch &gt; 30% so với nhu cầu",IF(Q920="Có","ℹ Kiểm tra ngoại suy KM","✓ Hợp lệ")))))</f>
        <v/>
      </c>
    </row>
    <row r="921">
      <c r="A921" s="16" t="n">
        <v>917</v>
      </c>
      <c r="B921" s="17" t="inlineStr">
        <is>
          <t>DEC-S24-HOME_APPLIANCES</t>
        </is>
      </c>
      <c r="C921" s="16" t="n">
        <v>24</v>
      </c>
      <c r="D921" s="17" t="inlineStr">
        <is>
          <t>HOME APPLIANCES</t>
        </is>
      </c>
      <c r="E921" s="17" t="inlineStr">
        <is>
          <t>HIGH</t>
        </is>
      </c>
      <c r="F921" s="17" t="inlineStr">
        <is>
          <t>TRUNG BÌNH</t>
        </is>
      </c>
      <c r="G921" s="18" t="inlineStr">
        <is>
          <t>RISK_HIGH · PROMO_EXTRAPOLATION</t>
        </is>
      </c>
      <c r="H921" s="19" t="n">
        <v>6.678632187843324</v>
      </c>
      <c r="I921" s="19" t="n">
        <v>43.20878082513809</v>
      </c>
      <c r="J921" s="19" t="n">
        <v>137.2735136628151</v>
      </c>
      <c r="K921" s="19" t="n">
        <v>43.20878082513809</v>
      </c>
      <c r="L921" s="19" t="n">
        <v>101.9992388486862</v>
      </c>
      <c r="M921" s="19" t="n">
        <v>137.2735136628151</v>
      </c>
      <c r="N921" s="17" t="inlineStr">
        <is>
          <t>B</t>
        </is>
      </c>
      <c r="O921" s="19" t="n">
        <v>67.43221418857574</v>
      </c>
      <c r="P921" s="18" t="inlineStr">
        <is>
          <t>KHÔNG ĐỀ XUẤT TĂNG</t>
        </is>
      </c>
      <c r="Q921" s="17" t="inlineStr">
        <is>
          <t>Có</t>
        </is>
      </c>
      <c r="R921" s="20" t="n"/>
      <c r="S921" s="20" t="n"/>
      <c r="T921" s="21" t="n"/>
      <c r="U921" s="21" t="n"/>
      <c r="V921" s="22">
        <f>IF(U921="A",K921,IF(U921="B",L921,IF(U921="C",M921,IF(N921="A",K921,IF(N921="B",L921,M921)))))</f>
        <v/>
      </c>
      <c r="W921" s="22">
        <f>IF(R921="",O921,MAX(V921-R921-N(S921),0))</f>
        <v/>
      </c>
      <c r="X921" s="20" t="n"/>
      <c r="Y921" s="23">
        <f>IF(OR(X921="",W921=0),"",X921/W921-1)</f>
        <v/>
      </c>
      <c r="Z921" s="24" t="n"/>
      <c r="AA921" s="21" t="n"/>
      <c r="AB921" s="25" t="n"/>
      <c r="AC921" s="26">
        <f>IF(T921="","Chưa quyết định",IF(OR(Z921="",AA921=""),"⚠ Thiếu lý do/người duyệt",IF(AND(X921&lt;&gt;"",N(X921)+N(R921)+N(S921)&gt;M921*1.001,R921&lt;&gt;""),"⚠ Vượt mục tiêu P90",IF(AND(Y921&lt;&gt;"",ABS(N(Y921))&gt;0.3),"⚠ Lệch &gt; 30% so với nhu cầu",IF(Q921="Có","ℹ Kiểm tra ngoại suy KM","✓ Hợp lệ")))))</f>
        <v/>
      </c>
    </row>
    <row r="922">
      <c r="A922" s="16" t="n">
        <v>918</v>
      </c>
      <c r="B922" s="17" t="inlineStr">
        <is>
          <t>DEC-S40-HARDWARE</t>
        </is>
      </c>
      <c r="C922" s="16" t="n">
        <v>40</v>
      </c>
      <c r="D922" s="17" t="inlineStr">
        <is>
          <t>HARDWARE</t>
        </is>
      </c>
      <c r="E922" s="17" t="inlineStr">
        <is>
          <t>HIGH</t>
        </is>
      </c>
      <c r="F922" s="17" t="inlineStr">
        <is>
          <t>TRUNG BÌNH</t>
        </is>
      </c>
      <c r="G922" s="18" t="inlineStr">
        <is>
          <t>RISK_HIGH · PROMO_EXTRAPOLATION</t>
        </is>
      </c>
      <c r="H922" s="19" t="n">
        <v>6.66582293510437</v>
      </c>
      <c r="I922" s="19" t="n">
        <v>43.10949564725161</v>
      </c>
      <c r="J922" s="19" t="n">
        <v>137.1742284849286</v>
      </c>
      <c r="K922" s="19" t="n">
        <v>43.10949564725161</v>
      </c>
      <c r="L922" s="19" t="n">
        <v>101.8999536707997</v>
      </c>
      <c r="M922" s="19" t="n">
        <v>137.1742284849286</v>
      </c>
      <c r="N922" s="17" t="inlineStr">
        <is>
          <t>B</t>
        </is>
      </c>
      <c r="O922" s="19" t="n">
        <v>67.41235715299845</v>
      </c>
      <c r="P922" s="18" t="inlineStr">
        <is>
          <t>KHÔNG ĐỀ XUẤT TĂNG</t>
        </is>
      </c>
      <c r="Q922" s="17" t="inlineStr">
        <is>
          <t>Có</t>
        </is>
      </c>
      <c r="R922" s="20" t="n"/>
      <c r="S922" s="20" t="n"/>
      <c r="T922" s="21" t="n"/>
      <c r="U922" s="21" t="n"/>
      <c r="V922" s="22">
        <f>IF(U922="A",K922,IF(U922="B",L922,IF(U922="C",M922,IF(N922="A",K922,IF(N922="B",L922,M922)))))</f>
        <v/>
      </c>
      <c r="W922" s="22">
        <f>IF(R922="",O922,MAX(V922-R922-N(S922),0))</f>
        <v/>
      </c>
      <c r="X922" s="20" t="n"/>
      <c r="Y922" s="23">
        <f>IF(OR(X922="",W922=0),"",X922/W922-1)</f>
        <v/>
      </c>
      <c r="Z922" s="24" t="n"/>
      <c r="AA922" s="21" t="n"/>
      <c r="AB922" s="25" t="n"/>
      <c r="AC922" s="26">
        <f>IF(T922="","Chưa quyết định",IF(OR(Z922="",AA922=""),"⚠ Thiếu lý do/người duyệt",IF(AND(X922&lt;&gt;"",N(X922)+N(R922)+N(S922)&gt;M922*1.001,R922&lt;&gt;""),"⚠ Vượt mục tiêu P90",IF(AND(Y922&lt;&gt;"",ABS(N(Y922))&gt;0.3),"⚠ Lệch &gt; 30% so với nhu cầu",IF(Q922="Có","ℹ Kiểm tra ngoại suy KM","✓ Hợp lệ")))))</f>
        <v/>
      </c>
    </row>
    <row r="923">
      <c r="A923" s="16" t="n">
        <v>919</v>
      </c>
      <c r="B923" s="17" t="inlineStr">
        <is>
          <t>DEC-S39-HARDWARE</t>
        </is>
      </c>
      <c r="C923" s="16" t="n">
        <v>39</v>
      </c>
      <c r="D923" s="17" t="inlineStr">
        <is>
          <t>HARDWARE</t>
        </is>
      </c>
      <c r="E923" s="17" t="inlineStr">
        <is>
          <t>HIGH</t>
        </is>
      </c>
      <c r="F923" s="17" t="inlineStr">
        <is>
          <t>TRUNG BÌNH</t>
        </is>
      </c>
      <c r="G923" s="18" t="inlineStr">
        <is>
          <t>RISK_HIGH · PROMO_EXTRAPOLATION</t>
        </is>
      </c>
      <c r="H923" s="19" t="n">
        <v>6.085083079338074</v>
      </c>
      <c r="I923" s="19" t="n">
        <v>43.09201513230801</v>
      </c>
      <c r="J923" s="19" t="n">
        <v>137.156747969985</v>
      </c>
      <c r="K923" s="19" t="n">
        <v>43.09201513230801</v>
      </c>
      <c r="L923" s="19" t="n">
        <v>101.8824731558561</v>
      </c>
      <c r="M923" s="19" t="n">
        <v>137.156747969985</v>
      </c>
      <c r="N923" s="17" t="inlineStr">
        <is>
          <t>B</t>
        </is>
      </c>
      <c r="O923" s="19" t="n">
        <v>67.40886105000973</v>
      </c>
      <c r="P923" s="18" t="inlineStr">
        <is>
          <t>KHÔNG ĐỀ XUẤT TĂNG</t>
        </is>
      </c>
      <c r="Q923" s="17" t="inlineStr">
        <is>
          <t>Có</t>
        </is>
      </c>
      <c r="R923" s="20" t="n"/>
      <c r="S923" s="20" t="n"/>
      <c r="T923" s="21" t="n"/>
      <c r="U923" s="21" t="n"/>
      <c r="V923" s="22">
        <f>IF(U923="A",K923,IF(U923="B",L923,IF(U923="C",M923,IF(N923="A",K923,IF(N923="B",L923,M923)))))</f>
        <v/>
      </c>
      <c r="W923" s="22">
        <f>IF(R923="",O923,MAX(V923-R923-N(S923),0))</f>
        <v/>
      </c>
      <c r="X923" s="20" t="n"/>
      <c r="Y923" s="23">
        <f>IF(OR(X923="",W923=0),"",X923/W923-1)</f>
        <v/>
      </c>
      <c r="Z923" s="24" t="n"/>
      <c r="AA923" s="21" t="n"/>
      <c r="AB923" s="25" t="n"/>
      <c r="AC923" s="26">
        <f>IF(T923="","Chưa quyết định",IF(OR(Z923="",AA923=""),"⚠ Thiếu lý do/người duyệt",IF(AND(X923&lt;&gt;"",N(X923)+N(R923)+N(S923)&gt;M923*1.001,R923&lt;&gt;""),"⚠ Vượt mục tiêu P90",IF(AND(Y923&lt;&gt;"",ABS(N(Y923))&gt;0.3),"⚠ Lệch &gt; 30% so với nhu cầu",IF(Q923="Có","ℹ Kiểm tra ngoại suy KM","✓ Hợp lệ")))))</f>
        <v/>
      </c>
    </row>
    <row r="924">
      <c r="A924" s="16" t="n">
        <v>920</v>
      </c>
      <c r="B924" s="17" t="inlineStr">
        <is>
          <t>DEC-S11-HARDWARE</t>
        </is>
      </c>
      <c r="C924" s="16" t="n">
        <v>11</v>
      </c>
      <c r="D924" s="17" t="inlineStr">
        <is>
          <t>HARDWARE</t>
        </is>
      </c>
      <c r="E924" s="17" t="inlineStr">
        <is>
          <t>HIGH</t>
        </is>
      </c>
      <c r="F924" s="17" t="inlineStr">
        <is>
          <t>TRUNG BÌNH</t>
        </is>
      </c>
      <c r="G924" s="18" t="inlineStr">
        <is>
          <t>RISK_HIGH · PROMO_EXTRAPOLATION</t>
        </is>
      </c>
      <c r="H924" s="19" t="n">
        <v>7.149593698978425</v>
      </c>
      <c r="I924" s="19" t="n">
        <v>42.86376392841339</v>
      </c>
      <c r="J924" s="19" t="n">
        <v>136.9284967660904</v>
      </c>
      <c r="K924" s="19" t="n">
        <v>42.86376392841339</v>
      </c>
      <c r="L924" s="19" t="n">
        <v>101.6542219519615</v>
      </c>
      <c r="M924" s="19" t="n">
        <v>136.9284967660904</v>
      </c>
      <c r="N924" s="17" t="inlineStr">
        <is>
          <t>B</t>
        </is>
      </c>
      <c r="O924" s="19" t="n">
        <v>67.36321080923079</v>
      </c>
      <c r="P924" s="18" t="inlineStr">
        <is>
          <t>KHÔNG ĐỀ XUẤT TĂNG</t>
        </is>
      </c>
      <c r="Q924" s="17" t="inlineStr">
        <is>
          <t>Có</t>
        </is>
      </c>
      <c r="R924" s="20" t="n"/>
      <c r="S924" s="20" t="n"/>
      <c r="T924" s="21" t="n"/>
      <c r="U924" s="21" t="n"/>
      <c r="V924" s="22">
        <f>IF(U924="A",K924,IF(U924="B",L924,IF(U924="C",M924,IF(N924="A",K924,IF(N924="B",L924,M924)))))</f>
        <v/>
      </c>
      <c r="W924" s="22">
        <f>IF(R924="",O924,MAX(V924-R924-N(S924),0))</f>
        <v/>
      </c>
      <c r="X924" s="20" t="n"/>
      <c r="Y924" s="23">
        <f>IF(OR(X924="",W924=0),"",X924/W924-1)</f>
        <v/>
      </c>
      <c r="Z924" s="24" t="n"/>
      <c r="AA924" s="21" t="n"/>
      <c r="AB924" s="25" t="n"/>
      <c r="AC924" s="26">
        <f>IF(T924="","Chưa quyết định",IF(OR(Z924="",AA924=""),"⚠ Thiếu lý do/người duyệt",IF(AND(X924&lt;&gt;"",N(X924)+N(R924)+N(S924)&gt;M924*1.001,R924&lt;&gt;""),"⚠ Vượt mục tiêu P90",IF(AND(Y924&lt;&gt;"",ABS(N(Y924))&gt;0.3),"⚠ Lệch &gt; 30% so với nhu cầu",IF(Q924="Có","ℹ Kiểm tra ngoại suy KM","✓ Hợp lệ")))))</f>
        <v/>
      </c>
    </row>
    <row r="925">
      <c r="A925" s="16" t="n">
        <v>921</v>
      </c>
      <c r="B925" s="17" t="inlineStr">
        <is>
          <t>DEC-S49-BABY_CARE</t>
        </is>
      </c>
      <c r="C925" s="16" t="n">
        <v>49</v>
      </c>
      <c r="D925" s="17" t="inlineStr">
        <is>
          <t>BABY CARE</t>
        </is>
      </c>
      <c r="E925" s="17" t="inlineStr">
        <is>
          <t>HIGH</t>
        </is>
      </c>
      <c r="F925" s="17" t="inlineStr">
        <is>
          <t>TRUNG BÌNH</t>
        </is>
      </c>
      <c r="G925" s="18" t="inlineStr">
        <is>
          <t>RISK_HIGH · PROMO_EXTRAPOLATION</t>
        </is>
      </c>
      <c r="H925" s="19" t="n">
        <v>8.753172665834427</v>
      </c>
      <c r="I925" s="19" t="n">
        <v>42.4294146001339</v>
      </c>
      <c r="J925" s="19" t="n">
        <v>132.2359760701656</v>
      </c>
      <c r="K925" s="19" t="n">
        <v>42.4294146001339</v>
      </c>
      <c r="L925" s="19" t="n">
        <v>98.55851551890373</v>
      </c>
      <c r="M925" s="19" t="n">
        <v>132.2359760701656</v>
      </c>
      <c r="N925" s="17" t="inlineStr">
        <is>
          <t>B</t>
        </is>
      </c>
      <c r="O925" s="19" t="n">
        <v>64.6149838387966</v>
      </c>
      <c r="P925" s="18" t="inlineStr">
        <is>
          <t>KHÔNG ĐỀ XUẤT TĂNG</t>
        </is>
      </c>
      <c r="Q925" s="17" t="inlineStr">
        <is>
          <t>Có</t>
        </is>
      </c>
      <c r="R925" s="20" t="n"/>
      <c r="S925" s="20" t="n"/>
      <c r="T925" s="21" t="n"/>
      <c r="U925" s="21" t="n"/>
      <c r="V925" s="22">
        <f>IF(U925="A",K925,IF(U925="B",L925,IF(U925="C",M925,IF(N925="A",K925,IF(N925="B",L925,M925)))))</f>
        <v/>
      </c>
      <c r="W925" s="22">
        <f>IF(R925="",O925,MAX(V925-R925-N(S925),0))</f>
        <v/>
      </c>
      <c r="X925" s="20" t="n"/>
      <c r="Y925" s="23">
        <f>IF(OR(X925="",W925=0),"",X925/W925-1)</f>
        <v/>
      </c>
      <c r="Z925" s="24" t="n"/>
      <c r="AA925" s="21" t="n"/>
      <c r="AB925" s="25" t="n"/>
      <c r="AC925" s="26">
        <f>IF(T925="","Chưa quyết định",IF(OR(Z925="",AA925=""),"⚠ Thiếu lý do/người duyệt",IF(AND(X925&lt;&gt;"",N(X925)+N(R925)+N(S925)&gt;M925*1.001,R925&lt;&gt;""),"⚠ Vượt mục tiêu P90",IF(AND(Y925&lt;&gt;"",ABS(N(Y925))&gt;0.3),"⚠ Lệch &gt; 30% so với nhu cầu",IF(Q925="Có","ℹ Kiểm tra ngoại suy KM","✓ Hợp lệ")))))</f>
        <v/>
      </c>
    </row>
    <row r="926">
      <c r="A926" s="16" t="n">
        <v>922</v>
      </c>
      <c r="B926" s="17" t="inlineStr">
        <is>
          <t>DEC-S49-BOOKS</t>
        </is>
      </c>
      <c r="C926" s="16" t="n">
        <v>49</v>
      </c>
      <c r="D926" s="17" t="inlineStr">
        <is>
          <t>BOOKS</t>
        </is>
      </c>
      <c r="E926" s="17" t="inlineStr">
        <is>
          <t>HIGH</t>
        </is>
      </c>
      <c r="F926" s="17" t="inlineStr">
        <is>
          <t>TRUNG BÌNH</t>
        </is>
      </c>
      <c r="G926" s="18" t="inlineStr">
        <is>
          <t>RISK_HIGH · PROMO_EXTRAPOLATION</t>
        </is>
      </c>
      <c r="H926" s="19" t="n">
        <v>8.753172665834427</v>
      </c>
      <c r="I926" s="19" t="n">
        <v>42.4294146001339</v>
      </c>
      <c r="J926" s="19" t="n">
        <v>132.2359760701656</v>
      </c>
      <c r="K926" s="19" t="n">
        <v>42.4294146001339</v>
      </c>
      <c r="L926" s="19" t="n">
        <v>98.55851551890373</v>
      </c>
      <c r="M926" s="19" t="n">
        <v>132.2359760701656</v>
      </c>
      <c r="N926" s="17" t="inlineStr">
        <is>
          <t>B</t>
        </is>
      </c>
      <c r="O926" s="19" t="n">
        <v>64.6149838387966</v>
      </c>
      <c r="P926" s="18" t="inlineStr">
        <is>
          <t>KHÔNG ĐỀ XUẤT TĂNG</t>
        </is>
      </c>
      <c r="Q926" s="17" t="inlineStr">
        <is>
          <t>Có</t>
        </is>
      </c>
      <c r="R926" s="20" t="n"/>
      <c r="S926" s="20" t="n"/>
      <c r="T926" s="21" t="n"/>
      <c r="U926" s="21" t="n"/>
      <c r="V926" s="22">
        <f>IF(U926="A",K926,IF(U926="B",L926,IF(U926="C",M926,IF(N926="A",K926,IF(N926="B",L926,M926)))))</f>
        <v/>
      </c>
      <c r="W926" s="22">
        <f>IF(R926="",O926,MAX(V926-R926-N(S926),0))</f>
        <v/>
      </c>
      <c r="X926" s="20" t="n"/>
      <c r="Y926" s="23">
        <f>IF(OR(X926="",W926=0),"",X926/W926-1)</f>
        <v/>
      </c>
      <c r="Z926" s="24" t="n"/>
      <c r="AA926" s="21" t="n"/>
      <c r="AB926" s="25" t="n"/>
      <c r="AC926" s="26">
        <f>IF(T926="","Chưa quyết định",IF(OR(Z926="",AA926=""),"⚠ Thiếu lý do/người duyệt",IF(AND(X926&lt;&gt;"",N(X926)+N(R926)+N(S926)&gt;M926*1.001,R926&lt;&gt;""),"⚠ Vượt mục tiêu P90",IF(AND(Y926&lt;&gt;"",ABS(N(Y926))&gt;0.3),"⚠ Lệch &gt; 30% so với nhu cầu",IF(Q926="Có","ℹ Kiểm tra ngoại suy KM","✓ Hợp lệ")))))</f>
        <v/>
      </c>
    </row>
    <row r="927">
      <c r="A927" s="16" t="n">
        <v>923</v>
      </c>
      <c r="B927" s="17" t="inlineStr">
        <is>
          <t>DEC-S36-PET_SUPPLIES</t>
        </is>
      </c>
      <c r="C927" s="16" t="n">
        <v>36</v>
      </c>
      <c r="D927" s="17" t="inlineStr">
        <is>
          <t>PET SUPPLIES</t>
        </is>
      </c>
      <c r="E927" s="17" t="inlineStr">
        <is>
          <t>HIGH</t>
        </is>
      </c>
      <c r="F927" s="17" t="inlineStr">
        <is>
          <t>TRUNG BÌNH</t>
        </is>
      </c>
      <c r="G927" s="18" t="inlineStr">
        <is>
          <t>RISK_HIGH · PROMO_EXTRAPOLATION</t>
        </is>
      </c>
      <c r="H927" s="19" t="n">
        <v>7.084496760368348</v>
      </c>
      <c r="I927" s="19" t="n">
        <v>42.34904527664185</v>
      </c>
      <c r="J927" s="19" t="n">
        <v>134.2846924304962</v>
      </c>
      <c r="K927" s="19" t="n">
        <v>42.34904527664185</v>
      </c>
      <c r="L927" s="19" t="n">
        <v>99.80882474780083</v>
      </c>
      <c r="M927" s="19" t="n">
        <v>134.2846924304962</v>
      </c>
      <c r="N927" s="17" t="inlineStr">
        <is>
          <t>B</t>
        </is>
      </c>
      <c r="O927" s="19" t="n">
        <v>65.92958852648735</v>
      </c>
      <c r="P927" s="18" t="inlineStr">
        <is>
          <t>KHÔNG ĐỀ XUẤT TĂNG</t>
        </is>
      </c>
      <c r="Q927" s="17" t="inlineStr">
        <is>
          <t>Có</t>
        </is>
      </c>
      <c r="R927" s="20" t="n"/>
      <c r="S927" s="20" t="n"/>
      <c r="T927" s="21" t="n"/>
      <c r="U927" s="21" t="n"/>
      <c r="V927" s="22">
        <f>IF(U927="A",K927,IF(U927="B",L927,IF(U927="C",M927,IF(N927="A",K927,IF(N927="B",L927,M927)))))</f>
        <v/>
      </c>
      <c r="W927" s="22">
        <f>IF(R927="",O927,MAX(V927-R927-N(S927),0))</f>
        <v/>
      </c>
      <c r="X927" s="20" t="n"/>
      <c r="Y927" s="23">
        <f>IF(OR(X927="",W927=0),"",X927/W927-1)</f>
        <v/>
      </c>
      <c r="Z927" s="24" t="n"/>
      <c r="AA927" s="21" t="n"/>
      <c r="AB927" s="25" t="n"/>
      <c r="AC927" s="26">
        <f>IF(T927="","Chưa quyết định",IF(OR(Z927="",AA927=""),"⚠ Thiếu lý do/người duyệt",IF(AND(X927&lt;&gt;"",N(X927)+N(R927)+N(S927)&gt;M927*1.001,R927&lt;&gt;""),"⚠ Vượt mục tiêu P90",IF(AND(Y927&lt;&gt;"",ABS(N(Y927))&gt;0.3),"⚠ Lệch &gt; 30% so với nhu cầu",IF(Q927="Có","ℹ Kiểm tra ngoại suy KM","✓ Hợp lệ")))))</f>
        <v/>
      </c>
    </row>
    <row r="928">
      <c r="A928" s="16" t="n">
        <v>924</v>
      </c>
      <c r="B928" s="17" t="inlineStr">
        <is>
          <t>DEC-S08-BOOKS</t>
        </is>
      </c>
      <c r="C928" s="16" t="n">
        <v>8</v>
      </c>
      <c r="D928" s="17" t="inlineStr">
        <is>
          <t>BOOKS</t>
        </is>
      </c>
      <c r="E928" s="17" t="inlineStr">
        <is>
          <t>HIGH</t>
        </is>
      </c>
      <c r="F928" s="17" t="inlineStr">
        <is>
          <t>TRUNG BÌNH</t>
        </is>
      </c>
      <c r="G928" s="18" t="inlineStr">
        <is>
          <t>RISK_HIGH · PROMO_EXTRAPOLATION</t>
        </is>
      </c>
      <c r="H928" s="19" t="n">
        <v>9.468629825115205</v>
      </c>
      <c r="I928" s="19" t="n">
        <v>42.15296185016632</v>
      </c>
      <c r="J928" s="19" t="n">
        <v>133.8287426710129</v>
      </c>
      <c r="K928" s="19" t="n">
        <v>42.15296185016632</v>
      </c>
      <c r="L928" s="19" t="n">
        <v>99.45032486319542</v>
      </c>
      <c r="M928" s="19" t="n">
        <v>133.8287426710129</v>
      </c>
      <c r="N928" s="17" t="inlineStr">
        <is>
          <t>B</t>
        </is>
      </c>
      <c r="O928" s="19" t="n">
        <v>65.72795538306235</v>
      </c>
      <c r="P928" s="18" t="inlineStr">
        <is>
          <t>KHÔNG ĐỀ XUẤT TĂNG</t>
        </is>
      </c>
      <c r="Q928" s="17" t="inlineStr">
        <is>
          <t>Có</t>
        </is>
      </c>
      <c r="R928" s="20" t="n"/>
      <c r="S928" s="20" t="n"/>
      <c r="T928" s="21" t="n"/>
      <c r="U928" s="21" t="n"/>
      <c r="V928" s="22">
        <f>IF(U928="A",K928,IF(U928="B",L928,IF(U928="C",M928,IF(N928="A",K928,IF(N928="B",L928,M928)))))</f>
        <v/>
      </c>
      <c r="W928" s="22">
        <f>IF(R928="",O928,MAX(V928-R928-N(S928),0))</f>
        <v/>
      </c>
      <c r="X928" s="20" t="n"/>
      <c r="Y928" s="23">
        <f>IF(OR(X928="",W928=0),"",X928/W928-1)</f>
        <v/>
      </c>
      <c r="Z928" s="24" t="n"/>
      <c r="AA928" s="21" t="n"/>
      <c r="AB928" s="25" t="n"/>
      <c r="AC928" s="26">
        <f>IF(T928="","Chưa quyết định",IF(OR(Z928="",AA928=""),"⚠ Thiếu lý do/người duyệt",IF(AND(X928&lt;&gt;"",N(X928)+N(R928)+N(S928)&gt;M928*1.001,R928&lt;&gt;""),"⚠ Vượt mục tiêu P90",IF(AND(Y928&lt;&gt;"",ABS(N(Y928))&gt;0.3),"⚠ Lệch &gt; 30% so với nhu cầu",IF(Q928="Có","ℹ Kiểm tra ngoại suy KM","✓ Hợp lệ")))))</f>
        <v/>
      </c>
    </row>
    <row r="929">
      <c r="A929" s="16" t="n">
        <v>925</v>
      </c>
      <c r="B929" s="17" t="inlineStr">
        <is>
          <t>DEC-S28-HOME_APPLIANCES</t>
        </is>
      </c>
      <c r="C929" s="16" t="n">
        <v>28</v>
      </c>
      <c r="D929" s="17" t="inlineStr">
        <is>
          <t>HOME APPLIANCES</t>
        </is>
      </c>
      <c r="E929" s="17" t="inlineStr">
        <is>
          <t>HIGH</t>
        </is>
      </c>
      <c r="F929" s="17" t="inlineStr">
        <is>
          <t>TRUNG BÌNH</t>
        </is>
      </c>
      <c r="G929" s="18" t="inlineStr">
        <is>
          <t>RISK_HIGH · PROMO_EXTRAPOLATION</t>
        </is>
      </c>
      <c r="H929" s="19" t="n">
        <v>5.525416696071625</v>
      </c>
      <c r="I929" s="19" t="n">
        <v>42.14014394953847</v>
      </c>
      <c r="J929" s="19" t="n">
        <v>134.3356574364007</v>
      </c>
      <c r="K929" s="19" t="n">
        <v>42.14014394953847</v>
      </c>
      <c r="L929" s="19" t="n">
        <v>99.76233987882733</v>
      </c>
      <c r="M929" s="19" t="n">
        <v>134.3356574364007</v>
      </c>
      <c r="N929" s="17" t="inlineStr">
        <is>
          <t>B</t>
        </is>
      </c>
      <c r="O929" s="19" t="n">
        <v>66.05022471919656</v>
      </c>
      <c r="P929" s="18" t="inlineStr">
        <is>
          <t>KHÔNG ĐỀ XUẤT TĂNG</t>
        </is>
      </c>
      <c r="Q929" s="17" t="inlineStr">
        <is>
          <t>Có</t>
        </is>
      </c>
      <c r="R929" s="20" t="n"/>
      <c r="S929" s="20" t="n"/>
      <c r="T929" s="21" t="n"/>
      <c r="U929" s="21" t="n"/>
      <c r="V929" s="22">
        <f>IF(U929="A",K929,IF(U929="B",L929,IF(U929="C",M929,IF(N929="A",K929,IF(N929="B",L929,M929)))))</f>
        <v/>
      </c>
      <c r="W929" s="22">
        <f>IF(R929="",O929,MAX(V929-R929-N(S929),0))</f>
        <v/>
      </c>
      <c r="X929" s="20" t="n"/>
      <c r="Y929" s="23">
        <f>IF(OR(X929="",W929=0),"",X929/W929-1)</f>
        <v/>
      </c>
      <c r="Z929" s="24" t="n"/>
      <c r="AA929" s="21" t="n"/>
      <c r="AB929" s="25" t="n"/>
      <c r="AC929" s="26">
        <f>IF(T929="","Chưa quyết định",IF(OR(Z929="",AA929=""),"⚠ Thiếu lý do/người duyệt",IF(AND(X929&lt;&gt;"",N(X929)+N(R929)+N(S929)&gt;M929*1.001,R929&lt;&gt;""),"⚠ Vượt mục tiêu P90",IF(AND(Y929&lt;&gt;"",ABS(N(Y929))&gt;0.3),"⚠ Lệch &gt; 30% so với nhu cầu",IF(Q929="Có","ℹ Kiểm tra ngoại suy KM","✓ Hợp lệ")))))</f>
        <v/>
      </c>
    </row>
    <row r="930">
      <c r="A930" s="16" t="n">
        <v>926</v>
      </c>
      <c r="B930" s="17" t="inlineStr">
        <is>
          <t>DEC-S44-HOME_APPLIANCES</t>
        </is>
      </c>
      <c r="C930" s="16" t="n">
        <v>44</v>
      </c>
      <c r="D930" s="17" t="inlineStr">
        <is>
          <t>HOME APPLIANCES</t>
        </is>
      </c>
      <c r="E930" s="17" t="inlineStr">
        <is>
          <t>HIGH</t>
        </is>
      </c>
      <c r="F930" s="17" t="inlineStr">
        <is>
          <t>TRUNG BÌNH</t>
        </is>
      </c>
      <c r="G930" s="18" t="inlineStr">
        <is>
          <t>RISK_HIGH · PROMO_EXTRAPOLATION</t>
        </is>
      </c>
      <c r="H930" s="19" t="n">
        <v>8.078008750081063</v>
      </c>
      <c r="I930" s="19" t="n">
        <v>41.82309313118458</v>
      </c>
      <c r="J930" s="19" t="n">
        <v>132.1493872672319</v>
      </c>
      <c r="K930" s="19" t="n">
        <v>41.82309313118458</v>
      </c>
      <c r="L930" s="19" t="n">
        <v>98.27702696621418</v>
      </c>
      <c r="M930" s="19" t="n">
        <v>132.1493872672319</v>
      </c>
      <c r="N930" s="17" t="inlineStr">
        <is>
          <t>B</t>
        </is>
      </c>
      <c r="O930" s="19" t="n">
        <v>64.81855246126651</v>
      </c>
      <c r="P930" s="18" t="inlineStr">
        <is>
          <t>KHÔNG ĐỀ XUẤT TĂNG</t>
        </is>
      </c>
      <c r="Q930" s="17" t="inlineStr">
        <is>
          <t>Có</t>
        </is>
      </c>
      <c r="R930" s="20" t="n"/>
      <c r="S930" s="20" t="n"/>
      <c r="T930" s="21" t="n"/>
      <c r="U930" s="21" t="n"/>
      <c r="V930" s="22">
        <f>IF(U930="A",K930,IF(U930="B",L930,IF(U930="C",M930,IF(N930="A",K930,IF(N930="B",L930,M930)))))</f>
        <v/>
      </c>
      <c r="W930" s="22">
        <f>IF(R930="",O930,MAX(V930-R930-N(S930),0))</f>
        <v/>
      </c>
      <c r="X930" s="20" t="n"/>
      <c r="Y930" s="23">
        <f>IF(OR(X930="",W930=0),"",X930/W930-1)</f>
        <v/>
      </c>
      <c r="Z930" s="24" t="n"/>
      <c r="AA930" s="21" t="n"/>
      <c r="AB930" s="25" t="n"/>
      <c r="AC930" s="26">
        <f>IF(T930="","Chưa quyết định",IF(OR(Z930="",AA930=""),"⚠ Thiếu lý do/người duyệt",IF(AND(X930&lt;&gt;"",N(X930)+N(R930)+N(S930)&gt;M930*1.001,R930&lt;&gt;""),"⚠ Vượt mục tiêu P90",IF(AND(Y930&lt;&gt;"",ABS(N(Y930))&gt;0.3),"⚠ Lệch &gt; 30% so với nhu cầu",IF(Q930="Có","ℹ Kiểm tra ngoại suy KM","✓ Hợp lệ")))))</f>
        <v/>
      </c>
    </row>
    <row r="931">
      <c r="A931" s="16" t="n">
        <v>927</v>
      </c>
      <c r="B931" s="17" t="inlineStr">
        <is>
          <t>DEC-S53-SEAFOOD</t>
        </is>
      </c>
      <c r="C931" s="16" t="n">
        <v>53</v>
      </c>
      <c r="D931" s="17" t="inlineStr">
        <is>
          <t>SEAFOOD</t>
        </is>
      </c>
      <c r="E931" s="17" t="inlineStr">
        <is>
          <t>HIGH</t>
        </is>
      </c>
      <c r="F931" s="17" t="inlineStr">
        <is>
          <t>TRUNG BÌNH</t>
        </is>
      </c>
      <c r="G931" s="18" t="inlineStr">
        <is>
          <t>RISK_HIGH · PROMO_EXTRAPOLATION</t>
        </is>
      </c>
      <c r="H931" s="19" t="n">
        <v>16.73993301391602</v>
      </c>
      <c r="I931" s="19" t="n">
        <v>41.32794761657715</v>
      </c>
      <c r="J931" s="19" t="n">
        <v>130.7093614578247</v>
      </c>
      <c r="K931" s="19" t="n">
        <v>41.32794761657715</v>
      </c>
      <c r="L931" s="19" t="n">
        <v>97.19133126735687</v>
      </c>
      <c r="M931" s="19" t="n">
        <v>130.7093614578247</v>
      </c>
      <c r="N931" s="17" t="inlineStr">
        <is>
          <t>B</t>
        </is>
      </c>
      <c r="O931" s="19" t="n">
        <v>64.12897317409515</v>
      </c>
      <c r="P931" s="18" t="inlineStr">
        <is>
          <t>CÂN NHẮC THỬ NGHIỆM</t>
        </is>
      </c>
      <c r="Q931" s="17" t="inlineStr">
        <is>
          <t>Có</t>
        </is>
      </c>
      <c r="R931" s="20" t="n"/>
      <c r="S931" s="20" t="n"/>
      <c r="T931" s="21" t="n"/>
      <c r="U931" s="21" t="n"/>
      <c r="V931" s="22">
        <f>IF(U931="A",K931,IF(U931="B",L931,IF(U931="C",M931,IF(N931="A",K931,IF(N931="B",L931,M931)))))</f>
        <v/>
      </c>
      <c r="W931" s="22">
        <f>IF(R931="",O931,MAX(V931-R931-N(S931),0))</f>
        <v/>
      </c>
      <c r="X931" s="20" t="n"/>
      <c r="Y931" s="23">
        <f>IF(OR(X931="",W931=0),"",X931/W931-1)</f>
        <v/>
      </c>
      <c r="Z931" s="24" t="n"/>
      <c r="AA931" s="21" t="n"/>
      <c r="AB931" s="25" t="n"/>
      <c r="AC931" s="26">
        <f>IF(T931="","Chưa quyết định",IF(OR(Z931="",AA931=""),"⚠ Thiếu lý do/người duyệt",IF(AND(X931&lt;&gt;"",N(X931)+N(R931)+N(S931)&gt;M931*1.001,R931&lt;&gt;""),"⚠ Vượt mục tiêu P90",IF(AND(Y931&lt;&gt;"",ABS(N(Y931))&gt;0.3),"⚠ Lệch &gt; 30% so với nhu cầu",IF(Q931="Có","ℹ Kiểm tra ngoại suy KM","✓ Hợp lệ")))))</f>
        <v/>
      </c>
    </row>
    <row r="932">
      <c r="A932" s="16" t="n">
        <v>928</v>
      </c>
      <c r="B932" s="17" t="inlineStr">
        <is>
          <t>DEC-S11-HOME_APPLIANCES</t>
        </is>
      </c>
      <c r="C932" s="16" t="n">
        <v>11</v>
      </c>
      <c r="D932" s="17" t="inlineStr">
        <is>
          <t>HOME APPLIANCES</t>
        </is>
      </c>
      <c r="E932" s="17" t="inlineStr">
        <is>
          <t>HIGH</t>
        </is>
      </c>
      <c r="F932" s="17" t="inlineStr">
        <is>
          <t>TRUNG BÌNH</t>
        </is>
      </c>
      <c r="G932" s="18" t="inlineStr">
        <is>
          <t>RISK_HIGH · PROMO_EXTRAPOLATION</t>
        </is>
      </c>
      <c r="H932" s="19" t="n">
        <v>6.345830553770066</v>
      </c>
      <c r="I932" s="19" t="n">
        <v>40.97191569209099</v>
      </c>
      <c r="J932" s="19" t="n">
        <v>132.9075628459454</v>
      </c>
      <c r="K932" s="19" t="n">
        <v>40.97191569209099</v>
      </c>
      <c r="L932" s="19" t="n">
        <v>98.43169516324997</v>
      </c>
      <c r="M932" s="19" t="n">
        <v>132.9075628459454</v>
      </c>
      <c r="N932" s="17" t="inlineStr">
        <is>
          <t>B</t>
        </is>
      </c>
      <c r="O932" s="19" t="n">
        <v>65.65416260957718</v>
      </c>
      <c r="P932" s="18" t="inlineStr">
        <is>
          <t>KHÔNG ĐỀ XUẤT TĂNG</t>
        </is>
      </c>
      <c r="Q932" s="17" t="inlineStr">
        <is>
          <t>Có</t>
        </is>
      </c>
      <c r="R932" s="20" t="n"/>
      <c r="S932" s="20" t="n"/>
      <c r="T932" s="21" t="n"/>
      <c r="U932" s="21" t="n"/>
      <c r="V932" s="22">
        <f>IF(U932="A",K932,IF(U932="B",L932,IF(U932="C",M932,IF(N932="A",K932,IF(N932="B",L932,M932)))))</f>
        <v/>
      </c>
      <c r="W932" s="22">
        <f>IF(R932="",O932,MAX(V932-R932-N(S932),0))</f>
        <v/>
      </c>
      <c r="X932" s="20" t="n"/>
      <c r="Y932" s="23">
        <f>IF(OR(X932="",W932=0),"",X932/W932-1)</f>
        <v/>
      </c>
      <c r="Z932" s="24" t="n"/>
      <c r="AA932" s="21" t="n"/>
      <c r="AB932" s="25" t="n"/>
      <c r="AC932" s="26">
        <f>IF(T932="","Chưa quyết định",IF(OR(Z932="",AA932=""),"⚠ Thiếu lý do/người duyệt",IF(AND(X932&lt;&gt;"",N(X932)+N(R932)+N(S932)&gt;M932*1.001,R932&lt;&gt;""),"⚠ Vượt mục tiêu P90",IF(AND(Y932&lt;&gt;"",ABS(N(Y932))&gt;0.3),"⚠ Lệch &gt; 30% so với nhu cầu",IF(Q932="Có","ℹ Kiểm tra ngoại suy KM","✓ Hợp lệ")))))</f>
        <v/>
      </c>
    </row>
    <row r="933">
      <c r="A933" s="16" t="n">
        <v>929</v>
      </c>
      <c r="B933" s="17" t="inlineStr">
        <is>
          <t>DEC-S37-HARDWARE</t>
        </is>
      </c>
      <c r="C933" s="16" t="n">
        <v>37</v>
      </c>
      <c r="D933" s="17" t="inlineStr">
        <is>
          <t>HARDWARE</t>
        </is>
      </c>
      <c r="E933" s="17" t="inlineStr">
        <is>
          <t>HIGH</t>
        </is>
      </c>
      <c r="F933" s="17" t="inlineStr">
        <is>
          <t>TRUNG BÌNH</t>
        </is>
      </c>
      <c r="G933" s="18" t="inlineStr">
        <is>
          <t>RISK_HIGH · PROMO_EXTRAPOLATION</t>
        </is>
      </c>
      <c r="H933" s="19" t="n">
        <v>5.682098829746247</v>
      </c>
      <c r="I933" s="19" t="n">
        <v>40.96795672178269</v>
      </c>
      <c r="J933" s="19" t="n">
        <v>132.9036038756371</v>
      </c>
      <c r="K933" s="19" t="n">
        <v>40.96795672178269</v>
      </c>
      <c r="L933" s="19" t="n">
        <v>98.42773619294167</v>
      </c>
      <c r="M933" s="19" t="n">
        <v>132.9036038756371</v>
      </c>
      <c r="N933" s="17" t="inlineStr">
        <is>
          <t>B</t>
        </is>
      </c>
      <c r="O933" s="19" t="n">
        <v>65.65337081551552</v>
      </c>
      <c r="P933" s="18" t="inlineStr">
        <is>
          <t>KHÔNG ĐỀ XUẤT TĂNG</t>
        </is>
      </c>
      <c r="Q933" s="17" t="inlineStr">
        <is>
          <t>Có</t>
        </is>
      </c>
      <c r="R933" s="20" t="n"/>
      <c r="S933" s="20" t="n"/>
      <c r="T933" s="21" t="n"/>
      <c r="U933" s="21" t="n"/>
      <c r="V933" s="22">
        <f>IF(U933="A",K933,IF(U933="B",L933,IF(U933="C",M933,IF(N933="A",K933,IF(N933="B",L933,M933)))))</f>
        <v/>
      </c>
      <c r="W933" s="22">
        <f>IF(R933="",O933,MAX(V933-R933-N(S933),0))</f>
        <v/>
      </c>
      <c r="X933" s="20" t="n"/>
      <c r="Y933" s="23">
        <f>IF(OR(X933="",W933=0),"",X933/W933-1)</f>
        <v/>
      </c>
      <c r="Z933" s="24" t="n"/>
      <c r="AA933" s="21" t="n"/>
      <c r="AB933" s="25" t="n"/>
      <c r="AC933" s="26">
        <f>IF(T933="","Chưa quyết định",IF(OR(Z933="",AA933=""),"⚠ Thiếu lý do/người duyệt",IF(AND(X933&lt;&gt;"",N(X933)+N(R933)+N(S933)&gt;M933*1.001,R933&lt;&gt;""),"⚠ Vượt mục tiêu P90",IF(AND(Y933&lt;&gt;"",ABS(N(Y933))&gt;0.3),"⚠ Lệch &gt; 30% so với nhu cầu",IF(Q933="Có","ℹ Kiểm tra ngoại suy KM","✓ Hợp lệ")))))</f>
        <v/>
      </c>
    </row>
    <row r="934">
      <c r="A934" s="16" t="n">
        <v>930</v>
      </c>
      <c r="B934" s="17" t="inlineStr">
        <is>
          <t>DEC-S30-AUTOMOTIVE</t>
        </is>
      </c>
      <c r="C934" s="16" t="n">
        <v>30</v>
      </c>
      <c r="D934" s="17" t="inlineStr">
        <is>
          <t>AUTOMOTIVE</t>
        </is>
      </c>
      <c r="E934" s="17" t="inlineStr">
        <is>
          <t>HIGH</t>
        </is>
      </c>
      <c r="F934" s="17" t="inlineStr">
        <is>
          <t>TRUNG BÌNH</t>
        </is>
      </c>
      <c r="G934" s="18" t="inlineStr">
        <is>
          <t>RISK_HIGH · PROMO_EXTRAPOLATION</t>
        </is>
      </c>
      <c r="H934" s="19" t="n">
        <v>2.621129935979843</v>
      </c>
      <c r="I934" s="19" t="n">
        <v>40.75201967358589</v>
      </c>
      <c r="J934" s="19" t="n">
        <v>137.2057045280933</v>
      </c>
      <c r="K934" s="19" t="n">
        <v>40.75201967358589</v>
      </c>
      <c r="L934" s="19" t="n">
        <v>101.035572707653</v>
      </c>
      <c r="M934" s="19" t="n">
        <v>137.2057045280933</v>
      </c>
      <c r="N934" s="17" t="inlineStr">
        <is>
          <t>B</t>
        </is>
      </c>
      <c r="O934" s="19" t="n">
        <v>68.43395696878432</v>
      </c>
      <c r="P934" s="18" t="inlineStr">
        <is>
          <t>KHÔNG ĐỀ XUẤT TĂNG</t>
        </is>
      </c>
      <c r="Q934" s="17" t="inlineStr">
        <is>
          <t>Có</t>
        </is>
      </c>
      <c r="R934" s="20" t="n"/>
      <c r="S934" s="20" t="n"/>
      <c r="T934" s="21" t="n"/>
      <c r="U934" s="21" t="n"/>
      <c r="V934" s="22">
        <f>IF(U934="A",K934,IF(U934="B",L934,IF(U934="C",M934,IF(N934="A",K934,IF(N934="B",L934,M934)))))</f>
        <v/>
      </c>
      <c r="W934" s="22">
        <f>IF(R934="",O934,MAX(V934-R934-N(S934),0))</f>
        <v/>
      </c>
      <c r="X934" s="20" t="n"/>
      <c r="Y934" s="23">
        <f>IF(OR(X934="",W934=0),"",X934/W934-1)</f>
        <v/>
      </c>
      <c r="Z934" s="24" t="n"/>
      <c r="AA934" s="21" t="n"/>
      <c r="AB934" s="25" t="n"/>
      <c r="AC934" s="26">
        <f>IF(T934="","Chưa quyết định",IF(OR(Z934="",AA934=""),"⚠ Thiếu lý do/người duyệt",IF(AND(X934&lt;&gt;"",N(X934)+N(R934)+N(S934)&gt;M934*1.001,R934&lt;&gt;""),"⚠ Vượt mục tiêu P90",IF(AND(Y934&lt;&gt;"",ABS(N(Y934))&gt;0.3),"⚠ Lệch &gt; 30% so với nhu cầu",IF(Q934="Có","ℹ Kiểm tra ngoại suy KM","✓ Hợp lệ")))))</f>
        <v/>
      </c>
    </row>
    <row r="935">
      <c r="A935" s="16" t="n">
        <v>931</v>
      </c>
      <c r="B935" s="17" t="inlineStr">
        <is>
          <t>DEC-S28-HARDWARE</t>
        </is>
      </c>
      <c r="C935" s="16" t="n">
        <v>28</v>
      </c>
      <c r="D935" s="17" t="inlineStr">
        <is>
          <t>HARDWARE</t>
        </is>
      </c>
      <c r="E935" s="17" t="inlineStr">
        <is>
          <t>HIGH</t>
        </is>
      </c>
      <c r="F935" s="17" t="inlineStr">
        <is>
          <t>TRUNG BÌNH</t>
        </is>
      </c>
      <c r="G935" s="18" t="inlineStr">
        <is>
          <t>RISK_HIGH · PROMO_EXTRAPOLATION</t>
        </is>
      </c>
      <c r="H935" s="19" t="n">
        <v>4.618564257025719</v>
      </c>
      <c r="I935" s="19" t="n">
        <v>40.31459687650204</v>
      </c>
      <c r="J935" s="19" t="n">
        <v>132.2502440303564</v>
      </c>
      <c r="K935" s="19" t="n">
        <v>40.31459687650204</v>
      </c>
      <c r="L935" s="19" t="n">
        <v>97.77437634766102</v>
      </c>
      <c r="M935" s="19" t="n">
        <v>132.2502440303564</v>
      </c>
      <c r="N935" s="17" t="inlineStr">
        <is>
          <t>B</t>
        </is>
      </c>
      <c r="O935" s="19" t="n">
        <v>65.52269884645938</v>
      </c>
      <c r="P935" s="18" t="inlineStr">
        <is>
          <t>KHÔNG ĐỀ XUẤT TĂNG</t>
        </is>
      </c>
      <c r="Q935" s="17" t="inlineStr">
        <is>
          <t>Có</t>
        </is>
      </c>
      <c r="R935" s="20" t="n"/>
      <c r="S935" s="20" t="n"/>
      <c r="T935" s="21" t="n"/>
      <c r="U935" s="21" t="n"/>
      <c r="V935" s="22">
        <f>IF(U935="A",K935,IF(U935="B",L935,IF(U935="C",M935,IF(N935="A",K935,IF(N935="B",L935,M935)))))</f>
        <v/>
      </c>
      <c r="W935" s="22">
        <f>IF(R935="",O935,MAX(V935-R935-N(S935),0))</f>
        <v/>
      </c>
      <c r="X935" s="20" t="n"/>
      <c r="Y935" s="23">
        <f>IF(OR(X935="",W935=0),"",X935/W935-1)</f>
        <v/>
      </c>
      <c r="Z935" s="24" t="n"/>
      <c r="AA935" s="21" t="n"/>
      <c r="AB935" s="25" t="n"/>
      <c r="AC935" s="26">
        <f>IF(T935="","Chưa quyết định",IF(OR(Z935="",AA935=""),"⚠ Thiếu lý do/người duyệt",IF(AND(X935&lt;&gt;"",N(X935)+N(R935)+N(S935)&gt;M935*1.001,R935&lt;&gt;""),"⚠ Vượt mục tiêu P90",IF(AND(Y935&lt;&gt;"",ABS(N(Y935))&gt;0.3),"⚠ Lệch &gt; 30% so với nhu cầu",IF(Q935="Có","ℹ Kiểm tra ngoại suy KM","✓ Hợp lệ")))))</f>
        <v/>
      </c>
    </row>
    <row r="936">
      <c r="A936" s="16" t="n">
        <v>932</v>
      </c>
      <c r="B936" s="17" t="inlineStr">
        <is>
          <t>DEC-S14-LINGERIE</t>
        </is>
      </c>
      <c r="C936" s="16" t="n">
        <v>14</v>
      </c>
      <c r="D936" s="17" t="inlineStr">
        <is>
          <t>LINGERIE</t>
        </is>
      </c>
      <c r="E936" s="17" t="inlineStr">
        <is>
          <t>HIGH</t>
        </is>
      </c>
      <c r="F936" s="17" t="inlineStr">
        <is>
          <t>TRUNG BÌNH</t>
        </is>
      </c>
      <c r="G936" s="18" t="inlineStr">
        <is>
          <t>RISK_HIGH · PROMO_EXTRAPOLATION</t>
        </is>
      </c>
      <c r="H936" s="19" t="n">
        <v>8.728789561986924</v>
      </c>
      <c r="I936" s="19" t="n">
        <v>40.189792111516</v>
      </c>
      <c r="J936" s="19" t="n">
        <v>127.8672678977251</v>
      </c>
      <c r="K936" s="19" t="n">
        <v>40.189792111516</v>
      </c>
      <c r="L936" s="19" t="n">
        <v>94.98821447789669</v>
      </c>
      <c r="M936" s="19" t="n">
        <v>127.8672678977251</v>
      </c>
      <c r="N936" s="17" t="inlineStr">
        <is>
          <t>B</t>
        </is>
      </c>
      <c r="O936" s="19" t="n">
        <v>62.83638078868389</v>
      </c>
      <c r="P936" s="18" t="inlineStr">
        <is>
          <t>KHÔNG ĐỀ XUẤT TĂNG</t>
        </is>
      </c>
      <c r="Q936" s="17" t="inlineStr">
        <is>
          <t>Có</t>
        </is>
      </c>
      <c r="R936" s="20" t="n"/>
      <c r="S936" s="20" t="n"/>
      <c r="T936" s="21" t="n"/>
      <c r="U936" s="21" t="n"/>
      <c r="V936" s="22">
        <f>IF(U936="A",K936,IF(U936="B",L936,IF(U936="C",M936,IF(N936="A",K936,IF(N936="B",L936,M936)))))</f>
        <v/>
      </c>
      <c r="W936" s="22">
        <f>IF(R936="",O936,MAX(V936-R936-N(S936),0))</f>
        <v/>
      </c>
      <c r="X936" s="20" t="n"/>
      <c r="Y936" s="23">
        <f>IF(OR(X936="",W936=0),"",X936/W936-1)</f>
        <v/>
      </c>
      <c r="Z936" s="24" t="n"/>
      <c r="AA936" s="21" t="n"/>
      <c r="AB936" s="25" t="n"/>
      <c r="AC936" s="26">
        <f>IF(T936="","Chưa quyết định",IF(OR(Z936="",AA936=""),"⚠ Thiếu lý do/người duyệt",IF(AND(X936&lt;&gt;"",N(X936)+N(R936)+N(S936)&gt;M936*1.001,R936&lt;&gt;""),"⚠ Vượt mục tiêu P90",IF(AND(Y936&lt;&gt;"",ABS(N(Y936))&gt;0.3),"⚠ Lệch &gt; 30% so với nhu cầu",IF(Q936="Có","ℹ Kiểm tra ngoại suy KM","✓ Hợp lệ")))))</f>
        <v/>
      </c>
    </row>
    <row r="937">
      <c r="A937" s="16" t="n">
        <v>933</v>
      </c>
      <c r="B937" s="17" t="inlineStr">
        <is>
          <t>DEC-S48-HARDWARE</t>
        </is>
      </c>
      <c r="C937" s="16" t="n">
        <v>48</v>
      </c>
      <c r="D937" s="17" t="inlineStr">
        <is>
          <t>HARDWARE</t>
        </is>
      </c>
      <c r="E937" s="17" t="inlineStr">
        <is>
          <t>HIGH</t>
        </is>
      </c>
      <c r="F937" s="17" t="inlineStr">
        <is>
          <t>TRUNG BÌNH</t>
        </is>
      </c>
      <c r="G937" s="18" t="inlineStr">
        <is>
          <t>RISK_HIGH · PROMO_EXTRAPOLATION</t>
        </is>
      </c>
      <c r="H937" s="19" t="n">
        <v>5.922549778223038</v>
      </c>
      <c r="I937" s="19" t="n">
        <v>39.84578467905521</v>
      </c>
      <c r="J937" s="19" t="n">
        <v>129.9122124820948</v>
      </c>
      <c r="K937" s="19" t="n">
        <v>39.84578467905521</v>
      </c>
      <c r="L937" s="19" t="n">
        <v>96.13730205595493</v>
      </c>
      <c r="M937" s="19" t="n">
        <v>129.9122124820948</v>
      </c>
      <c r="N937" s="17" t="inlineStr">
        <is>
          <t>B</t>
        </is>
      </c>
      <c r="O937" s="19" t="n">
        <v>64.26067431271076</v>
      </c>
      <c r="P937" s="18" t="inlineStr">
        <is>
          <t>KHÔNG ĐỀ XUẤT TĂNG</t>
        </is>
      </c>
      <c r="Q937" s="17" t="inlineStr">
        <is>
          <t>Có</t>
        </is>
      </c>
      <c r="R937" s="20" t="n"/>
      <c r="S937" s="20" t="n"/>
      <c r="T937" s="21" t="n"/>
      <c r="U937" s="21" t="n"/>
      <c r="V937" s="22">
        <f>IF(U937="A",K937,IF(U937="B",L937,IF(U937="C",M937,IF(N937="A",K937,IF(N937="B",L937,M937)))))</f>
        <v/>
      </c>
      <c r="W937" s="22">
        <f>IF(R937="",O937,MAX(V937-R937-N(S937),0))</f>
        <v/>
      </c>
      <c r="X937" s="20" t="n"/>
      <c r="Y937" s="23">
        <f>IF(OR(X937="",W937=0),"",X937/W937-1)</f>
        <v/>
      </c>
      <c r="Z937" s="24" t="n"/>
      <c r="AA937" s="21" t="n"/>
      <c r="AB937" s="25" t="n"/>
      <c r="AC937" s="26">
        <f>IF(T937="","Chưa quyết định",IF(OR(Z937="",AA937=""),"⚠ Thiếu lý do/người duyệt",IF(AND(X937&lt;&gt;"",N(X937)+N(R937)+N(S937)&gt;M937*1.001,R937&lt;&gt;""),"⚠ Vượt mục tiêu P90",IF(AND(Y937&lt;&gt;"",ABS(N(Y937))&gt;0.3),"⚠ Lệch &gt; 30% so với nhu cầu",IF(Q937="Có","ℹ Kiểm tra ngoại suy KM","✓ Hợp lệ")))))</f>
        <v/>
      </c>
    </row>
    <row r="938">
      <c r="A938" s="16" t="n">
        <v>934</v>
      </c>
      <c r="B938" s="17" t="inlineStr">
        <is>
          <t>DEC-S09-BABY_CARE</t>
        </is>
      </c>
      <c r="C938" s="16" t="n">
        <v>9</v>
      </c>
      <c r="D938" s="17" t="inlineStr">
        <is>
          <t>BABY CARE</t>
        </is>
      </c>
      <c r="E938" s="17" t="inlineStr">
        <is>
          <t>HIGH</t>
        </is>
      </c>
      <c r="F938" s="17" t="inlineStr">
        <is>
          <t>TRUNG BÌNH</t>
        </is>
      </c>
      <c r="G938" s="18" t="inlineStr">
        <is>
          <t>RISK_HIGH · PROMO_EXTRAPOLATION</t>
        </is>
      </c>
      <c r="H938" s="19" t="n">
        <v>5.323685312271119</v>
      </c>
      <c r="I938" s="19" t="n">
        <v>39.62040948867798</v>
      </c>
      <c r="J938" s="19" t="n">
        <v>131.5560566425324</v>
      </c>
      <c r="K938" s="19" t="n">
        <v>39.62040948867798</v>
      </c>
      <c r="L938" s="19" t="n">
        <v>97.08018895983696</v>
      </c>
      <c r="M938" s="19" t="n">
        <v>131.5560566425324</v>
      </c>
      <c r="N938" s="17" t="inlineStr">
        <is>
          <t>B</t>
        </is>
      </c>
      <c r="O938" s="19" t="n">
        <v>65.38386136889457</v>
      </c>
      <c r="P938" s="18" t="inlineStr">
        <is>
          <t>KHÔNG ĐỀ XUẤT TĂNG</t>
        </is>
      </c>
      <c r="Q938" s="17" t="inlineStr">
        <is>
          <t>Có</t>
        </is>
      </c>
      <c r="R938" s="20" t="n"/>
      <c r="S938" s="20" t="n"/>
      <c r="T938" s="21" t="n"/>
      <c r="U938" s="21" t="n"/>
      <c r="V938" s="22">
        <f>IF(U938="A",K938,IF(U938="B",L938,IF(U938="C",M938,IF(N938="A",K938,IF(N938="B",L938,M938)))))</f>
        <v/>
      </c>
      <c r="W938" s="22">
        <f>IF(R938="",O938,MAX(V938-R938-N(S938),0))</f>
        <v/>
      </c>
      <c r="X938" s="20" t="n"/>
      <c r="Y938" s="23">
        <f>IF(OR(X938="",W938=0),"",X938/W938-1)</f>
        <v/>
      </c>
      <c r="Z938" s="24" t="n"/>
      <c r="AA938" s="21" t="n"/>
      <c r="AB938" s="25" t="n"/>
      <c r="AC938" s="26">
        <f>IF(T938="","Chưa quyết định",IF(OR(Z938="",AA938=""),"⚠ Thiếu lý do/người duyệt",IF(AND(X938&lt;&gt;"",N(X938)+N(R938)+N(S938)&gt;M938*1.001,R938&lt;&gt;""),"⚠ Vượt mục tiêu P90",IF(AND(Y938&lt;&gt;"",ABS(N(Y938))&gt;0.3),"⚠ Lệch &gt; 30% so với nhu cầu",IF(Q938="Có","ℹ Kiểm tra ngoại suy KM","✓ Hợp lệ")))))</f>
        <v/>
      </c>
    </row>
    <row r="939">
      <c r="A939" s="16" t="n">
        <v>935</v>
      </c>
      <c r="B939" s="17" t="inlineStr">
        <is>
          <t>DEC-S24-BABY_CARE</t>
        </is>
      </c>
      <c r="C939" s="16" t="n">
        <v>24</v>
      </c>
      <c r="D939" s="17" t="inlineStr">
        <is>
          <t>BABY CARE</t>
        </is>
      </c>
      <c r="E939" s="17" t="inlineStr">
        <is>
          <t>HIGH</t>
        </is>
      </c>
      <c r="F939" s="17" t="inlineStr">
        <is>
          <t>TRUNG BÌNH</t>
        </is>
      </c>
      <c r="G939" s="18" t="inlineStr">
        <is>
          <t>RISK_HIGH · PROMO_EXTRAPOLATION</t>
        </is>
      </c>
      <c r="H939" s="19" t="n">
        <v>6.212302434444428</v>
      </c>
      <c r="I939" s="19" t="n">
        <v>39.46181488037109</v>
      </c>
      <c r="J939" s="19" t="n">
        <v>131.1375957012177</v>
      </c>
      <c r="K939" s="19" t="n">
        <v>39.46181488037109</v>
      </c>
      <c r="L939" s="19" t="n">
        <v>96.75917789340019</v>
      </c>
      <c r="M939" s="19" t="n">
        <v>131.1375957012177</v>
      </c>
      <c r="N939" s="17" t="inlineStr">
        <is>
          <t>B</t>
        </is>
      </c>
      <c r="O939" s="19" t="n">
        <v>65.18972598910331</v>
      </c>
      <c r="P939" s="18" t="inlineStr">
        <is>
          <t>KHÔNG ĐỀ XUẤT TĂNG</t>
        </is>
      </c>
      <c r="Q939" s="17" t="inlineStr">
        <is>
          <t>Có</t>
        </is>
      </c>
      <c r="R939" s="20" t="n"/>
      <c r="S939" s="20" t="n"/>
      <c r="T939" s="21" t="n"/>
      <c r="U939" s="21" t="n"/>
      <c r="V939" s="22">
        <f>IF(U939="A",K939,IF(U939="B",L939,IF(U939="C",M939,IF(N939="A",K939,IF(N939="B",L939,M939)))))</f>
        <v/>
      </c>
      <c r="W939" s="22">
        <f>IF(R939="",O939,MAX(V939-R939-N(S939),0))</f>
        <v/>
      </c>
      <c r="X939" s="20" t="n"/>
      <c r="Y939" s="23">
        <f>IF(OR(X939="",W939=0),"",X939/W939-1)</f>
        <v/>
      </c>
      <c r="Z939" s="24" t="n"/>
      <c r="AA939" s="21" t="n"/>
      <c r="AB939" s="25" t="n"/>
      <c r="AC939" s="26">
        <f>IF(T939="","Chưa quyết định",IF(OR(Z939="",AA939=""),"⚠ Thiếu lý do/người duyệt",IF(AND(X939&lt;&gt;"",N(X939)+N(R939)+N(S939)&gt;M939*1.001,R939&lt;&gt;""),"⚠ Vượt mục tiêu P90",IF(AND(Y939&lt;&gt;"",ABS(N(Y939))&gt;0.3),"⚠ Lệch &gt; 30% so với nhu cầu",IF(Q939="Có","ℹ Kiểm tra ngoại suy KM","✓ Hợp lệ")))))</f>
        <v/>
      </c>
    </row>
    <row r="940">
      <c r="A940" s="16" t="n">
        <v>936</v>
      </c>
      <c r="B940" s="17" t="inlineStr">
        <is>
          <t>DEC-S46-HOME_APPLIANCES</t>
        </is>
      </c>
      <c r="C940" s="16" t="n">
        <v>46</v>
      </c>
      <c r="D940" s="17" t="inlineStr">
        <is>
          <t>HOME APPLIANCES</t>
        </is>
      </c>
      <c r="E940" s="17" t="inlineStr">
        <is>
          <t>HIGH</t>
        </is>
      </c>
      <c r="F940" s="17" t="inlineStr">
        <is>
          <t>TRUNG BÌNH</t>
        </is>
      </c>
      <c r="G940" s="18" t="inlineStr">
        <is>
          <t>RISK_HIGH · PROMO_EXTRAPOLATION</t>
        </is>
      </c>
      <c r="H940" s="19" t="n">
        <v>4.812183421850205</v>
      </c>
      <c r="I940" s="19" t="n">
        <v>39.29739758372307</v>
      </c>
      <c r="J940" s="19" t="n">
        <v>131.4929110705853</v>
      </c>
      <c r="K940" s="19" t="n">
        <v>39.29739758372307</v>
      </c>
      <c r="L940" s="19" t="n">
        <v>96.91959351301193</v>
      </c>
      <c r="M940" s="19" t="n">
        <v>131.4929110705853</v>
      </c>
      <c r="N940" s="17" t="inlineStr">
        <is>
          <t>B</t>
        </is>
      </c>
      <c r="O940" s="19" t="n">
        <v>65.48167544603348</v>
      </c>
      <c r="P940" s="18" t="inlineStr">
        <is>
          <t>KHÔNG ĐỀ XUẤT TĂNG</t>
        </is>
      </c>
      <c r="Q940" s="17" t="inlineStr">
        <is>
          <t>Có</t>
        </is>
      </c>
      <c r="R940" s="20" t="n"/>
      <c r="S940" s="20" t="n"/>
      <c r="T940" s="21" t="n"/>
      <c r="U940" s="21" t="n"/>
      <c r="V940" s="22">
        <f>IF(U940="A",K940,IF(U940="B",L940,IF(U940="C",M940,IF(N940="A",K940,IF(N940="B",L940,M940)))))</f>
        <v/>
      </c>
      <c r="W940" s="22">
        <f>IF(R940="",O940,MAX(V940-R940-N(S940),0))</f>
        <v/>
      </c>
      <c r="X940" s="20" t="n"/>
      <c r="Y940" s="23">
        <f>IF(OR(X940="",W940=0),"",X940/W940-1)</f>
        <v/>
      </c>
      <c r="Z940" s="24" t="n"/>
      <c r="AA940" s="21" t="n"/>
      <c r="AB940" s="25" t="n"/>
      <c r="AC940" s="26">
        <f>IF(T940="","Chưa quyết định",IF(OR(Z940="",AA940=""),"⚠ Thiếu lý do/người duyệt",IF(AND(X940&lt;&gt;"",N(X940)+N(R940)+N(S940)&gt;M940*1.001,R940&lt;&gt;""),"⚠ Vượt mục tiêu P90",IF(AND(Y940&lt;&gt;"",ABS(N(Y940))&gt;0.3),"⚠ Lệch &gt; 30% so với nhu cầu",IF(Q940="Có","ℹ Kiểm tra ngoại suy KM","✓ Hợp lệ")))))</f>
        <v/>
      </c>
    </row>
    <row r="941">
      <c r="A941" s="16" t="n">
        <v>937</v>
      </c>
      <c r="B941" s="17" t="inlineStr">
        <is>
          <t>DEC-S15-BABY_CARE</t>
        </is>
      </c>
      <c r="C941" s="16" t="n">
        <v>15</v>
      </c>
      <c r="D941" s="17" t="inlineStr">
        <is>
          <t>BABY CARE</t>
        </is>
      </c>
      <c r="E941" s="17" t="inlineStr">
        <is>
          <t>HIGH</t>
        </is>
      </c>
      <c r="F941" s="17" t="inlineStr">
        <is>
          <t>TRUNG BÌNH</t>
        </is>
      </c>
      <c r="G941" s="18" t="inlineStr">
        <is>
          <t>RISK_HIGH · PROMO_EXTRAPOLATION</t>
        </is>
      </c>
      <c r="H941" s="19" t="n">
        <v>7.298275494575501</v>
      </c>
      <c r="I941" s="19" t="n">
        <v>39.29303972423077</v>
      </c>
      <c r="J941" s="19" t="n">
        <v>127.2303818434477</v>
      </c>
      <c r="K941" s="19" t="n">
        <v>39.29303972423077</v>
      </c>
      <c r="L941" s="19" t="n">
        <v>94.25387854874134</v>
      </c>
      <c r="M941" s="19" t="n">
        <v>127.2303818434477</v>
      </c>
      <c r="N941" s="17" t="inlineStr">
        <is>
          <t>B</t>
        </is>
      </c>
      <c r="O941" s="19" t="n">
        <v>62.81944676935673</v>
      </c>
      <c r="P941" s="18" t="inlineStr">
        <is>
          <t>KHÔNG ĐỀ XUẤT TĂNG</t>
        </is>
      </c>
      <c r="Q941" s="17" t="inlineStr">
        <is>
          <t>Có</t>
        </is>
      </c>
      <c r="R941" s="20" t="n"/>
      <c r="S941" s="20" t="n"/>
      <c r="T941" s="21" t="n"/>
      <c r="U941" s="21" t="n"/>
      <c r="V941" s="22">
        <f>IF(U941="A",K941,IF(U941="B",L941,IF(U941="C",M941,IF(N941="A",K941,IF(N941="B",L941,M941)))))</f>
        <v/>
      </c>
      <c r="W941" s="22">
        <f>IF(R941="",O941,MAX(V941-R941-N(S941),0))</f>
        <v/>
      </c>
      <c r="X941" s="20" t="n"/>
      <c r="Y941" s="23">
        <f>IF(OR(X941="",W941=0),"",X941/W941-1)</f>
        <v/>
      </c>
      <c r="Z941" s="24" t="n"/>
      <c r="AA941" s="21" t="n"/>
      <c r="AB941" s="25" t="n"/>
      <c r="AC941" s="26">
        <f>IF(T941="","Chưa quyết định",IF(OR(Z941="",AA941=""),"⚠ Thiếu lý do/người duyệt",IF(AND(X941&lt;&gt;"",N(X941)+N(R941)+N(S941)&gt;M941*1.001,R941&lt;&gt;""),"⚠ Vượt mục tiêu P90",IF(AND(Y941&lt;&gt;"",ABS(N(Y941))&gt;0.3),"⚠ Lệch &gt; 30% so với nhu cầu",IF(Q941="Có","ℹ Kiểm tra ngoại suy KM","✓ Hợp lệ")))))</f>
        <v/>
      </c>
    </row>
    <row r="942">
      <c r="A942" s="16" t="n">
        <v>938</v>
      </c>
      <c r="B942" s="17" t="inlineStr">
        <is>
          <t>DEC-S25-SEAFOOD</t>
        </is>
      </c>
      <c r="C942" s="16" t="n">
        <v>25</v>
      </c>
      <c r="D942" s="17" t="inlineStr">
        <is>
          <t>SEAFOOD</t>
        </is>
      </c>
      <c r="E942" s="17" t="inlineStr">
        <is>
          <t>HIGH</t>
        </is>
      </c>
      <c r="F942" s="17" t="inlineStr">
        <is>
          <t>TRUNG BÌNH</t>
        </is>
      </c>
      <c r="G942" s="18" t="inlineStr">
        <is>
          <t>RISK_HIGH · PROMO_EXTRAPOLATION</t>
        </is>
      </c>
      <c r="H942" s="19" t="n">
        <v>14.6269474029541</v>
      </c>
      <c r="I942" s="19" t="n">
        <v>39.21496200561523</v>
      </c>
      <c r="J942" s="19" t="n">
        <v>128.5963758468628</v>
      </c>
      <c r="K942" s="19" t="n">
        <v>39.21496200561523</v>
      </c>
      <c r="L942" s="19" t="n">
        <v>95.07834565639496</v>
      </c>
      <c r="M942" s="19" t="n">
        <v>128.5963758468628</v>
      </c>
      <c r="N942" s="17" t="inlineStr">
        <is>
          <t>B</t>
        </is>
      </c>
      <c r="O942" s="19" t="n">
        <v>63.70637605190277</v>
      </c>
      <c r="P942" s="18" t="inlineStr">
        <is>
          <t>CÂN NHẮC THỬ NGHIỆM</t>
        </is>
      </c>
      <c r="Q942" s="17" t="inlineStr">
        <is>
          <t>Có</t>
        </is>
      </c>
      <c r="R942" s="20" t="n"/>
      <c r="S942" s="20" t="n"/>
      <c r="T942" s="21" t="n"/>
      <c r="U942" s="21" t="n"/>
      <c r="V942" s="22">
        <f>IF(U942="A",K942,IF(U942="B",L942,IF(U942="C",M942,IF(N942="A",K942,IF(N942="B",L942,M942)))))</f>
        <v/>
      </c>
      <c r="W942" s="22">
        <f>IF(R942="",O942,MAX(V942-R942-N(S942),0))</f>
        <v/>
      </c>
      <c r="X942" s="20" t="n"/>
      <c r="Y942" s="23">
        <f>IF(OR(X942="",W942=0),"",X942/W942-1)</f>
        <v/>
      </c>
      <c r="Z942" s="24" t="n"/>
      <c r="AA942" s="21" t="n"/>
      <c r="AB942" s="25" t="n"/>
      <c r="AC942" s="26">
        <f>IF(T942="","Chưa quyết định",IF(OR(Z942="",AA942=""),"⚠ Thiếu lý do/người duyệt",IF(AND(X942&lt;&gt;"",N(X942)+N(R942)+N(S942)&gt;M942*1.001,R942&lt;&gt;""),"⚠ Vượt mục tiêu P90",IF(AND(Y942&lt;&gt;"",ABS(N(Y942))&gt;0.3),"⚠ Lệch &gt; 30% so với nhu cầu",IF(Q942="Có","ℹ Kiểm tra ngoại suy KM","✓ Hợp lệ")))))</f>
        <v/>
      </c>
    </row>
    <row r="943">
      <c r="A943" s="16" t="n">
        <v>939</v>
      </c>
      <c r="B943" s="17" t="inlineStr">
        <is>
          <t>DEC-S04-HARDWARE</t>
        </is>
      </c>
      <c r="C943" s="16" t="n">
        <v>4</v>
      </c>
      <c r="D943" s="17" t="inlineStr">
        <is>
          <t>HARDWARE</t>
        </is>
      </c>
      <c r="E943" s="17" t="inlineStr">
        <is>
          <t>HIGH</t>
        </is>
      </c>
      <c r="F943" s="17" t="inlineStr">
        <is>
          <t>TRUNG BÌNH</t>
        </is>
      </c>
      <c r="G943" s="18" t="inlineStr">
        <is>
          <t>RISK_HIGH · PROMO_EXTRAPOLATION</t>
        </is>
      </c>
      <c r="H943" s="19" t="n">
        <v>6.311391520500184</v>
      </c>
      <c r="I943" s="19" t="n">
        <v>38.68964296579361</v>
      </c>
      <c r="J943" s="19" t="n">
        <v>130.3654237866402</v>
      </c>
      <c r="K943" s="19" t="n">
        <v>38.68964296579361</v>
      </c>
      <c r="L943" s="19" t="n">
        <v>95.98700597882271</v>
      </c>
      <c r="M943" s="19" t="n">
        <v>130.3654237866402</v>
      </c>
      <c r="N943" s="17" t="inlineStr">
        <is>
          <t>B</t>
        </is>
      </c>
      <c r="O943" s="19" t="n">
        <v>65.03529160618783</v>
      </c>
      <c r="P943" s="18" t="inlineStr">
        <is>
          <t>KHÔNG ĐỀ XUẤT TĂNG</t>
        </is>
      </c>
      <c r="Q943" s="17" t="inlineStr">
        <is>
          <t>Có</t>
        </is>
      </c>
      <c r="R943" s="20" t="n"/>
      <c r="S943" s="20" t="n"/>
      <c r="T943" s="21" t="n"/>
      <c r="U943" s="21" t="n"/>
      <c r="V943" s="22">
        <f>IF(U943="A",K943,IF(U943="B",L943,IF(U943="C",M943,IF(N943="A",K943,IF(N943="B",L943,M943)))))</f>
        <v/>
      </c>
      <c r="W943" s="22">
        <f>IF(R943="",O943,MAX(V943-R943-N(S943),0))</f>
        <v/>
      </c>
      <c r="X943" s="20" t="n"/>
      <c r="Y943" s="23">
        <f>IF(OR(X943="",W943=0),"",X943/W943-1)</f>
        <v/>
      </c>
      <c r="Z943" s="24" t="n"/>
      <c r="AA943" s="21" t="n"/>
      <c r="AB943" s="25" t="n"/>
      <c r="AC943" s="26">
        <f>IF(T943="","Chưa quyết định",IF(OR(Z943="",AA943=""),"⚠ Thiếu lý do/người duyệt",IF(AND(X943&lt;&gt;"",N(X943)+N(R943)+N(S943)&gt;M943*1.001,R943&lt;&gt;""),"⚠ Vượt mục tiêu P90",IF(AND(Y943&lt;&gt;"",ABS(N(Y943))&gt;0.3),"⚠ Lệch &gt; 30% so với nhu cầu",IF(Q943="Có","ℹ Kiểm tra ngoại suy KM","✓ Hợp lệ")))))</f>
        <v/>
      </c>
    </row>
    <row r="944">
      <c r="A944" s="16" t="n">
        <v>940</v>
      </c>
      <c r="B944" s="17" t="inlineStr">
        <is>
          <t>DEC-S50-HOME_APPLIANCES</t>
        </is>
      </c>
      <c r="C944" s="16" t="n">
        <v>50</v>
      </c>
      <c r="D944" s="17" t="inlineStr">
        <is>
          <t>HOME APPLIANCES</t>
        </is>
      </c>
      <c r="E944" s="17" t="inlineStr">
        <is>
          <t>HIGH</t>
        </is>
      </c>
      <c r="F944" s="17" t="inlineStr">
        <is>
          <t>TRUNG BÌNH</t>
        </is>
      </c>
      <c r="G944" s="18" t="inlineStr">
        <is>
          <t>RISK_HIGH · PROMO_EXTRAPOLATION</t>
        </is>
      </c>
      <c r="H944" s="19" t="n">
        <v>8.102143526077271</v>
      </c>
      <c r="I944" s="19" t="n">
        <v>38.51159876585007</v>
      </c>
      <c r="J944" s="19" t="n">
        <v>126.1890745520592</v>
      </c>
      <c r="K944" s="19" t="n">
        <v>38.51159876585007</v>
      </c>
      <c r="L944" s="19" t="n">
        <v>93.31002113223074</v>
      </c>
      <c r="M944" s="19" t="n">
        <v>126.1890745520592</v>
      </c>
      <c r="N944" s="17" t="inlineStr">
        <is>
          <t>B</t>
        </is>
      </c>
      <c r="O944" s="19" t="n">
        <v>62.50074211955069</v>
      </c>
      <c r="P944" s="18" t="inlineStr">
        <is>
          <t>KHÔNG ĐỀ XUẤT TĂNG</t>
        </is>
      </c>
      <c r="Q944" s="17" t="inlineStr">
        <is>
          <t>Có</t>
        </is>
      </c>
      <c r="R944" s="20" t="n"/>
      <c r="S944" s="20" t="n"/>
      <c r="T944" s="21" t="n"/>
      <c r="U944" s="21" t="n"/>
      <c r="V944" s="22">
        <f>IF(U944="A",K944,IF(U944="B",L944,IF(U944="C",M944,IF(N944="A",K944,IF(N944="B",L944,M944)))))</f>
        <v/>
      </c>
      <c r="W944" s="22">
        <f>IF(R944="",O944,MAX(V944-R944-N(S944),0))</f>
        <v/>
      </c>
      <c r="X944" s="20" t="n"/>
      <c r="Y944" s="23">
        <f>IF(OR(X944="",W944=0),"",X944/W944-1)</f>
        <v/>
      </c>
      <c r="Z944" s="24" t="n"/>
      <c r="AA944" s="21" t="n"/>
      <c r="AB944" s="25" t="n"/>
      <c r="AC944" s="26">
        <f>IF(T944="","Chưa quyết định",IF(OR(Z944="",AA944=""),"⚠ Thiếu lý do/người duyệt",IF(AND(X944&lt;&gt;"",N(X944)+N(R944)+N(S944)&gt;M944*1.001,R944&lt;&gt;""),"⚠ Vượt mục tiêu P90",IF(AND(Y944&lt;&gt;"",ABS(N(Y944))&gt;0.3),"⚠ Lệch &gt; 30% so với nhu cầu",IF(Q944="Có","ℹ Kiểm tra ngoại suy KM","✓ Hợp lệ")))))</f>
        <v/>
      </c>
    </row>
    <row r="945">
      <c r="A945" s="16" t="n">
        <v>941</v>
      </c>
      <c r="B945" s="17" t="inlineStr">
        <is>
          <t>DEC-S44-BABY_CARE</t>
        </is>
      </c>
      <c r="C945" s="16" t="n">
        <v>44</v>
      </c>
      <c r="D945" s="17" t="inlineStr">
        <is>
          <t>BABY CARE</t>
        </is>
      </c>
      <c r="E945" s="17" t="inlineStr">
        <is>
          <t>HIGH</t>
        </is>
      </c>
      <c r="F945" s="17" t="inlineStr">
        <is>
          <t>TRUNG BÌNH</t>
        </is>
      </c>
      <c r="G945" s="18" t="inlineStr">
        <is>
          <t>RISK_HIGH · PROMO_EXTRAPOLATION</t>
        </is>
      </c>
      <c r="H945" s="19" t="n">
        <v>7.713581490516662</v>
      </c>
      <c r="I945" s="19" t="n">
        <v>38.48463517427444</v>
      </c>
      <c r="J945" s="19" t="n">
        <v>126.4219772934914</v>
      </c>
      <c r="K945" s="19" t="n">
        <v>38.48463517427444</v>
      </c>
      <c r="L945" s="19" t="n">
        <v>93.44547399878502</v>
      </c>
      <c r="M945" s="19" t="n">
        <v>126.4219772934914</v>
      </c>
      <c r="N945" s="17" t="inlineStr">
        <is>
          <t>B</t>
        </is>
      </c>
      <c r="O945" s="19" t="n">
        <v>62.65776585936545</v>
      </c>
      <c r="P945" s="18" t="inlineStr">
        <is>
          <t>KHÔNG ĐỀ XUẤT TĂNG</t>
        </is>
      </c>
      <c r="Q945" s="17" t="inlineStr">
        <is>
          <t>Có</t>
        </is>
      </c>
      <c r="R945" s="20" t="n"/>
      <c r="S945" s="20" t="n"/>
      <c r="T945" s="21" t="n"/>
      <c r="U945" s="21" t="n"/>
      <c r="V945" s="22">
        <f>IF(U945="A",K945,IF(U945="B",L945,IF(U945="C",M945,IF(N945="A",K945,IF(N945="B",L945,M945)))))</f>
        <v/>
      </c>
      <c r="W945" s="22">
        <f>IF(R945="",O945,MAX(V945-R945-N(S945),0))</f>
        <v/>
      </c>
      <c r="X945" s="20" t="n"/>
      <c r="Y945" s="23">
        <f>IF(OR(X945="",W945=0),"",X945/W945-1)</f>
        <v/>
      </c>
      <c r="Z945" s="24" t="n"/>
      <c r="AA945" s="21" t="n"/>
      <c r="AB945" s="25" t="n"/>
      <c r="AC945" s="26">
        <f>IF(T945="","Chưa quyết định",IF(OR(Z945="",AA945=""),"⚠ Thiếu lý do/người duyệt",IF(AND(X945&lt;&gt;"",N(X945)+N(R945)+N(S945)&gt;M945*1.001,R945&lt;&gt;""),"⚠ Vượt mục tiêu P90",IF(AND(Y945&lt;&gt;"",ABS(N(Y945))&gt;0.3),"⚠ Lệch &gt; 30% so với nhu cầu",IF(Q945="Có","ℹ Kiểm tra ngoại suy KM","✓ Hợp lệ")))))</f>
        <v/>
      </c>
    </row>
    <row r="946">
      <c r="A946" s="16" t="n">
        <v>942</v>
      </c>
      <c r="B946" s="17" t="inlineStr">
        <is>
          <t>DEC-S44-BOOKS</t>
        </is>
      </c>
      <c r="C946" s="16" t="n">
        <v>44</v>
      </c>
      <c r="D946" s="17" t="inlineStr">
        <is>
          <t>BOOKS</t>
        </is>
      </c>
      <c r="E946" s="17" t="inlineStr">
        <is>
          <t>HIGH</t>
        </is>
      </c>
      <c r="F946" s="17" t="inlineStr">
        <is>
          <t>TRUNG BÌNH</t>
        </is>
      </c>
      <c r="G946" s="18" t="inlineStr">
        <is>
          <t>RISK_HIGH · PROMO_EXTRAPOLATION</t>
        </is>
      </c>
      <c r="H946" s="19" t="n">
        <v>7.713581490516662</v>
      </c>
      <c r="I946" s="19" t="n">
        <v>38.48463517427444</v>
      </c>
      <c r="J946" s="19" t="n">
        <v>126.4219772934914</v>
      </c>
      <c r="K946" s="19" t="n">
        <v>38.48463517427444</v>
      </c>
      <c r="L946" s="19" t="n">
        <v>93.44547399878502</v>
      </c>
      <c r="M946" s="19" t="n">
        <v>126.4219772934914</v>
      </c>
      <c r="N946" s="17" t="inlineStr">
        <is>
          <t>B</t>
        </is>
      </c>
      <c r="O946" s="19" t="n">
        <v>62.65776585936545</v>
      </c>
      <c r="P946" s="18" t="inlineStr">
        <is>
          <t>KHÔNG ĐỀ XUẤT TĂNG</t>
        </is>
      </c>
      <c r="Q946" s="17" t="inlineStr">
        <is>
          <t>Có</t>
        </is>
      </c>
      <c r="R946" s="20" t="n"/>
      <c r="S946" s="20" t="n"/>
      <c r="T946" s="21" t="n"/>
      <c r="U946" s="21" t="n"/>
      <c r="V946" s="22">
        <f>IF(U946="A",K946,IF(U946="B",L946,IF(U946="C",M946,IF(N946="A",K946,IF(N946="B",L946,M946)))))</f>
        <v/>
      </c>
      <c r="W946" s="22">
        <f>IF(R946="",O946,MAX(V946-R946-N(S946),0))</f>
        <v/>
      </c>
      <c r="X946" s="20" t="n"/>
      <c r="Y946" s="23">
        <f>IF(OR(X946="",W946=0),"",X946/W946-1)</f>
        <v/>
      </c>
      <c r="Z946" s="24" t="n"/>
      <c r="AA946" s="21" t="n"/>
      <c r="AB946" s="25" t="n"/>
      <c r="AC946" s="26">
        <f>IF(T946="","Chưa quyết định",IF(OR(Z946="",AA946=""),"⚠ Thiếu lý do/người duyệt",IF(AND(X946&lt;&gt;"",N(X946)+N(R946)+N(S946)&gt;M946*1.001,R946&lt;&gt;""),"⚠ Vượt mục tiêu P90",IF(AND(Y946&lt;&gt;"",ABS(N(Y946))&gt;0.3),"⚠ Lệch &gt; 30% so với nhu cầu",IF(Q946="Có","ℹ Kiểm tra ngoại suy KM","✓ Hợp lệ")))))</f>
        <v/>
      </c>
    </row>
    <row r="947">
      <c r="A947" s="16" t="n">
        <v>943</v>
      </c>
      <c r="B947" s="17" t="inlineStr">
        <is>
          <t>DEC-S32-GROCERY_II</t>
        </is>
      </c>
      <c r="C947" s="16" t="n">
        <v>32</v>
      </c>
      <c r="D947" s="17" t="inlineStr">
        <is>
          <t>GROCERY II</t>
        </is>
      </c>
      <c r="E947" s="17" t="inlineStr">
        <is>
          <t>HIGH</t>
        </is>
      </c>
      <c r="F947" s="17" t="inlineStr">
        <is>
          <t>TRUNG BÌNH</t>
        </is>
      </c>
      <c r="G947" s="18" t="inlineStr">
        <is>
          <t>RISK_HIGH · PROMO_EXTRAPOLATION</t>
        </is>
      </c>
      <c r="H947" s="19" t="n">
        <v>6.782478928565979</v>
      </c>
      <c r="I947" s="19" t="n">
        <v>38.33170113712549</v>
      </c>
      <c r="J947" s="19" t="n">
        <v>129.9248413100838</v>
      </c>
      <c r="K947" s="19" t="n">
        <v>38.33170113712549</v>
      </c>
      <c r="L947" s="19" t="n">
        <v>95.57741374522446</v>
      </c>
      <c r="M947" s="19" t="n">
        <v>129.9248413100838</v>
      </c>
      <c r="N947" s="17" t="inlineStr">
        <is>
          <t>B</t>
        </is>
      </c>
      <c r="O947" s="19" t="n">
        <v>64.91205283552407</v>
      </c>
      <c r="P947" s="18" t="inlineStr">
        <is>
          <t>KHÔNG ĐỀ XUẤT TĂNG</t>
        </is>
      </c>
      <c r="Q947" s="17" t="inlineStr">
        <is>
          <t>Có</t>
        </is>
      </c>
      <c r="R947" s="20" t="n"/>
      <c r="S947" s="20" t="n"/>
      <c r="T947" s="21" t="n"/>
      <c r="U947" s="21" t="n"/>
      <c r="V947" s="22">
        <f>IF(U947="A",K947,IF(U947="B",L947,IF(U947="C",M947,IF(N947="A",K947,IF(N947="B",L947,M947)))))</f>
        <v/>
      </c>
      <c r="W947" s="22">
        <f>IF(R947="",O947,MAX(V947-R947-N(S947),0))</f>
        <v/>
      </c>
      <c r="X947" s="20" t="n"/>
      <c r="Y947" s="23">
        <f>IF(OR(X947="",W947=0),"",X947/W947-1)</f>
        <v/>
      </c>
      <c r="Z947" s="24" t="n"/>
      <c r="AA947" s="21" t="n"/>
      <c r="AB947" s="25" t="n"/>
      <c r="AC947" s="26">
        <f>IF(T947="","Chưa quyết định",IF(OR(Z947="",AA947=""),"⚠ Thiếu lý do/người duyệt",IF(AND(X947&lt;&gt;"",N(X947)+N(R947)+N(S947)&gt;M947*1.001,R947&lt;&gt;""),"⚠ Vượt mục tiêu P90",IF(AND(Y947&lt;&gt;"",ABS(N(Y947))&gt;0.3),"⚠ Lệch &gt; 30% so với nhu cầu",IF(Q947="Có","ℹ Kiểm tra ngoại suy KM","✓ Hợp lệ")))))</f>
        <v/>
      </c>
    </row>
    <row r="948">
      <c r="A948" s="16" t="n">
        <v>944</v>
      </c>
      <c r="B948" s="17" t="inlineStr">
        <is>
          <t>DEC-S09-HOME_APPLIANCES</t>
        </is>
      </c>
      <c r="C948" s="16" t="n">
        <v>9</v>
      </c>
      <c r="D948" s="17" t="inlineStr">
        <is>
          <t>HOME APPLIANCES</t>
        </is>
      </c>
      <c r="E948" s="17" t="inlineStr">
        <is>
          <t>HIGH</t>
        </is>
      </c>
      <c r="F948" s="17" t="inlineStr">
        <is>
          <t>TRUNG BÌNH</t>
        </is>
      </c>
      <c r="G948" s="18" t="inlineStr">
        <is>
          <t>RISK_HIGH · PROMO_EXTRAPOLATION</t>
        </is>
      </c>
      <c r="H948" s="19" t="n">
        <v>5.730194801092148</v>
      </c>
      <c r="I948" s="19" t="n">
        <v>38.25695169717073</v>
      </c>
      <c r="J948" s="19" t="n">
        <v>128.0635131672025</v>
      </c>
      <c r="K948" s="19" t="n">
        <v>38.25695169717073</v>
      </c>
      <c r="L948" s="19" t="n">
        <v>94.38605261594057</v>
      </c>
      <c r="M948" s="19" t="n">
        <v>128.0635131672025</v>
      </c>
      <c r="N948" s="17" t="inlineStr">
        <is>
          <t>B</t>
        </is>
      </c>
      <c r="O948" s="19" t="n">
        <v>63.78049125820398</v>
      </c>
      <c r="P948" s="18" t="inlineStr">
        <is>
          <t>KHÔNG ĐỀ XUẤT TĂNG</t>
        </is>
      </c>
      <c r="Q948" s="17" t="inlineStr">
        <is>
          <t>Có</t>
        </is>
      </c>
      <c r="R948" s="20" t="n"/>
      <c r="S948" s="20" t="n"/>
      <c r="T948" s="21" t="n"/>
      <c r="U948" s="21" t="n"/>
      <c r="V948" s="22">
        <f>IF(U948="A",K948,IF(U948="B",L948,IF(U948="C",M948,IF(N948="A",K948,IF(N948="B",L948,M948)))))</f>
        <v/>
      </c>
      <c r="W948" s="22">
        <f>IF(R948="",O948,MAX(V948-R948-N(S948),0))</f>
        <v/>
      </c>
      <c r="X948" s="20" t="n"/>
      <c r="Y948" s="23">
        <f>IF(OR(X948="",W948=0),"",X948/W948-1)</f>
        <v/>
      </c>
      <c r="Z948" s="24" t="n"/>
      <c r="AA948" s="21" t="n"/>
      <c r="AB948" s="25" t="n"/>
      <c r="AC948" s="26">
        <f>IF(T948="","Chưa quyết định",IF(OR(Z948="",AA948=""),"⚠ Thiếu lý do/người duyệt",IF(AND(X948&lt;&gt;"",N(X948)+N(R948)+N(S948)&gt;M948*1.001,R948&lt;&gt;""),"⚠ Vượt mục tiêu P90",IF(AND(Y948&lt;&gt;"",ABS(N(Y948))&gt;0.3),"⚠ Lệch &gt; 30% so với nhu cầu",IF(Q948="Có","ℹ Kiểm tra ngoại suy KM","✓ Hợp lệ")))))</f>
        <v/>
      </c>
    </row>
    <row r="949">
      <c r="A949" s="16" t="n">
        <v>945</v>
      </c>
      <c r="B949" s="17" t="inlineStr">
        <is>
          <t>DEC-S52-BABY_CARE</t>
        </is>
      </c>
      <c r="C949" s="16" t="n">
        <v>52</v>
      </c>
      <c r="D949" s="17" t="inlineStr">
        <is>
          <t>BABY CARE</t>
        </is>
      </c>
      <c r="E949" s="17" t="inlineStr">
        <is>
          <t>HIGH</t>
        </is>
      </c>
      <c r="F949" s="17" t="inlineStr">
        <is>
          <t>TRUNG BÌNH</t>
        </is>
      </c>
      <c r="G949" s="18" t="inlineStr">
        <is>
          <t>RISK_HIGH · PROMO_EXTRAPOLATION</t>
        </is>
      </c>
      <c r="H949" s="19" t="n">
        <v>5.527856826782227</v>
      </c>
      <c r="I949" s="19" t="n">
        <v>38.15300291776657</v>
      </c>
      <c r="J949" s="19" t="n">
        <v>127.9595643877983</v>
      </c>
      <c r="K949" s="19" t="n">
        <v>38.15300291776657</v>
      </c>
      <c r="L949" s="19" t="n">
        <v>94.28210383653641</v>
      </c>
      <c r="M949" s="19" t="n">
        <v>127.9595643877983</v>
      </c>
      <c r="N949" s="17" t="inlineStr">
        <is>
          <t>B</t>
        </is>
      </c>
      <c r="O949" s="19" t="n">
        <v>63.75970150232315</v>
      </c>
      <c r="P949" s="18" t="inlineStr">
        <is>
          <t>KHÔNG ĐỀ XUẤT TĂNG</t>
        </is>
      </c>
      <c r="Q949" s="17" t="inlineStr">
        <is>
          <t>Có</t>
        </is>
      </c>
      <c r="R949" s="20" t="n"/>
      <c r="S949" s="20" t="n"/>
      <c r="T949" s="21" t="n"/>
      <c r="U949" s="21" t="n"/>
      <c r="V949" s="22">
        <f>IF(U949="A",K949,IF(U949="B",L949,IF(U949="C",M949,IF(N949="A",K949,IF(N949="B",L949,M949)))))</f>
        <v/>
      </c>
      <c r="W949" s="22">
        <f>IF(R949="",O949,MAX(V949-R949-N(S949),0))</f>
        <v/>
      </c>
      <c r="X949" s="20" t="n"/>
      <c r="Y949" s="23">
        <f>IF(OR(X949="",W949=0),"",X949/W949-1)</f>
        <v/>
      </c>
      <c r="Z949" s="24" t="n"/>
      <c r="AA949" s="21" t="n"/>
      <c r="AB949" s="25" t="n"/>
      <c r="AC949" s="26">
        <f>IF(T949="","Chưa quyết định",IF(OR(Z949="",AA949=""),"⚠ Thiếu lý do/người duyệt",IF(AND(X949&lt;&gt;"",N(X949)+N(R949)+N(S949)&gt;M949*1.001,R949&lt;&gt;""),"⚠ Vượt mục tiêu P90",IF(AND(Y949&lt;&gt;"",ABS(N(Y949))&gt;0.3),"⚠ Lệch &gt; 30% so với nhu cầu",IF(Q949="Có","ℹ Kiểm tra ngoại suy KM","✓ Hợp lệ")))))</f>
        <v/>
      </c>
    </row>
    <row r="950">
      <c r="A950" s="16" t="n">
        <v>946</v>
      </c>
      <c r="B950" s="17" t="inlineStr">
        <is>
          <t>DEC-S52-BOOKS</t>
        </is>
      </c>
      <c r="C950" s="16" t="n">
        <v>52</v>
      </c>
      <c r="D950" s="17" t="inlineStr">
        <is>
          <t>BOOKS</t>
        </is>
      </c>
      <c r="E950" s="17" t="inlineStr">
        <is>
          <t>HIGH</t>
        </is>
      </c>
      <c r="F950" s="17" t="inlineStr">
        <is>
          <t>TRUNG BÌNH</t>
        </is>
      </c>
      <c r="G950" s="18" t="inlineStr">
        <is>
          <t>RISK_HIGH · PROMO_EXTRAPOLATION</t>
        </is>
      </c>
      <c r="H950" s="19" t="n">
        <v>5.527856826782227</v>
      </c>
      <c r="I950" s="19" t="n">
        <v>38.15300291776657</v>
      </c>
      <c r="J950" s="19" t="n">
        <v>127.9595643877983</v>
      </c>
      <c r="K950" s="19" t="n">
        <v>38.15300291776657</v>
      </c>
      <c r="L950" s="19" t="n">
        <v>94.28210383653641</v>
      </c>
      <c r="M950" s="19" t="n">
        <v>127.9595643877983</v>
      </c>
      <c r="N950" s="17" t="inlineStr">
        <is>
          <t>B</t>
        </is>
      </c>
      <c r="O950" s="19" t="n">
        <v>63.75970150232315</v>
      </c>
      <c r="P950" s="18" t="inlineStr">
        <is>
          <t>KHÔNG ĐỀ XUẤT TĂNG</t>
        </is>
      </c>
      <c r="Q950" s="17" t="inlineStr">
        <is>
          <t>Có</t>
        </is>
      </c>
      <c r="R950" s="20" t="n"/>
      <c r="S950" s="20" t="n"/>
      <c r="T950" s="21" t="n"/>
      <c r="U950" s="21" t="n"/>
      <c r="V950" s="22">
        <f>IF(U950="A",K950,IF(U950="B",L950,IF(U950="C",M950,IF(N950="A",K950,IF(N950="B",L950,M950)))))</f>
        <v/>
      </c>
      <c r="W950" s="22">
        <f>IF(R950="",O950,MAX(V950-R950-N(S950),0))</f>
        <v/>
      </c>
      <c r="X950" s="20" t="n"/>
      <c r="Y950" s="23">
        <f>IF(OR(X950="",W950=0),"",X950/W950-1)</f>
        <v/>
      </c>
      <c r="Z950" s="24" t="n"/>
      <c r="AA950" s="21" t="n"/>
      <c r="AB950" s="25" t="n"/>
      <c r="AC950" s="26">
        <f>IF(T950="","Chưa quyết định",IF(OR(Z950="",AA950=""),"⚠ Thiếu lý do/người duyệt",IF(AND(X950&lt;&gt;"",N(X950)+N(R950)+N(S950)&gt;M950*1.001,R950&lt;&gt;""),"⚠ Vượt mục tiêu P90",IF(AND(Y950&lt;&gt;"",ABS(N(Y950))&gt;0.3),"⚠ Lệch &gt; 30% so với nhu cầu",IF(Q950="Có","ℹ Kiểm tra ngoại suy KM","✓ Hợp lệ")))))</f>
        <v/>
      </c>
    </row>
    <row r="951">
      <c r="A951" s="16" t="n">
        <v>947</v>
      </c>
      <c r="B951" s="17" t="inlineStr">
        <is>
          <t>DEC-S26-PET_SUPPLIES</t>
        </is>
      </c>
      <c r="C951" s="16" t="n">
        <v>26</v>
      </c>
      <c r="D951" s="17" t="inlineStr">
        <is>
          <t>PET SUPPLIES</t>
        </is>
      </c>
      <c r="E951" s="17" t="inlineStr">
        <is>
          <t>HIGH</t>
        </is>
      </c>
      <c r="F951" s="17" t="inlineStr">
        <is>
          <t>TRUNG BÌNH</t>
        </is>
      </c>
      <c r="G951" s="18" t="inlineStr">
        <is>
          <t>RISK_HIGH · PROMO_EXTRAPOLATION</t>
        </is>
      </c>
      <c r="H951" s="19" t="n">
        <v>3.934734708070755</v>
      </c>
      <c r="I951" s="19" t="n">
        <v>37.8307087123394</v>
      </c>
      <c r="J951" s="19" t="n">
        <v>131.6355752170086</v>
      </c>
      <c r="K951" s="19" t="n">
        <v>37.8307087123394</v>
      </c>
      <c r="L951" s="19" t="n">
        <v>96.45875027775764</v>
      </c>
      <c r="M951" s="19" t="n">
        <v>131.6355752170086</v>
      </c>
      <c r="N951" s="17" t="inlineStr">
        <is>
          <t>B</t>
        </is>
      </c>
      <c r="O951" s="19" t="n">
        <v>66.19418330788612</v>
      </c>
      <c r="P951" s="18" t="inlineStr">
        <is>
          <t>KHÔNG ĐỀ XUẤT TĂNG</t>
        </is>
      </c>
      <c r="Q951" s="17" t="inlineStr">
        <is>
          <t>Có</t>
        </is>
      </c>
      <c r="R951" s="20" t="n"/>
      <c r="S951" s="20" t="n"/>
      <c r="T951" s="21" t="n"/>
      <c r="U951" s="21" t="n"/>
      <c r="V951" s="22">
        <f>IF(U951="A",K951,IF(U951="B",L951,IF(U951="C",M951,IF(N951="A",K951,IF(N951="B",L951,M951)))))</f>
        <v/>
      </c>
      <c r="W951" s="22">
        <f>IF(R951="",O951,MAX(V951-R951-N(S951),0))</f>
        <v/>
      </c>
      <c r="X951" s="20" t="n"/>
      <c r="Y951" s="23">
        <f>IF(OR(X951="",W951=0),"",X951/W951-1)</f>
        <v/>
      </c>
      <c r="Z951" s="24" t="n"/>
      <c r="AA951" s="21" t="n"/>
      <c r="AB951" s="25" t="n"/>
      <c r="AC951" s="26">
        <f>IF(T951="","Chưa quyết định",IF(OR(Z951="",AA951=""),"⚠ Thiếu lý do/người duyệt",IF(AND(X951&lt;&gt;"",N(X951)+N(R951)+N(S951)&gt;M951*1.001,R951&lt;&gt;""),"⚠ Vượt mục tiêu P90",IF(AND(Y951&lt;&gt;"",ABS(N(Y951))&gt;0.3),"⚠ Lệch &gt; 30% so với nhu cầu",IF(Q951="Có","ℹ Kiểm tra ngoại suy KM","✓ Hợp lệ")))))</f>
        <v/>
      </c>
    </row>
    <row r="952">
      <c r="A952" s="16" t="n">
        <v>948</v>
      </c>
      <c r="B952" s="17" t="inlineStr">
        <is>
          <t>DEC-S51-HOME_APPLIANCES</t>
        </is>
      </c>
      <c r="C952" s="16" t="n">
        <v>51</v>
      </c>
      <c r="D952" s="17" t="inlineStr">
        <is>
          <t>HOME APPLIANCES</t>
        </is>
      </c>
      <c r="E952" s="17" t="inlineStr">
        <is>
          <t>HIGH</t>
        </is>
      </c>
      <c r="F952" s="17" t="inlineStr">
        <is>
          <t>TRUNG BÌNH</t>
        </is>
      </c>
      <c r="G952" s="18" t="inlineStr">
        <is>
          <t>RISK_HIGH · PROMO_EXTRAPOLATION</t>
        </is>
      </c>
      <c r="H952" s="19" t="n">
        <v>3.756777578592301</v>
      </c>
      <c r="I952" s="19" t="n">
        <v>37.66183188557625</v>
      </c>
      <c r="J952" s="19" t="n">
        <v>129.5974790394306</v>
      </c>
      <c r="K952" s="19" t="n">
        <v>37.66183188557625</v>
      </c>
      <c r="L952" s="19" t="n">
        <v>95.12161135673523</v>
      </c>
      <c r="M952" s="19" t="n">
        <v>129.5974790394306</v>
      </c>
      <c r="N952" s="17" t="inlineStr">
        <is>
          <t>B</t>
        </is>
      </c>
      <c r="O952" s="19" t="n">
        <v>64.99214584827423</v>
      </c>
      <c r="P952" s="18" t="inlineStr">
        <is>
          <t>KHÔNG ĐỀ XUẤT TĂNG</t>
        </is>
      </c>
      <c r="Q952" s="17" t="inlineStr">
        <is>
          <t>Có</t>
        </is>
      </c>
      <c r="R952" s="20" t="n"/>
      <c r="S952" s="20" t="n"/>
      <c r="T952" s="21" t="n"/>
      <c r="U952" s="21" t="n"/>
      <c r="V952" s="22">
        <f>IF(U952="A",K952,IF(U952="B",L952,IF(U952="C",M952,IF(N952="A",K952,IF(N952="B",L952,M952)))))</f>
        <v/>
      </c>
      <c r="W952" s="22">
        <f>IF(R952="",O952,MAX(V952-R952-N(S952),0))</f>
        <v/>
      </c>
      <c r="X952" s="20" t="n"/>
      <c r="Y952" s="23">
        <f>IF(OR(X952="",W952=0),"",X952/W952-1)</f>
        <v/>
      </c>
      <c r="Z952" s="24" t="n"/>
      <c r="AA952" s="21" t="n"/>
      <c r="AB952" s="25" t="n"/>
      <c r="AC952" s="26">
        <f>IF(T952="","Chưa quyết định",IF(OR(Z952="",AA952=""),"⚠ Thiếu lý do/người duyệt",IF(AND(X952&lt;&gt;"",N(X952)+N(R952)+N(S952)&gt;M952*1.001,R952&lt;&gt;""),"⚠ Vượt mục tiêu P90",IF(AND(Y952&lt;&gt;"",ABS(N(Y952))&gt;0.3),"⚠ Lệch &gt; 30% so với nhu cầu",IF(Q952="Có","ℹ Kiểm tra ngoại suy KM","✓ Hợp lệ")))))</f>
        <v/>
      </c>
    </row>
    <row r="953">
      <c r="A953" s="16" t="n">
        <v>949</v>
      </c>
      <c r="B953" s="17" t="inlineStr">
        <is>
          <t>DEC-S34-BABY_CARE</t>
        </is>
      </c>
      <c r="C953" s="16" t="n">
        <v>34</v>
      </c>
      <c r="D953" s="17" t="inlineStr">
        <is>
          <t>BABY CARE</t>
        </is>
      </c>
      <c r="E953" s="17" t="inlineStr">
        <is>
          <t>HIGH</t>
        </is>
      </c>
      <c r="F953" s="17" t="inlineStr">
        <is>
          <t>TRUNG BÌNH</t>
        </is>
      </c>
      <c r="G953" s="18" t="inlineStr">
        <is>
          <t>RISK_HIGH · PROMO_EXTRAPOLATION</t>
        </is>
      </c>
      <c r="H953" s="19" t="n">
        <v>6.605636352300644</v>
      </c>
      <c r="I953" s="19" t="n">
        <v>37.39423593878746</v>
      </c>
      <c r="J953" s="19" t="n">
        <v>126.9409310758114</v>
      </c>
      <c r="K953" s="19" t="n">
        <v>37.39423593878746</v>
      </c>
      <c r="L953" s="19" t="n">
        <v>93.36092039942741</v>
      </c>
      <c r="M953" s="19" t="n">
        <v>126.9409310758114</v>
      </c>
      <c r="N953" s="17" t="inlineStr">
        <is>
          <t>B</t>
        </is>
      </c>
      <c r="O953" s="19" t="n">
        <v>63.44553164839745</v>
      </c>
      <c r="P953" s="18" t="inlineStr">
        <is>
          <t>KHÔNG ĐỀ XUẤT TĂNG</t>
        </is>
      </c>
      <c r="Q953" s="17" t="inlineStr">
        <is>
          <t>Có</t>
        </is>
      </c>
      <c r="R953" s="20" t="n"/>
      <c r="S953" s="20" t="n"/>
      <c r="T953" s="21" t="n"/>
      <c r="U953" s="21" t="n"/>
      <c r="V953" s="22">
        <f>IF(U953="A",K953,IF(U953="B",L953,IF(U953="C",M953,IF(N953="A",K953,IF(N953="B",L953,M953)))))</f>
        <v/>
      </c>
      <c r="W953" s="22">
        <f>IF(R953="",O953,MAX(V953-R953-N(S953),0))</f>
        <v/>
      </c>
      <c r="X953" s="20" t="n"/>
      <c r="Y953" s="23">
        <f>IF(OR(X953="",W953=0),"",X953/W953-1)</f>
        <v/>
      </c>
      <c r="Z953" s="24" t="n"/>
      <c r="AA953" s="21" t="n"/>
      <c r="AB953" s="25" t="n"/>
      <c r="AC953" s="26">
        <f>IF(T953="","Chưa quyết định",IF(OR(Z953="",AA953=""),"⚠ Thiếu lý do/người duyệt",IF(AND(X953&lt;&gt;"",N(X953)+N(R953)+N(S953)&gt;M953*1.001,R953&lt;&gt;""),"⚠ Vượt mục tiêu P90",IF(AND(Y953&lt;&gt;"",ABS(N(Y953))&gt;0.3),"⚠ Lệch &gt; 30% so với nhu cầu",IF(Q953="Có","ℹ Kiểm tra ngoại suy KM","✓ Hợp lệ")))))</f>
        <v/>
      </c>
    </row>
    <row r="954">
      <c r="A954" s="16" t="n">
        <v>950</v>
      </c>
      <c r="B954" s="17" t="inlineStr">
        <is>
          <t>DEC-S53-MAGAZINES</t>
        </is>
      </c>
      <c r="C954" s="16" t="n">
        <v>53</v>
      </c>
      <c r="D954" s="17" t="inlineStr">
        <is>
          <t>MAGAZINES</t>
        </is>
      </c>
      <c r="E954" s="17" t="inlineStr">
        <is>
          <t>HIGH</t>
        </is>
      </c>
      <c r="F954" s="17" t="inlineStr">
        <is>
          <t>TRUNG BÌNH</t>
        </is>
      </c>
      <c r="G954" s="18" t="inlineStr">
        <is>
          <t>RISK_HIGH · PROMO_EXTRAPOLATION</t>
        </is>
      </c>
      <c r="H954" s="19" t="n">
        <v>7.518337368965149</v>
      </c>
      <c r="I954" s="19" t="n">
        <v>37.01580482721329</v>
      </c>
      <c r="J954" s="19" t="n">
        <v>124.6932806134224</v>
      </c>
      <c r="K954" s="19" t="n">
        <v>37.01580482721329</v>
      </c>
      <c r="L954" s="19" t="n">
        <v>91.81422719359398</v>
      </c>
      <c r="M954" s="19" t="n">
        <v>124.6932806134224</v>
      </c>
      <c r="N954" s="17" t="inlineStr">
        <is>
          <t>B</t>
        </is>
      </c>
      <c r="O954" s="19" t="n">
        <v>62.20158333182334</v>
      </c>
      <c r="P954" s="18" t="inlineStr">
        <is>
          <t>KHÔNG ĐỀ XUẤT TĂNG</t>
        </is>
      </c>
      <c r="Q954" s="17" t="inlineStr">
        <is>
          <t>Có</t>
        </is>
      </c>
      <c r="R954" s="20" t="n"/>
      <c r="S954" s="20" t="n"/>
      <c r="T954" s="21" t="n"/>
      <c r="U954" s="21" t="n"/>
      <c r="V954" s="22">
        <f>IF(U954="A",K954,IF(U954="B",L954,IF(U954="C",M954,IF(N954="A",K954,IF(N954="B",L954,M954)))))</f>
        <v/>
      </c>
      <c r="W954" s="22">
        <f>IF(R954="",O954,MAX(V954-R954-N(S954),0))</f>
        <v/>
      </c>
      <c r="X954" s="20" t="n"/>
      <c r="Y954" s="23">
        <f>IF(OR(X954="",W954=0),"",X954/W954-1)</f>
        <v/>
      </c>
      <c r="Z954" s="24" t="n"/>
      <c r="AA954" s="21" t="n"/>
      <c r="AB954" s="25" t="n"/>
      <c r="AC954" s="26">
        <f>IF(T954="","Chưa quyết định",IF(OR(Z954="",AA954=""),"⚠ Thiếu lý do/người duyệt",IF(AND(X954&lt;&gt;"",N(X954)+N(R954)+N(S954)&gt;M954*1.001,R954&lt;&gt;""),"⚠ Vượt mục tiêu P90",IF(AND(Y954&lt;&gt;"",ABS(N(Y954))&gt;0.3),"⚠ Lệch &gt; 30% so với nhu cầu",IF(Q954="Có","ℹ Kiểm tra ngoại suy KM","✓ Hợp lệ")))))</f>
        <v/>
      </c>
    </row>
    <row r="955">
      <c r="A955" s="16" t="n">
        <v>951</v>
      </c>
      <c r="B955" s="17" t="inlineStr">
        <is>
          <t>DEC-S32-BEAUTY</t>
        </is>
      </c>
      <c r="C955" s="16" t="n">
        <v>32</v>
      </c>
      <c r="D955" s="17" t="inlineStr">
        <is>
          <t>BEAUTY</t>
        </is>
      </c>
      <c r="E955" s="17" t="inlineStr">
        <is>
          <t>HIGH</t>
        </is>
      </c>
      <c r="F955" s="17" t="inlineStr">
        <is>
          <t>TRUNG BÌNH</t>
        </is>
      </c>
      <c r="G955" s="18" t="inlineStr">
        <is>
          <t>RISK_HIGH · PROMO_EXTRAPOLATION</t>
        </is>
      </c>
      <c r="H955" s="19" t="n">
        <v>13.9550694167614</v>
      </c>
      <c r="I955" s="19" t="n">
        <v>36.99513909220696</v>
      </c>
      <c r="J955" s="19" t="n">
        <v>118.545224159956</v>
      </c>
      <c r="K955" s="19" t="n">
        <v>36.99513909220696</v>
      </c>
      <c r="L955" s="19" t="n">
        <v>87.96394225955009</v>
      </c>
      <c r="M955" s="19" t="n">
        <v>118.545224159956</v>
      </c>
      <c r="N955" s="17" t="inlineStr">
        <is>
          <t>B</t>
        </is>
      </c>
      <c r="O955" s="19" t="n">
        <v>58.36783098578453</v>
      </c>
      <c r="P955" s="18" t="inlineStr">
        <is>
          <t>KHÔNG ĐỀ XUẤT TĂNG</t>
        </is>
      </c>
      <c r="Q955" s="17" t="inlineStr">
        <is>
          <t>Có</t>
        </is>
      </c>
      <c r="R955" s="20" t="n"/>
      <c r="S955" s="20" t="n"/>
      <c r="T955" s="21" t="n"/>
      <c r="U955" s="21" t="n"/>
      <c r="V955" s="22">
        <f>IF(U955="A",K955,IF(U955="B",L955,IF(U955="C",M955,IF(N955="A",K955,IF(N955="B",L955,M955)))))</f>
        <v/>
      </c>
      <c r="W955" s="22">
        <f>IF(R955="",O955,MAX(V955-R955-N(S955),0))</f>
        <v/>
      </c>
      <c r="X955" s="20" t="n"/>
      <c r="Y955" s="23">
        <f>IF(OR(X955="",W955=0),"",X955/W955-1)</f>
        <v/>
      </c>
      <c r="Z955" s="24" t="n"/>
      <c r="AA955" s="21" t="n"/>
      <c r="AB955" s="25" t="n"/>
      <c r="AC955" s="26">
        <f>IF(T955="","Chưa quyết định",IF(OR(Z955="",AA955=""),"⚠ Thiếu lý do/người duyệt",IF(AND(X955&lt;&gt;"",N(X955)+N(R955)+N(S955)&gt;M955*1.001,R955&lt;&gt;""),"⚠ Vượt mục tiêu P90",IF(AND(Y955&lt;&gt;"",ABS(N(Y955))&gt;0.3),"⚠ Lệch &gt; 30% so với nhu cầu",IF(Q955="Có","ℹ Kiểm tra ngoại suy KM","✓ Hợp lệ")))))</f>
        <v/>
      </c>
    </row>
    <row r="956">
      <c r="A956" s="16" t="n">
        <v>952</v>
      </c>
      <c r="B956" s="17" t="inlineStr">
        <is>
          <t>DEC-S54-BEAUTY</t>
        </is>
      </c>
      <c r="C956" s="16" t="n">
        <v>54</v>
      </c>
      <c r="D956" s="17" t="inlineStr">
        <is>
          <t>BEAUTY</t>
        </is>
      </c>
      <c r="E956" s="17" t="inlineStr">
        <is>
          <t>HIGH</t>
        </is>
      </c>
      <c r="F956" s="17" t="inlineStr">
        <is>
          <t>TRUNG BÌNH</t>
        </is>
      </c>
      <c r="G956" s="18" t="inlineStr">
        <is>
          <t>RISK_HIGH · PROMO_EXTRAPOLATION</t>
        </is>
      </c>
      <c r="H956" s="19" t="n">
        <v>10.96280761957169</v>
      </c>
      <c r="I956" s="19" t="n">
        <v>36.74632698297501</v>
      </c>
      <c r="J956" s="19" t="n">
        <v>122.2947170853615</v>
      </c>
      <c r="K956" s="19" t="n">
        <v>36.74632698297501</v>
      </c>
      <c r="L956" s="19" t="n">
        <v>90.21407079696655</v>
      </c>
      <c r="M956" s="19" t="n">
        <v>122.2947170853615</v>
      </c>
      <c r="N956" s="17" t="inlineStr">
        <is>
          <t>B</t>
        </is>
      </c>
      <c r="O956" s="19" t="n">
        <v>60.81700921058655</v>
      </c>
      <c r="P956" s="18" t="inlineStr">
        <is>
          <t>KHÔNG ĐỀ XUẤT TĂNG</t>
        </is>
      </c>
      <c r="Q956" s="17" t="inlineStr">
        <is>
          <t>Có</t>
        </is>
      </c>
      <c r="R956" s="20" t="n"/>
      <c r="S956" s="20" t="n"/>
      <c r="T956" s="21" t="n"/>
      <c r="U956" s="21" t="n"/>
      <c r="V956" s="22">
        <f>IF(U956="A",K956,IF(U956="B",L956,IF(U956="C",M956,IF(N956="A",K956,IF(N956="B",L956,M956)))))</f>
        <v/>
      </c>
      <c r="W956" s="22">
        <f>IF(R956="",O956,MAX(V956-R956-N(S956),0))</f>
        <v/>
      </c>
      <c r="X956" s="20" t="n"/>
      <c r="Y956" s="23">
        <f>IF(OR(X956="",W956=0),"",X956/W956-1)</f>
        <v/>
      </c>
      <c r="Z956" s="24" t="n"/>
      <c r="AA956" s="21" t="n"/>
      <c r="AB956" s="25" t="n"/>
      <c r="AC956" s="26">
        <f>IF(T956="","Chưa quyết định",IF(OR(Z956="",AA956=""),"⚠ Thiếu lý do/người duyệt",IF(AND(X956&lt;&gt;"",N(X956)+N(R956)+N(S956)&gt;M956*1.001,R956&lt;&gt;""),"⚠ Vượt mục tiêu P90",IF(AND(Y956&lt;&gt;"",ABS(N(Y956))&gt;0.3),"⚠ Lệch &gt; 30% so với nhu cầu",IF(Q956="Có","ℹ Kiểm tra ngoại suy KM","✓ Hợp lệ")))))</f>
        <v/>
      </c>
    </row>
    <row r="957">
      <c r="A957" s="16" t="n">
        <v>953</v>
      </c>
      <c r="B957" s="17" t="inlineStr">
        <is>
          <t>DEC-S34-BOOKS</t>
        </is>
      </c>
      <c r="C957" s="16" t="n">
        <v>34</v>
      </c>
      <c r="D957" s="17" t="inlineStr">
        <is>
          <t>BOOKS</t>
        </is>
      </c>
      <c r="E957" s="17" t="inlineStr">
        <is>
          <t>HIGH</t>
        </is>
      </c>
      <c r="F957" s="17" t="inlineStr">
        <is>
          <t>TRUNG BÌNH</t>
        </is>
      </c>
      <c r="G957" s="18" t="inlineStr">
        <is>
          <t>RISK_HIGH · PROMO_EXTRAPOLATION</t>
        </is>
      </c>
      <c r="H957" s="19" t="n">
        <v>5.936922663450241</v>
      </c>
      <c r="I957" s="19" t="n">
        <v>36.6646920144558</v>
      </c>
      <c r="J957" s="19" t="n">
        <v>126.2113871514797</v>
      </c>
      <c r="K957" s="19" t="n">
        <v>36.6646920144558</v>
      </c>
      <c r="L957" s="19" t="n">
        <v>92.63137647509575</v>
      </c>
      <c r="M957" s="19" t="n">
        <v>126.2113871514797</v>
      </c>
      <c r="N957" s="17" t="inlineStr">
        <is>
          <t>B</t>
        </is>
      </c>
      <c r="O957" s="19" t="n">
        <v>63.29962286353111</v>
      </c>
      <c r="P957" s="18" t="inlineStr">
        <is>
          <t>KHÔNG ĐỀ XUẤT TĂNG</t>
        </is>
      </c>
      <c r="Q957" s="17" t="inlineStr">
        <is>
          <t>Có</t>
        </is>
      </c>
      <c r="R957" s="20" t="n"/>
      <c r="S957" s="20" t="n"/>
      <c r="T957" s="21" t="n"/>
      <c r="U957" s="21" t="n"/>
      <c r="V957" s="22">
        <f>IF(U957="A",K957,IF(U957="B",L957,IF(U957="C",M957,IF(N957="A",K957,IF(N957="B",L957,M957)))))</f>
        <v/>
      </c>
      <c r="W957" s="22">
        <f>IF(R957="",O957,MAX(V957-R957-N(S957),0))</f>
        <v/>
      </c>
      <c r="X957" s="20" t="n"/>
      <c r="Y957" s="23">
        <f>IF(OR(X957="",W957=0),"",X957/W957-1)</f>
        <v/>
      </c>
      <c r="Z957" s="24" t="n"/>
      <c r="AA957" s="21" t="n"/>
      <c r="AB957" s="25" t="n"/>
      <c r="AC957" s="26">
        <f>IF(T957="","Chưa quyết định",IF(OR(Z957="",AA957=""),"⚠ Thiếu lý do/người duyệt",IF(AND(X957&lt;&gt;"",N(X957)+N(R957)+N(S957)&gt;M957*1.001,R957&lt;&gt;""),"⚠ Vượt mục tiêu P90",IF(AND(Y957&lt;&gt;"",ABS(N(Y957))&gt;0.3),"⚠ Lệch &gt; 30% so với nhu cầu",IF(Q957="Có","ℹ Kiểm tra ngoại suy KM","✓ Hợp lệ")))))</f>
        <v/>
      </c>
    </row>
    <row r="958">
      <c r="A958" s="16" t="n">
        <v>954</v>
      </c>
      <c r="B958" s="17" t="inlineStr">
        <is>
          <t>DEC-S45-BOOKS</t>
        </is>
      </c>
      <c r="C958" s="16" t="n">
        <v>45</v>
      </c>
      <c r="D958" s="17" t="inlineStr">
        <is>
          <t>BOOKS</t>
        </is>
      </c>
      <c r="E958" s="17" t="inlineStr">
        <is>
          <t>HIGH</t>
        </is>
      </c>
      <c r="F958" s="17" t="inlineStr">
        <is>
          <t>TRUNG BÌNH</t>
        </is>
      </c>
      <c r="G958" s="18" t="inlineStr">
        <is>
          <t>RISK_HIGH · PROMO_EXTRAPOLATION</t>
        </is>
      </c>
      <c r="H958" s="19" t="n">
        <v>5.60619929432869</v>
      </c>
      <c r="I958" s="19" t="n">
        <v>36.65105079114437</v>
      </c>
      <c r="J958" s="19" t="n">
        <v>124.3285265773535</v>
      </c>
      <c r="K958" s="19" t="n">
        <v>36.65105079114437</v>
      </c>
      <c r="L958" s="19" t="n">
        <v>91.44947315752506</v>
      </c>
      <c r="M958" s="19" t="n">
        <v>124.3285265773535</v>
      </c>
      <c r="N958" s="17" t="inlineStr">
        <is>
          <t>B</t>
        </is>
      </c>
      <c r="O958" s="19" t="n">
        <v>62.12863252460957</v>
      </c>
      <c r="P958" s="18" t="inlineStr">
        <is>
          <t>KHÔNG ĐỀ XUẤT TĂNG</t>
        </is>
      </c>
      <c r="Q958" s="17" t="inlineStr">
        <is>
          <t>Có</t>
        </is>
      </c>
      <c r="R958" s="20" t="n"/>
      <c r="S958" s="20" t="n"/>
      <c r="T958" s="21" t="n"/>
      <c r="U958" s="21" t="n"/>
      <c r="V958" s="22">
        <f>IF(U958="A",K958,IF(U958="B",L958,IF(U958="C",M958,IF(N958="A",K958,IF(N958="B",L958,M958)))))</f>
        <v/>
      </c>
      <c r="W958" s="22">
        <f>IF(R958="",O958,MAX(V958-R958-N(S958),0))</f>
        <v/>
      </c>
      <c r="X958" s="20" t="n"/>
      <c r="Y958" s="23">
        <f>IF(OR(X958="",W958=0),"",X958/W958-1)</f>
        <v/>
      </c>
      <c r="Z958" s="24" t="n"/>
      <c r="AA958" s="21" t="n"/>
      <c r="AB958" s="25" t="n"/>
      <c r="AC958" s="26">
        <f>IF(T958="","Chưa quyết định",IF(OR(Z958="",AA958=""),"⚠ Thiếu lý do/người duyệt",IF(AND(X958&lt;&gt;"",N(X958)+N(R958)+N(S958)&gt;M958*1.001,R958&lt;&gt;""),"⚠ Vượt mục tiêu P90",IF(AND(Y958&lt;&gt;"",ABS(N(Y958))&gt;0.3),"⚠ Lệch &gt; 30% so với nhu cầu",IF(Q958="Có","ℹ Kiểm tra ngoại suy KM","✓ Hợp lệ")))))</f>
        <v/>
      </c>
    </row>
    <row r="959">
      <c r="A959" s="16" t="n">
        <v>955</v>
      </c>
      <c r="B959" s="17" t="inlineStr">
        <is>
          <t>DEC-S27-BOOKS</t>
        </is>
      </c>
      <c r="C959" s="16" t="n">
        <v>27</v>
      </c>
      <c r="D959" s="17" t="inlineStr">
        <is>
          <t>BOOKS</t>
        </is>
      </c>
      <c r="E959" s="17" t="inlineStr">
        <is>
          <t>HIGH</t>
        </is>
      </c>
      <c r="F959" s="17" t="inlineStr">
        <is>
          <t>TRUNG BÌNH</t>
        </is>
      </c>
      <c r="G959" s="18" t="inlineStr">
        <is>
          <t>RISK_HIGH · PROMO_EXTRAPOLATION</t>
        </is>
      </c>
      <c r="H959" s="19" t="n">
        <v>6.060919666290284</v>
      </c>
      <c r="I959" s="19" t="n">
        <v>36.64491581916809</v>
      </c>
      <c r="J959" s="19" t="n">
        <v>126.191610956192</v>
      </c>
      <c r="K959" s="19" t="n">
        <v>36.64491581916809</v>
      </c>
      <c r="L959" s="19" t="n">
        <v>92.61160027980804</v>
      </c>
      <c r="M959" s="19" t="n">
        <v>126.191610956192</v>
      </c>
      <c r="N959" s="17" t="inlineStr">
        <is>
          <t>B</t>
        </is>
      </c>
      <c r="O959" s="19" t="n">
        <v>63.29566762447357</v>
      </c>
      <c r="P959" s="18" t="inlineStr">
        <is>
          <t>KHÔNG ĐỀ XUẤT TĂNG</t>
        </is>
      </c>
      <c r="Q959" s="17" t="inlineStr">
        <is>
          <t>Có</t>
        </is>
      </c>
      <c r="R959" s="20" t="n"/>
      <c r="S959" s="20" t="n"/>
      <c r="T959" s="21" t="n"/>
      <c r="U959" s="21" t="n"/>
      <c r="V959" s="22">
        <f>IF(U959="A",K959,IF(U959="B",L959,IF(U959="C",M959,IF(N959="A",K959,IF(N959="B",L959,M959)))))</f>
        <v/>
      </c>
      <c r="W959" s="22">
        <f>IF(R959="",O959,MAX(V959-R959-N(S959),0))</f>
        <v/>
      </c>
      <c r="X959" s="20" t="n"/>
      <c r="Y959" s="23">
        <f>IF(OR(X959="",W959=0),"",X959/W959-1)</f>
        <v/>
      </c>
      <c r="Z959" s="24" t="n"/>
      <c r="AA959" s="21" t="n"/>
      <c r="AB959" s="25" t="n"/>
      <c r="AC959" s="26">
        <f>IF(T959="","Chưa quyết định",IF(OR(Z959="",AA959=""),"⚠ Thiếu lý do/người duyệt",IF(AND(X959&lt;&gt;"",N(X959)+N(R959)+N(S959)&gt;M959*1.001,R959&lt;&gt;""),"⚠ Vượt mục tiêu P90",IF(AND(Y959&lt;&gt;"",ABS(N(Y959))&gt;0.3),"⚠ Lệch &gt; 30% so với nhu cầu",IF(Q959="Có","ℹ Kiểm tra ngoại suy KM","✓ Hợp lệ")))))</f>
        <v/>
      </c>
    </row>
    <row r="960">
      <c r="A960" s="16" t="n">
        <v>956</v>
      </c>
      <c r="B960" s="17" t="inlineStr">
        <is>
          <t>DEC-S45-BABY_CARE</t>
        </is>
      </c>
      <c r="C960" s="16" t="n">
        <v>45</v>
      </c>
      <c r="D960" s="17" t="inlineStr">
        <is>
          <t>BABY CARE</t>
        </is>
      </c>
      <c r="E960" s="17" t="inlineStr">
        <is>
          <t>HIGH</t>
        </is>
      </c>
      <c r="F960" s="17" t="inlineStr">
        <is>
          <t>TRUNG BÌNH</t>
        </is>
      </c>
      <c r="G960" s="18" t="inlineStr">
        <is>
          <t>RISK_HIGH · PROMO_EXTRAPOLATION</t>
        </is>
      </c>
      <c r="H960" s="19" t="n">
        <v>5.575784742832184</v>
      </c>
      <c r="I960" s="19" t="n">
        <v>36.62063623964787</v>
      </c>
      <c r="J960" s="19" t="n">
        <v>124.298112025857</v>
      </c>
      <c r="K960" s="19" t="n">
        <v>36.62063623964787</v>
      </c>
      <c r="L960" s="19" t="n">
        <v>91.41905860602856</v>
      </c>
      <c r="M960" s="19" t="n">
        <v>124.298112025857</v>
      </c>
      <c r="N960" s="17" t="inlineStr">
        <is>
          <t>B</t>
        </is>
      </c>
      <c r="O960" s="19" t="n">
        <v>62.12254961431027</v>
      </c>
      <c r="P960" s="18" t="inlineStr">
        <is>
          <t>KHÔNG ĐỀ XUẤT TĂNG</t>
        </is>
      </c>
      <c r="Q960" s="17" t="inlineStr">
        <is>
          <t>Có</t>
        </is>
      </c>
      <c r="R960" s="20" t="n"/>
      <c r="S960" s="20" t="n"/>
      <c r="T960" s="21" t="n"/>
      <c r="U960" s="21" t="n"/>
      <c r="V960" s="22">
        <f>IF(U960="A",K960,IF(U960="B",L960,IF(U960="C",M960,IF(N960="A",K960,IF(N960="B",L960,M960)))))</f>
        <v/>
      </c>
      <c r="W960" s="22">
        <f>IF(R960="",O960,MAX(V960-R960-N(S960),0))</f>
        <v/>
      </c>
      <c r="X960" s="20" t="n"/>
      <c r="Y960" s="23">
        <f>IF(OR(X960="",W960=0),"",X960/W960-1)</f>
        <v/>
      </c>
      <c r="Z960" s="24" t="n"/>
      <c r="AA960" s="21" t="n"/>
      <c r="AB960" s="25" t="n"/>
      <c r="AC960" s="26">
        <f>IF(T960="","Chưa quyết định",IF(OR(Z960="",AA960=""),"⚠ Thiếu lý do/người duyệt",IF(AND(X960&lt;&gt;"",N(X960)+N(R960)+N(S960)&gt;M960*1.001,R960&lt;&gt;""),"⚠ Vượt mục tiêu P90",IF(AND(Y960&lt;&gt;"",ABS(N(Y960))&gt;0.3),"⚠ Lệch &gt; 30% so với nhu cầu",IF(Q960="Có","ℹ Kiểm tra ngoại suy KM","✓ Hợp lệ")))))</f>
        <v/>
      </c>
    </row>
    <row r="961">
      <c r="A961" s="16" t="n">
        <v>957</v>
      </c>
      <c r="B961" s="17" t="inlineStr">
        <is>
          <t>DEC-S31-HARDWARE</t>
        </is>
      </c>
      <c r="C961" s="16" t="n">
        <v>31</v>
      </c>
      <c r="D961" s="17" t="inlineStr">
        <is>
          <t>HARDWARE</t>
        </is>
      </c>
      <c r="E961" s="17" t="inlineStr">
        <is>
          <t>HIGH</t>
        </is>
      </c>
      <c r="F961" s="17" t="inlineStr">
        <is>
          <t>TRUNG BÌNH</t>
        </is>
      </c>
      <c r="G961" s="18" t="inlineStr">
        <is>
          <t>RISK_HIGH · PROMO_EXTRAPOLATION</t>
        </is>
      </c>
      <c r="H961" s="19" t="n">
        <v>5.206172096729279</v>
      </c>
      <c r="I961" s="19" t="n">
        <v>36.35220294445753</v>
      </c>
      <c r="J961" s="19" t="n">
        <v>126.1587644144893</v>
      </c>
      <c r="K961" s="19" t="n">
        <v>36.35220294445753</v>
      </c>
      <c r="L961" s="19" t="n">
        <v>92.48130386322737</v>
      </c>
      <c r="M961" s="19" t="n">
        <v>126.1587644144893</v>
      </c>
      <c r="N961" s="17" t="inlineStr">
        <is>
          <t>B</t>
        </is>
      </c>
      <c r="O961" s="19" t="n">
        <v>63.39954150766134</v>
      </c>
      <c r="P961" s="18" t="inlineStr">
        <is>
          <t>KHÔNG ĐỀ XUẤT TĂNG</t>
        </is>
      </c>
      <c r="Q961" s="17" t="inlineStr">
        <is>
          <t>Có</t>
        </is>
      </c>
      <c r="R961" s="20" t="n"/>
      <c r="S961" s="20" t="n"/>
      <c r="T961" s="21" t="n"/>
      <c r="U961" s="21" t="n"/>
      <c r="V961" s="22">
        <f>IF(U961="A",K961,IF(U961="B",L961,IF(U961="C",M961,IF(N961="A",K961,IF(N961="B",L961,M961)))))</f>
        <v/>
      </c>
      <c r="W961" s="22">
        <f>IF(R961="",O961,MAX(V961-R961-N(S961),0))</f>
        <v/>
      </c>
      <c r="X961" s="20" t="n"/>
      <c r="Y961" s="23">
        <f>IF(OR(X961="",W961=0),"",X961/W961-1)</f>
        <v/>
      </c>
      <c r="Z961" s="24" t="n"/>
      <c r="AA961" s="21" t="n"/>
      <c r="AB961" s="25" t="n"/>
      <c r="AC961" s="26">
        <f>IF(T961="","Chưa quyết định",IF(OR(Z961="",AA961=""),"⚠ Thiếu lý do/người duyệt",IF(AND(X961&lt;&gt;"",N(X961)+N(R961)+N(S961)&gt;M961*1.001,R961&lt;&gt;""),"⚠ Vượt mục tiêu P90",IF(AND(Y961&lt;&gt;"",ABS(N(Y961))&gt;0.3),"⚠ Lệch &gt; 30% so với nhu cầu",IF(Q961="Có","ℹ Kiểm tra ngoại suy KM","✓ Hợp lệ")))))</f>
        <v/>
      </c>
    </row>
    <row r="962">
      <c r="A962" s="16" t="n">
        <v>958</v>
      </c>
      <c r="B962" s="17" t="inlineStr">
        <is>
          <t>DEC-S54-PLAYERS_AND_ELECTRONICS</t>
        </is>
      </c>
      <c r="C962" s="16" t="n">
        <v>54</v>
      </c>
      <c r="D962" s="17" t="inlineStr">
        <is>
          <t>PLAYERS AND ELECTRONICS</t>
        </is>
      </c>
      <c r="E962" s="17" t="inlineStr">
        <is>
          <t>HIGH</t>
        </is>
      </c>
      <c r="F962" s="17" t="inlineStr">
        <is>
          <t>TRUNG BÌNH</t>
        </is>
      </c>
      <c r="G962" s="18" t="inlineStr">
        <is>
          <t>RISK_HIGH · PROMO_EXTRAPOLATION</t>
        </is>
      </c>
      <c r="H962" s="19" t="n">
        <v>4.395507645606995</v>
      </c>
      <c r="I962" s="19" t="n">
        <v>36.28368354681879</v>
      </c>
      <c r="J962" s="19" t="n">
        <v>126.0902450168505</v>
      </c>
      <c r="K962" s="19" t="n">
        <v>36.28368354681879</v>
      </c>
      <c r="L962" s="19" t="n">
        <v>92.41278446558862</v>
      </c>
      <c r="M962" s="19" t="n">
        <v>126.0902450168505</v>
      </c>
      <c r="N962" s="17" t="inlineStr">
        <is>
          <t>B</t>
        </is>
      </c>
      <c r="O962" s="19" t="n">
        <v>63.38583762813357</v>
      </c>
      <c r="P962" s="18" t="inlineStr">
        <is>
          <t>KHÔNG ĐỀ XUẤT TĂNG</t>
        </is>
      </c>
      <c r="Q962" s="17" t="inlineStr">
        <is>
          <t>Có</t>
        </is>
      </c>
      <c r="R962" s="20" t="n"/>
      <c r="S962" s="20" t="n"/>
      <c r="T962" s="21" t="n"/>
      <c r="U962" s="21" t="n"/>
      <c r="V962" s="22">
        <f>IF(U962="A",K962,IF(U962="B",L962,IF(U962="C",M962,IF(N962="A",K962,IF(N962="B",L962,M962)))))</f>
        <v/>
      </c>
      <c r="W962" s="22">
        <f>IF(R962="",O962,MAX(V962-R962-N(S962),0))</f>
        <v/>
      </c>
      <c r="X962" s="20" t="n"/>
      <c r="Y962" s="23">
        <f>IF(OR(X962="",W962=0),"",X962/W962-1)</f>
        <v/>
      </c>
      <c r="Z962" s="24" t="n"/>
      <c r="AA962" s="21" t="n"/>
      <c r="AB962" s="25" t="n"/>
      <c r="AC962" s="26">
        <f>IF(T962="","Chưa quyết định",IF(OR(Z962="",AA962=""),"⚠ Thiếu lý do/người duyệt",IF(AND(X962&lt;&gt;"",N(X962)+N(R962)+N(S962)&gt;M962*1.001,R962&lt;&gt;""),"⚠ Vượt mục tiêu P90",IF(AND(Y962&lt;&gt;"",ABS(N(Y962))&gt;0.3),"⚠ Lệch &gt; 30% so với nhu cầu",IF(Q962="Có","ℹ Kiểm tra ngoại suy KM","✓ Hợp lệ")))))</f>
        <v/>
      </c>
    </row>
    <row r="963">
      <c r="A963" s="16" t="n">
        <v>959</v>
      </c>
      <c r="B963" s="17" t="inlineStr">
        <is>
          <t>DEC-S04-LINGERIE</t>
        </is>
      </c>
      <c r="C963" s="16" t="n">
        <v>4</v>
      </c>
      <c r="D963" s="17" t="inlineStr">
        <is>
          <t>LINGERIE</t>
        </is>
      </c>
      <c r="E963" s="17" t="inlineStr">
        <is>
          <t>HIGH</t>
        </is>
      </c>
      <c r="F963" s="17" t="inlineStr">
        <is>
          <t>TRUNG BÌNH</t>
        </is>
      </c>
      <c r="G963" s="18" t="inlineStr">
        <is>
          <t>RISK_HIGH · PROMO_EXTRAPOLATION</t>
        </is>
      </c>
      <c r="H963" s="19" t="n">
        <v>2.763593825697899</v>
      </c>
      <c r="I963" s="19" t="n">
        <v>36.25629471614957</v>
      </c>
      <c r="J963" s="19" t="n">
        <v>128.1919418700039</v>
      </c>
      <c r="K963" s="19" t="n">
        <v>36.25629471614957</v>
      </c>
      <c r="L963" s="19" t="n">
        <v>93.71607418730855</v>
      </c>
      <c r="M963" s="19" t="n">
        <v>128.1919418700039</v>
      </c>
      <c r="N963" s="17" t="inlineStr">
        <is>
          <t>B</t>
        </is>
      </c>
      <c r="O963" s="19" t="n">
        <v>64.7110384143889</v>
      </c>
      <c r="P963" s="18" t="inlineStr">
        <is>
          <t>KHÔNG ĐỀ XUẤT TĂNG</t>
        </is>
      </c>
      <c r="Q963" s="17" t="inlineStr">
        <is>
          <t>Có</t>
        </is>
      </c>
      <c r="R963" s="20" t="n"/>
      <c r="S963" s="20" t="n"/>
      <c r="T963" s="21" t="n"/>
      <c r="U963" s="21" t="n"/>
      <c r="V963" s="22">
        <f>IF(U963="A",K963,IF(U963="B",L963,IF(U963="C",M963,IF(N963="A",K963,IF(N963="B",L963,M963)))))</f>
        <v/>
      </c>
      <c r="W963" s="22">
        <f>IF(R963="",O963,MAX(V963-R963-N(S963),0))</f>
        <v/>
      </c>
      <c r="X963" s="20" t="n"/>
      <c r="Y963" s="23">
        <f>IF(OR(X963="",W963=0),"",X963/W963-1)</f>
        <v/>
      </c>
      <c r="Z963" s="24" t="n"/>
      <c r="AA963" s="21" t="n"/>
      <c r="AB963" s="25" t="n"/>
      <c r="AC963" s="26">
        <f>IF(T963="","Chưa quyết định",IF(OR(Z963="",AA963=""),"⚠ Thiếu lý do/người duyệt",IF(AND(X963&lt;&gt;"",N(X963)+N(R963)+N(S963)&gt;M963*1.001,R963&lt;&gt;""),"⚠ Vượt mục tiêu P90",IF(AND(Y963&lt;&gt;"",ABS(N(Y963))&gt;0.3),"⚠ Lệch &gt; 30% so với nhu cầu",IF(Q963="Có","ℹ Kiểm tra ngoại suy KM","✓ Hợp lệ")))))</f>
        <v/>
      </c>
    </row>
    <row r="964">
      <c r="A964" s="16" t="n">
        <v>960</v>
      </c>
      <c r="B964" s="17" t="inlineStr">
        <is>
          <t>DEC-S50-HARDWARE</t>
        </is>
      </c>
      <c r="C964" s="16" t="n">
        <v>50</v>
      </c>
      <c r="D964" s="17" t="inlineStr">
        <is>
          <t>HARDWARE</t>
        </is>
      </c>
      <c r="E964" s="17" t="inlineStr">
        <is>
          <t>HIGH</t>
        </is>
      </c>
      <c r="F964" s="17" t="inlineStr">
        <is>
          <t>TRUNG BÌNH</t>
        </is>
      </c>
      <c r="G964" s="18" t="inlineStr">
        <is>
          <t>RISK_HIGH · PROMO_EXTRAPOLATION</t>
        </is>
      </c>
      <c r="H964" s="19" t="n">
        <v>7.486072432994843</v>
      </c>
      <c r="I964" s="19" t="n">
        <v>36.07174059096724</v>
      </c>
      <c r="J964" s="19" t="n">
        <v>123.4893500441685</v>
      </c>
      <c r="K964" s="19" t="n">
        <v>36.07174059096724</v>
      </c>
      <c r="L964" s="19" t="n">
        <v>90.70774649921803</v>
      </c>
      <c r="M964" s="19" t="n">
        <v>123.4893500441685</v>
      </c>
      <c r="N964" s="17" t="inlineStr">
        <is>
          <t>B</t>
        </is>
      </c>
      <c r="O964" s="19" t="n">
        <v>61.85035402644424</v>
      </c>
      <c r="P964" s="18" t="inlineStr">
        <is>
          <t>KHÔNG ĐỀ XUẤT TĂNG</t>
        </is>
      </c>
      <c r="Q964" s="17" t="inlineStr">
        <is>
          <t>Có</t>
        </is>
      </c>
      <c r="R964" s="20" t="n"/>
      <c r="S964" s="20" t="n"/>
      <c r="T964" s="21" t="n"/>
      <c r="U964" s="21" t="n"/>
      <c r="V964" s="22">
        <f>IF(U964="A",K964,IF(U964="B",L964,IF(U964="C",M964,IF(N964="A",K964,IF(N964="B",L964,M964)))))</f>
        <v/>
      </c>
      <c r="W964" s="22">
        <f>IF(R964="",O964,MAX(V964-R964-N(S964),0))</f>
        <v/>
      </c>
      <c r="X964" s="20" t="n"/>
      <c r="Y964" s="23">
        <f>IF(OR(X964="",W964=0),"",X964/W964-1)</f>
        <v/>
      </c>
      <c r="Z964" s="24" t="n"/>
      <c r="AA964" s="21" t="n"/>
      <c r="AB964" s="25" t="n"/>
      <c r="AC964" s="26">
        <f>IF(T964="","Chưa quyết định",IF(OR(Z964="",AA964=""),"⚠ Thiếu lý do/người duyệt",IF(AND(X964&lt;&gt;"",N(X964)+N(R964)+N(S964)&gt;M964*1.001,R964&lt;&gt;""),"⚠ Vượt mục tiêu P90",IF(AND(Y964&lt;&gt;"",ABS(N(Y964))&gt;0.3),"⚠ Lệch &gt; 30% so với nhu cầu",IF(Q964="Có","ℹ Kiểm tra ngoại suy KM","✓ Hợp lệ")))))</f>
        <v/>
      </c>
    </row>
    <row r="965">
      <c r="A965" s="16" t="n">
        <v>961</v>
      </c>
      <c r="B965" s="17" t="inlineStr">
        <is>
          <t>DEC-S27-BABY_CARE</t>
        </is>
      </c>
      <c r="C965" s="16" t="n">
        <v>27</v>
      </c>
      <c r="D965" s="17" t="inlineStr">
        <is>
          <t>BABY CARE</t>
        </is>
      </c>
      <c r="E965" s="17" t="inlineStr">
        <is>
          <t>HIGH</t>
        </is>
      </c>
      <c r="F965" s="17" t="inlineStr">
        <is>
          <t>TRUNG BÌNH</t>
        </is>
      </c>
      <c r="G965" s="18" t="inlineStr">
        <is>
          <t>RISK_HIGH · PROMO_EXTRAPOLATION</t>
        </is>
      </c>
      <c r="H965" s="19" t="n">
        <v>4.135261255502701</v>
      </c>
      <c r="I965" s="19" t="n">
        <v>35.97764047980309</v>
      </c>
      <c r="J965" s="19" t="n">
        <v>127.6534213006496</v>
      </c>
      <c r="K965" s="19" t="n">
        <v>35.97764047980309</v>
      </c>
      <c r="L965" s="19" t="n">
        <v>93.27500349283218</v>
      </c>
      <c r="M965" s="19" t="n">
        <v>127.6534213006496</v>
      </c>
      <c r="N965" s="17" t="inlineStr">
        <is>
          <t>B</t>
        </is>
      </c>
      <c r="O965" s="19" t="n">
        <v>64.49289110898971</v>
      </c>
      <c r="P965" s="18" t="inlineStr">
        <is>
          <t>KHÔNG ĐỀ XUẤT TĂNG</t>
        </is>
      </c>
      <c r="Q965" s="17" t="inlineStr">
        <is>
          <t>Có</t>
        </is>
      </c>
      <c r="R965" s="20" t="n"/>
      <c r="S965" s="20" t="n"/>
      <c r="T965" s="21" t="n"/>
      <c r="U965" s="21" t="n"/>
      <c r="V965" s="22">
        <f>IF(U965="A",K965,IF(U965="B",L965,IF(U965="C",M965,IF(N965="A",K965,IF(N965="B",L965,M965)))))</f>
        <v/>
      </c>
      <c r="W965" s="22">
        <f>IF(R965="",O965,MAX(V965-R965-N(S965),0))</f>
        <v/>
      </c>
      <c r="X965" s="20" t="n"/>
      <c r="Y965" s="23">
        <f>IF(OR(X965="",W965=0),"",X965/W965-1)</f>
        <v/>
      </c>
      <c r="Z965" s="24" t="n"/>
      <c r="AA965" s="21" t="n"/>
      <c r="AB965" s="25" t="n"/>
      <c r="AC965" s="26">
        <f>IF(T965="","Chưa quyết định",IF(OR(Z965="",AA965=""),"⚠ Thiếu lý do/người duyệt",IF(AND(X965&lt;&gt;"",N(X965)+N(R965)+N(S965)&gt;M965*1.001,R965&lt;&gt;""),"⚠ Vượt mục tiêu P90",IF(AND(Y965&lt;&gt;"",ABS(N(Y965))&gt;0.3),"⚠ Lệch &gt; 30% so với nhu cầu",IF(Q965="Có","ℹ Kiểm tra ngoại suy KM","✓ Hợp lệ")))))</f>
        <v/>
      </c>
    </row>
    <row r="966">
      <c r="A966" s="16" t="n">
        <v>962</v>
      </c>
      <c r="B966" s="17" t="inlineStr">
        <is>
          <t>DEC-S20-BABY_CARE</t>
        </is>
      </c>
      <c r="C966" s="16" t="n">
        <v>20</v>
      </c>
      <c r="D966" s="17" t="inlineStr">
        <is>
          <t>BABY CARE</t>
        </is>
      </c>
      <c r="E966" s="17" t="inlineStr">
        <is>
          <t>HIGH</t>
        </is>
      </c>
      <c r="F966" s="17" t="inlineStr">
        <is>
          <t>TRUNG BÌNH</t>
        </is>
      </c>
      <c r="G966" s="18" t="inlineStr">
        <is>
          <t>RISK_HIGH · PROMO_EXTRAPOLATION</t>
        </is>
      </c>
      <c r="H966" s="19" t="n">
        <v>4.600169330835342</v>
      </c>
      <c r="I966" s="19" t="n">
        <v>35.94890686869621</v>
      </c>
      <c r="J966" s="19" t="n">
        <v>125.755468338728</v>
      </c>
      <c r="K966" s="19" t="n">
        <v>35.94890686869621</v>
      </c>
      <c r="L966" s="19" t="n">
        <v>92.07800778746605</v>
      </c>
      <c r="M966" s="19" t="n">
        <v>125.755468338728</v>
      </c>
      <c r="N966" s="17" t="inlineStr">
        <is>
          <t>B</t>
        </is>
      </c>
      <c r="O966" s="19" t="n">
        <v>63.31888229250908</v>
      </c>
      <c r="P966" s="18" t="inlineStr">
        <is>
          <t>KHÔNG ĐỀ XUẤT TĂNG</t>
        </is>
      </c>
      <c r="Q966" s="17" t="inlineStr">
        <is>
          <t>Có</t>
        </is>
      </c>
      <c r="R966" s="20" t="n"/>
      <c r="S966" s="20" t="n"/>
      <c r="T966" s="21" t="n"/>
      <c r="U966" s="21" t="n"/>
      <c r="V966" s="22">
        <f>IF(U966="A",K966,IF(U966="B",L966,IF(U966="C",M966,IF(N966="A",K966,IF(N966="B",L966,M966)))))</f>
        <v/>
      </c>
      <c r="W966" s="22">
        <f>IF(R966="",O966,MAX(V966-R966-N(S966),0))</f>
        <v/>
      </c>
      <c r="X966" s="20" t="n"/>
      <c r="Y966" s="23">
        <f>IF(OR(X966="",W966=0),"",X966/W966-1)</f>
        <v/>
      </c>
      <c r="Z966" s="24" t="n"/>
      <c r="AA966" s="21" t="n"/>
      <c r="AB966" s="25" t="n"/>
      <c r="AC966" s="26">
        <f>IF(T966="","Chưa quyết định",IF(OR(Z966="",AA966=""),"⚠ Thiếu lý do/người duyệt",IF(AND(X966&lt;&gt;"",N(X966)+N(R966)+N(S966)&gt;M966*1.001,R966&lt;&gt;""),"⚠ Vượt mục tiêu P90",IF(AND(Y966&lt;&gt;"",ABS(N(Y966))&gt;0.3),"⚠ Lệch &gt; 30% so với nhu cầu",IF(Q966="Có","ℹ Kiểm tra ngoại suy KM","✓ Hợp lệ")))))</f>
        <v/>
      </c>
    </row>
    <row r="967">
      <c r="A967" s="16" t="n">
        <v>963</v>
      </c>
      <c r="B967" s="17" t="inlineStr">
        <is>
          <t>DEC-S17-HARDWARE</t>
        </is>
      </c>
      <c r="C967" s="16" t="n">
        <v>17</v>
      </c>
      <c r="D967" s="17" t="inlineStr">
        <is>
          <t>HARDWARE</t>
        </is>
      </c>
      <c r="E967" s="17" t="inlineStr">
        <is>
          <t>HIGH</t>
        </is>
      </c>
      <c r="F967" s="17" t="inlineStr">
        <is>
          <t>TRUNG BÌNH</t>
        </is>
      </c>
      <c r="G967" s="18" t="inlineStr">
        <is>
          <t>RISK_HIGH · PROMO_EXTRAPOLATION</t>
        </is>
      </c>
      <c r="H967" s="19" t="n">
        <v>2.65856893658638</v>
      </c>
      <c r="I967" s="19" t="n">
        <v>35.89359459653497</v>
      </c>
      <c r="J967" s="19" t="n">
        <v>127.8292417503893</v>
      </c>
      <c r="K967" s="19" t="n">
        <v>35.89359459653497</v>
      </c>
      <c r="L967" s="19" t="n">
        <v>93.35337406769395</v>
      </c>
      <c r="M967" s="19" t="n">
        <v>127.8292417503893</v>
      </c>
      <c r="N967" s="17" t="inlineStr">
        <is>
          <t>B</t>
        </is>
      </c>
      <c r="O967" s="19" t="n">
        <v>64.63849839046597</v>
      </c>
      <c r="P967" s="18" t="inlineStr">
        <is>
          <t>KHÔNG ĐỀ XUẤT TĂNG</t>
        </is>
      </c>
      <c r="Q967" s="17" t="inlineStr">
        <is>
          <t>Có</t>
        </is>
      </c>
      <c r="R967" s="20" t="n"/>
      <c r="S967" s="20" t="n"/>
      <c r="T967" s="21" t="n"/>
      <c r="U967" s="21" t="n"/>
      <c r="V967" s="22">
        <f>IF(U967="A",K967,IF(U967="B",L967,IF(U967="C",M967,IF(N967="A",K967,IF(N967="B",L967,M967)))))</f>
        <v/>
      </c>
      <c r="W967" s="22">
        <f>IF(R967="",O967,MAX(V967-R967-N(S967),0))</f>
        <v/>
      </c>
      <c r="X967" s="20" t="n"/>
      <c r="Y967" s="23">
        <f>IF(OR(X967="",W967=0),"",X967/W967-1)</f>
        <v/>
      </c>
      <c r="Z967" s="24" t="n"/>
      <c r="AA967" s="21" t="n"/>
      <c r="AB967" s="25" t="n"/>
      <c r="AC967" s="26">
        <f>IF(T967="","Chưa quyết định",IF(OR(Z967="",AA967=""),"⚠ Thiếu lý do/người duyệt",IF(AND(X967&lt;&gt;"",N(X967)+N(R967)+N(S967)&gt;M967*1.001,R967&lt;&gt;""),"⚠ Vượt mục tiêu P90",IF(AND(Y967&lt;&gt;"",ABS(N(Y967))&gt;0.3),"⚠ Lệch &gt; 30% so với nhu cầu",IF(Q967="Có","ℹ Kiểm tra ngoại suy KM","✓ Hợp lệ")))))</f>
        <v/>
      </c>
    </row>
    <row r="968">
      <c r="A968" s="16" t="n">
        <v>964</v>
      </c>
      <c r="B968" s="17" t="inlineStr">
        <is>
          <t>DEC-S27-HOME_APPLIANCES</t>
        </is>
      </c>
      <c r="C968" s="16" t="n">
        <v>27</v>
      </c>
      <c r="D968" s="17" t="inlineStr">
        <is>
          <t>HOME APPLIANCES</t>
        </is>
      </c>
      <c r="E968" s="17" t="inlineStr">
        <is>
          <t>HIGH</t>
        </is>
      </c>
      <c r="F968" s="17" t="inlineStr">
        <is>
          <t>TRUNG BÌNH</t>
        </is>
      </c>
      <c r="G968" s="18" t="inlineStr">
        <is>
          <t>RISK_HIGH · PROMO_EXTRAPOLATION</t>
        </is>
      </c>
      <c r="H968" s="19" t="n">
        <v>4.608060884475709</v>
      </c>
      <c r="I968" s="19" t="n">
        <v>35.83283819258213</v>
      </c>
      <c r="J968" s="19" t="n">
        <v>125.3795333296061</v>
      </c>
      <c r="K968" s="19" t="n">
        <v>35.83283819258213</v>
      </c>
      <c r="L968" s="19" t="n">
        <v>91.79952265322208</v>
      </c>
      <c r="M968" s="19" t="n">
        <v>125.3795333296061</v>
      </c>
      <c r="N968" s="17" t="inlineStr">
        <is>
          <t>B</t>
        </is>
      </c>
      <c r="O968" s="19" t="n">
        <v>63.13325209915638</v>
      </c>
      <c r="P968" s="18" t="inlineStr">
        <is>
          <t>KHÔNG ĐỀ XUẤT TĂNG</t>
        </is>
      </c>
      <c r="Q968" s="17" t="inlineStr">
        <is>
          <t>Có</t>
        </is>
      </c>
      <c r="R968" s="20" t="n"/>
      <c r="S968" s="20" t="n"/>
      <c r="T968" s="21" t="n"/>
      <c r="U968" s="21" t="n"/>
      <c r="V968" s="22">
        <f>IF(U968="A",K968,IF(U968="B",L968,IF(U968="C",M968,IF(N968="A",K968,IF(N968="B",L968,M968)))))</f>
        <v/>
      </c>
      <c r="W968" s="22">
        <f>IF(R968="",O968,MAX(V968-R968-N(S968),0))</f>
        <v/>
      </c>
      <c r="X968" s="20" t="n"/>
      <c r="Y968" s="23">
        <f>IF(OR(X968="",W968=0),"",X968/W968-1)</f>
        <v/>
      </c>
      <c r="Z968" s="24" t="n"/>
      <c r="AA968" s="21" t="n"/>
      <c r="AB968" s="25" t="n"/>
      <c r="AC968" s="26">
        <f>IF(T968="","Chưa quyết định",IF(OR(Z968="",AA968=""),"⚠ Thiếu lý do/người duyệt",IF(AND(X968&lt;&gt;"",N(X968)+N(R968)+N(S968)&gt;M968*1.001,R968&lt;&gt;""),"⚠ Vượt mục tiêu P90",IF(AND(Y968&lt;&gt;"",ABS(N(Y968))&gt;0.3),"⚠ Lệch &gt; 30% so với nhu cầu",IF(Q968="Có","ℹ Kiểm tra ngoại suy KM","✓ Hợp lệ")))))</f>
        <v/>
      </c>
    </row>
    <row r="969">
      <c r="A969" s="16" t="n">
        <v>965</v>
      </c>
      <c r="B969" s="17" t="inlineStr">
        <is>
          <t>DEC-S07-BOOKS</t>
        </is>
      </c>
      <c r="C969" s="16" t="n">
        <v>7</v>
      </c>
      <c r="D969" s="17" t="inlineStr">
        <is>
          <t>BOOKS</t>
        </is>
      </c>
      <c r="E969" s="17" t="inlineStr">
        <is>
          <t>HIGH</t>
        </is>
      </c>
      <c r="F969" s="17" t="inlineStr">
        <is>
          <t>TRUNG BÌNH</t>
        </is>
      </c>
      <c r="G969" s="18" t="inlineStr">
        <is>
          <t>RISK_HIGH · PROMO_EXTRAPOLATION</t>
        </is>
      </c>
      <c r="H969" s="19" t="n">
        <v>6.189090216159821</v>
      </c>
      <c r="I969" s="19" t="n">
        <v>35.7786665558815</v>
      </c>
      <c r="J969" s="19" t="n">
        <v>125.3253616929054</v>
      </c>
      <c r="K969" s="19" t="n">
        <v>35.7786665558815</v>
      </c>
      <c r="L969" s="19" t="n">
        <v>91.74535101652145</v>
      </c>
      <c r="M969" s="19" t="n">
        <v>125.3253616929054</v>
      </c>
      <c r="N969" s="17" t="inlineStr">
        <is>
          <t>B</t>
        </is>
      </c>
      <c r="O969" s="19" t="n">
        <v>63.12241777181625</v>
      </c>
      <c r="P969" s="18" t="inlineStr">
        <is>
          <t>KHÔNG ĐỀ XUẤT TĂNG</t>
        </is>
      </c>
      <c r="Q969" s="17" t="inlineStr">
        <is>
          <t>Có</t>
        </is>
      </c>
      <c r="R969" s="20" t="n"/>
      <c r="S969" s="20" t="n"/>
      <c r="T969" s="21" t="n"/>
      <c r="U969" s="21" t="n"/>
      <c r="V969" s="22">
        <f>IF(U969="A",K969,IF(U969="B",L969,IF(U969="C",M969,IF(N969="A",K969,IF(N969="B",L969,M969)))))</f>
        <v/>
      </c>
      <c r="W969" s="22">
        <f>IF(R969="",O969,MAX(V969-R969-N(S969),0))</f>
        <v/>
      </c>
      <c r="X969" s="20" t="n"/>
      <c r="Y969" s="23">
        <f>IF(OR(X969="",W969=0),"",X969/W969-1)</f>
        <v/>
      </c>
      <c r="Z969" s="24" t="n"/>
      <c r="AA969" s="21" t="n"/>
      <c r="AB969" s="25" t="n"/>
      <c r="AC969" s="26">
        <f>IF(T969="","Chưa quyết định",IF(OR(Z969="",AA969=""),"⚠ Thiếu lý do/người duyệt",IF(AND(X969&lt;&gt;"",N(X969)+N(R969)+N(S969)&gt;M969*1.001,R969&lt;&gt;""),"⚠ Vượt mục tiêu P90",IF(AND(Y969&lt;&gt;"",ABS(N(Y969))&gt;0.3),"⚠ Lệch &gt; 30% so với nhu cầu",IF(Q969="Có","ℹ Kiểm tra ngoại suy KM","✓ Hợp lệ")))))</f>
        <v/>
      </c>
    </row>
    <row r="970">
      <c r="A970" s="16" t="n">
        <v>966</v>
      </c>
      <c r="B970" s="17" t="inlineStr">
        <is>
          <t>DEC-S26-BEAUTY</t>
        </is>
      </c>
      <c r="C970" s="16" t="n">
        <v>26</v>
      </c>
      <c r="D970" s="17" t="inlineStr">
        <is>
          <t>BEAUTY</t>
        </is>
      </c>
      <c r="E970" s="17" t="inlineStr">
        <is>
          <t>HIGH</t>
        </is>
      </c>
      <c r="F970" s="17" t="inlineStr">
        <is>
          <t>TRUNG BÌNH</t>
        </is>
      </c>
      <c r="G970" s="18" t="inlineStr">
        <is>
          <t>RISK_HIGH · PROMO_EXTRAPOLATION</t>
        </is>
      </c>
      <c r="H970" s="19" t="n">
        <v>14.37855283021927</v>
      </c>
      <c r="I970" s="19" t="n">
        <v>35.60413771867752</v>
      </c>
      <c r="J970" s="19" t="n">
        <v>115.0251371026039</v>
      </c>
      <c r="K970" s="19" t="n">
        <v>35.60413771867752</v>
      </c>
      <c r="L970" s="19" t="n">
        <v>85.24226233363152</v>
      </c>
      <c r="M970" s="19" t="n">
        <v>115.0251371026039</v>
      </c>
      <c r="N970" s="17" t="inlineStr">
        <is>
          <t>B</t>
        </is>
      </c>
      <c r="O970" s="19" t="n">
        <v>56.7589521586895</v>
      </c>
      <c r="P970" s="18" t="inlineStr">
        <is>
          <t>KHÔNG ĐỀ XUẤT TĂNG</t>
        </is>
      </c>
      <c r="Q970" s="17" t="inlineStr">
        <is>
          <t>Có</t>
        </is>
      </c>
      <c r="R970" s="20" t="n"/>
      <c r="S970" s="20" t="n"/>
      <c r="T970" s="21" t="n"/>
      <c r="U970" s="21" t="n"/>
      <c r="V970" s="22">
        <f>IF(U970="A",K970,IF(U970="B",L970,IF(U970="C",M970,IF(N970="A",K970,IF(N970="B",L970,M970)))))</f>
        <v/>
      </c>
      <c r="W970" s="22">
        <f>IF(R970="",O970,MAX(V970-R970-N(S970),0))</f>
        <v/>
      </c>
      <c r="X970" s="20" t="n"/>
      <c r="Y970" s="23">
        <f>IF(OR(X970="",W970=0),"",X970/W970-1)</f>
        <v/>
      </c>
      <c r="Z970" s="24" t="n"/>
      <c r="AA970" s="21" t="n"/>
      <c r="AB970" s="25" t="n"/>
      <c r="AC970" s="26">
        <f>IF(T970="","Chưa quyết định",IF(OR(Z970="",AA970=""),"⚠ Thiếu lý do/người duyệt",IF(AND(X970&lt;&gt;"",N(X970)+N(R970)+N(S970)&gt;M970*1.001,R970&lt;&gt;""),"⚠ Vượt mục tiêu P90",IF(AND(Y970&lt;&gt;"",ABS(N(Y970))&gt;0.3),"⚠ Lệch &gt; 30% so với nhu cầu",IF(Q970="Có","ℹ Kiểm tra ngoại suy KM","✓ Hợp lệ")))))</f>
        <v/>
      </c>
    </row>
    <row r="971">
      <c r="A971" s="16" t="n">
        <v>967</v>
      </c>
      <c r="B971" s="17" t="inlineStr">
        <is>
          <t>DEC-S39-HOME_APPLIANCES</t>
        </is>
      </c>
      <c r="C971" s="16" t="n">
        <v>39</v>
      </c>
      <c r="D971" s="17" t="inlineStr">
        <is>
          <t>HOME APPLIANCES</t>
        </is>
      </c>
      <c r="E971" s="17" t="inlineStr">
        <is>
          <t>HIGH</t>
        </is>
      </c>
      <c r="F971" s="17" t="inlineStr">
        <is>
          <t>TRUNG BÌNH</t>
        </is>
      </c>
      <c r="G971" s="18" t="inlineStr">
        <is>
          <t>RISK_HIGH · PROMO_EXTRAPOLATION</t>
        </is>
      </c>
      <c r="H971" s="19" t="n">
        <v>3.289241153001785</v>
      </c>
      <c r="I971" s="19" t="n">
        <v>35.56143365800381</v>
      </c>
      <c r="J971" s="19" t="n">
        <v>125.3679951280356</v>
      </c>
      <c r="K971" s="19" t="n">
        <v>35.56143365800381</v>
      </c>
      <c r="L971" s="19" t="n">
        <v>91.69053457677364</v>
      </c>
      <c r="M971" s="19" t="n">
        <v>125.3679951280356</v>
      </c>
      <c r="N971" s="17" t="inlineStr">
        <is>
          <t>B</t>
        </is>
      </c>
      <c r="O971" s="19" t="n">
        <v>63.2413876503706</v>
      </c>
      <c r="P971" s="18" t="inlineStr">
        <is>
          <t>KHÔNG ĐỀ XUẤT TĂNG</t>
        </is>
      </c>
      <c r="Q971" s="17" t="inlineStr">
        <is>
          <t>Có</t>
        </is>
      </c>
      <c r="R971" s="20" t="n"/>
      <c r="S971" s="20" t="n"/>
      <c r="T971" s="21" t="n"/>
      <c r="U971" s="21" t="n"/>
      <c r="V971" s="22">
        <f>IF(U971="A",K971,IF(U971="B",L971,IF(U971="C",M971,IF(N971="A",K971,IF(N971="B",L971,M971)))))</f>
        <v/>
      </c>
      <c r="W971" s="22">
        <f>IF(R971="",O971,MAX(V971-R971-N(S971),0))</f>
        <v/>
      </c>
      <c r="X971" s="20" t="n"/>
      <c r="Y971" s="23">
        <f>IF(OR(X971="",W971=0),"",X971/W971-1)</f>
        <v/>
      </c>
      <c r="Z971" s="24" t="n"/>
      <c r="AA971" s="21" t="n"/>
      <c r="AB971" s="25" t="n"/>
      <c r="AC971" s="26">
        <f>IF(T971="","Chưa quyết định",IF(OR(Z971="",AA971=""),"⚠ Thiếu lý do/người duyệt",IF(AND(X971&lt;&gt;"",N(X971)+N(R971)+N(S971)&gt;M971*1.001,R971&lt;&gt;""),"⚠ Vượt mục tiêu P90",IF(AND(Y971&lt;&gt;"",ABS(N(Y971))&gt;0.3),"⚠ Lệch &gt; 30% so với nhu cầu",IF(Q971="Có","ℹ Kiểm tra ngoại suy KM","✓ Hợp lệ")))))</f>
        <v/>
      </c>
    </row>
    <row r="972">
      <c r="A972" s="16" t="n">
        <v>968</v>
      </c>
      <c r="B972" s="17" t="inlineStr">
        <is>
          <t>DEC-S07-BABY_CARE</t>
        </is>
      </c>
      <c r="C972" s="16" t="n">
        <v>7</v>
      </c>
      <c r="D972" s="17" t="inlineStr">
        <is>
          <t>BABY CARE</t>
        </is>
      </c>
      <c r="E972" s="17" t="inlineStr">
        <is>
          <t>HIGH</t>
        </is>
      </c>
      <c r="F972" s="17" t="inlineStr">
        <is>
          <t>TRUNG BÌNH</t>
        </is>
      </c>
      <c r="G972" s="18" t="inlineStr">
        <is>
          <t>RISK_HIGH · PROMO_EXTRAPOLATION</t>
        </is>
      </c>
      <c r="H972" s="19" t="n">
        <v>5.586213672161103</v>
      </c>
      <c r="I972" s="19" t="n">
        <v>35.32452458143234</v>
      </c>
      <c r="J972" s="19" t="n">
        <v>124.8712197184563</v>
      </c>
      <c r="K972" s="19" t="n">
        <v>35.32452458143234</v>
      </c>
      <c r="L972" s="19" t="n">
        <v>91.2912090420723</v>
      </c>
      <c r="M972" s="19" t="n">
        <v>124.8712197184563</v>
      </c>
      <c r="N972" s="17" t="inlineStr">
        <is>
          <t>B</t>
        </is>
      </c>
      <c r="O972" s="19" t="n">
        <v>63.03158937692642</v>
      </c>
      <c r="P972" s="18" t="inlineStr">
        <is>
          <t>KHÔNG ĐỀ XUẤT TĂNG</t>
        </is>
      </c>
      <c r="Q972" s="17" t="inlineStr">
        <is>
          <t>Có</t>
        </is>
      </c>
      <c r="R972" s="20" t="n"/>
      <c r="S972" s="20" t="n"/>
      <c r="T972" s="21" t="n"/>
      <c r="U972" s="21" t="n"/>
      <c r="V972" s="22">
        <f>IF(U972="A",K972,IF(U972="B",L972,IF(U972="C",M972,IF(N972="A",K972,IF(N972="B",L972,M972)))))</f>
        <v/>
      </c>
      <c r="W972" s="22">
        <f>IF(R972="",O972,MAX(V972-R972-N(S972),0))</f>
        <v/>
      </c>
      <c r="X972" s="20" t="n"/>
      <c r="Y972" s="23">
        <f>IF(OR(X972="",W972=0),"",X972/W972-1)</f>
        <v/>
      </c>
      <c r="Z972" s="24" t="n"/>
      <c r="AA972" s="21" t="n"/>
      <c r="AB972" s="25" t="n"/>
      <c r="AC972" s="26">
        <f>IF(T972="","Chưa quyết định",IF(OR(Z972="",AA972=""),"⚠ Thiếu lý do/người duyệt",IF(AND(X972&lt;&gt;"",N(X972)+N(R972)+N(S972)&gt;M972*1.001,R972&lt;&gt;""),"⚠ Vượt mục tiêu P90",IF(AND(Y972&lt;&gt;"",ABS(N(Y972))&gt;0.3),"⚠ Lệch &gt; 30% so với nhu cầu",IF(Q972="Có","ℹ Kiểm tra ngoại suy KM","✓ Hợp lệ")))))</f>
        <v/>
      </c>
    </row>
    <row r="973">
      <c r="A973" s="16" t="n">
        <v>969</v>
      </c>
      <c r="B973" s="17" t="inlineStr">
        <is>
          <t>DEC-S20-HARDWARE</t>
        </is>
      </c>
      <c r="C973" s="16" t="n">
        <v>20</v>
      </c>
      <c r="D973" s="17" t="inlineStr">
        <is>
          <t>HARDWARE</t>
        </is>
      </c>
      <c r="E973" s="17" t="inlineStr">
        <is>
          <t>HIGH</t>
        </is>
      </c>
      <c r="F973" s="17" t="inlineStr">
        <is>
          <t>TRUNG BÌNH</t>
        </is>
      </c>
      <c r="G973" s="18" t="inlineStr">
        <is>
          <t>RISK_HIGH · PROMO_EXTRAPOLATION</t>
        </is>
      </c>
      <c r="H973" s="19" t="n">
        <v>6.0220882833004</v>
      </c>
      <c r="I973" s="19" t="n">
        <v>34.92102644592524</v>
      </c>
      <c r="J973" s="19" t="n">
        <v>122.3386358991265</v>
      </c>
      <c r="K973" s="19" t="n">
        <v>34.92102644592524</v>
      </c>
      <c r="L973" s="19" t="n">
        <v>89.55703235417603</v>
      </c>
      <c r="M973" s="19" t="n">
        <v>122.3386358991265</v>
      </c>
      <c r="N973" s="17" t="inlineStr">
        <is>
          <t>B</t>
        </is>
      </c>
      <c r="O973" s="19" t="n">
        <v>61.62021119743584</v>
      </c>
      <c r="P973" s="18" t="inlineStr">
        <is>
          <t>KHÔNG ĐỀ XUẤT TĂNG</t>
        </is>
      </c>
      <c r="Q973" s="17" t="inlineStr">
        <is>
          <t>Có</t>
        </is>
      </c>
      <c r="R973" s="20" t="n"/>
      <c r="S973" s="20" t="n"/>
      <c r="T973" s="21" t="n"/>
      <c r="U973" s="21" t="n"/>
      <c r="V973" s="22">
        <f>IF(U973="A",K973,IF(U973="B",L973,IF(U973="C",M973,IF(N973="A",K973,IF(N973="B",L973,M973)))))</f>
        <v/>
      </c>
      <c r="W973" s="22">
        <f>IF(R973="",O973,MAX(V973-R973-N(S973),0))</f>
        <v/>
      </c>
      <c r="X973" s="20" t="n"/>
      <c r="Y973" s="23">
        <f>IF(OR(X973="",W973=0),"",X973/W973-1)</f>
        <v/>
      </c>
      <c r="Z973" s="24" t="n"/>
      <c r="AA973" s="21" t="n"/>
      <c r="AB973" s="25" t="n"/>
      <c r="AC973" s="26">
        <f>IF(T973="","Chưa quyết định",IF(OR(Z973="",AA973=""),"⚠ Thiếu lý do/người duyệt",IF(AND(X973&lt;&gt;"",N(X973)+N(R973)+N(S973)&gt;M973*1.001,R973&lt;&gt;""),"⚠ Vượt mục tiêu P90",IF(AND(Y973&lt;&gt;"",ABS(N(Y973))&gt;0.3),"⚠ Lệch &gt; 30% so với nhu cầu",IF(Q973="Có","ℹ Kiểm tra ngoại suy KM","✓ Hợp lệ")))))</f>
        <v/>
      </c>
    </row>
    <row r="974">
      <c r="A974" s="16" t="n">
        <v>970</v>
      </c>
      <c r="B974" s="17" t="inlineStr">
        <is>
          <t>DEC-S09-BOOKS</t>
        </is>
      </c>
      <c r="C974" s="16" t="n">
        <v>9</v>
      </c>
      <c r="D974" s="17" t="inlineStr">
        <is>
          <t>BOOKS</t>
        </is>
      </c>
      <c r="E974" s="17" t="inlineStr">
        <is>
          <t>HIGH</t>
        </is>
      </c>
      <c r="F974" s="17" t="inlineStr">
        <is>
          <t>TRUNG BÌNH</t>
        </is>
      </c>
      <c r="G974" s="18" t="inlineStr">
        <is>
          <t>RISK_HIGH · PROMO_EXTRAPOLATION</t>
        </is>
      </c>
      <c r="H974" s="19" t="n">
        <v>6.185407811403275</v>
      </c>
      <c r="I974" s="19" t="n">
        <v>34.59303267300129</v>
      </c>
      <c r="J974" s="19" t="n">
        <v>122.0106421262026</v>
      </c>
      <c r="K974" s="19" t="n">
        <v>34.59303267300129</v>
      </c>
      <c r="L974" s="19" t="n">
        <v>89.2290385812521</v>
      </c>
      <c r="M974" s="19" t="n">
        <v>122.0106421262026</v>
      </c>
      <c r="N974" s="17" t="inlineStr">
        <is>
          <t>B</t>
        </is>
      </c>
      <c r="O974" s="19" t="n">
        <v>61.55461244285107</v>
      </c>
      <c r="P974" s="18" t="inlineStr">
        <is>
          <t>KHÔNG ĐỀ XUẤT TĂNG</t>
        </is>
      </c>
      <c r="Q974" s="17" t="inlineStr">
        <is>
          <t>Có</t>
        </is>
      </c>
      <c r="R974" s="20" t="n"/>
      <c r="S974" s="20" t="n"/>
      <c r="T974" s="21" t="n"/>
      <c r="U974" s="21" t="n"/>
      <c r="V974" s="22">
        <f>IF(U974="A",K974,IF(U974="B",L974,IF(U974="C",M974,IF(N974="A",K974,IF(N974="B",L974,M974)))))</f>
        <v/>
      </c>
      <c r="W974" s="22">
        <f>IF(R974="",O974,MAX(V974-R974-N(S974),0))</f>
        <v/>
      </c>
      <c r="X974" s="20" t="n"/>
      <c r="Y974" s="23">
        <f>IF(OR(X974="",W974=0),"",X974/W974-1)</f>
        <v/>
      </c>
      <c r="Z974" s="24" t="n"/>
      <c r="AA974" s="21" t="n"/>
      <c r="AB974" s="25" t="n"/>
      <c r="AC974" s="26">
        <f>IF(T974="","Chưa quyết định",IF(OR(Z974="",AA974=""),"⚠ Thiếu lý do/người duyệt",IF(AND(X974&lt;&gt;"",N(X974)+N(R974)+N(S974)&gt;M974*1.001,R974&lt;&gt;""),"⚠ Vượt mục tiêu P90",IF(AND(Y974&lt;&gt;"",ABS(N(Y974))&gt;0.3),"⚠ Lệch &gt; 30% so với nhu cầu",IF(Q974="Có","ℹ Kiểm tra ngoại suy KM","✓ Hợp lệ")))))</f>
        <v/>
      </c>
    </row>
    <row r="975">
      <c r="A975" s="16" t="n">
        <v>971</v>
      </c>
      <c r="B975" s="17" t="inlineStr">
        <is>
          <t>DEC-S11-BOOKS</t>
        </is>
      </c>
      <c r="C975" s="16" t="n">
        <v>11</v>
      </c>
      <c r="D975" s="17" t="inlineStr">
        <is>
          <t>BOOKS</t>
        </is>
      </c>
      <c r="E975" s="17" t="inlineStr">
        <is>
          <t>HIGH</t>
        </is>
      </c>
      <c r="F975" s="17" t="inlineStr">
        <is>
          <t>TRUNG BÌNH</t>
        </is>
      </c>
      <c r="G975" s="18" t="inlineStr">
        <is>
          <t>RISK_HIGH · PROMO_EXTRAPOLATION</t>
        </is>
      </c>
      <c r="H975" s="19" t="n">
        <v>6.185407811403275</v>
      </c>
      <c r="I975" s="19" t="n">
        <v>34.59303267300129</v>
      </c>
      <c r="J975" s="19" t="n">
        <v>122.0106421262026</v>
      </c>
      <c r="K975" s="19" t="n">
        <v>34.59303267300129</v>
      </c>
      <c r="L975" s="19" t="n">
        <v>89.2290385812521</v>
      </c>
      <c r="M975" s="19" t="n">
        <v>122.0106421262026</v>
      </c>
      <c r="N975" s="17" t="inlineStr">
        <is>
          <t>B</t>
        </is>
      </c>
      <c r="O975" s="19" t="n">
        <v>61.55461244285107</v>
      </c>
      <c r="P975" s="18" t="inlineStr">
        <is>
          <t>KHÔNG ĐỀ XUẤT TĂNG</t>
        </is>
      </c>
      <c r="Q975" s="17" t="inlineStr">
        <is>
          <t>Có</t>
        </is>
      </c>
      <c r="R975" s="20" t="n"/>
      <c r="S975" s="20" t="n"/>
      <c r="T975" s="21" t="n"/>
      <c r="U975" s="21" t="n"/>
      <c r="V975" s="22">
        <f>IF(U975="A",K975,IF(U975="B",L975,IF(U975="C",M975,IF(N975="A",K975,IF(N975="B",L975,M975)))))</f>
        <v/>
      </c>
      <c r="W975" s="22">
        <f>IF(R975="",O975,MAX(V975-R975-N(S975),0))</f>
        <v/>
      </c>
      <c r="X975" s="20" t="n"/>
      <c r="Y975" s="23">
        <f>IF(OR(X975="",W975=0),"",X975/W975-1)</f>
        <v/>
      </c>
      <c r="Z975" s="24" t="n"/>
      <c r="AA975" s="21" t="n"/>
      <c r="AB975" s="25" t="n"/>
      <c r="AC975" s="26">
        <f>IF(T975="","Chưa quyết định",IF(OR(Z975="",AA975=""),"⚠ Thiếu lý do/người duyệt",IF(AND(X975&lt;&gt;"",N(X975)+N(R975)+N(S975)&gt;M975*1.001,R975&lt;&gt;""),"⚠ Vượt mục tiêu P90",IF(AND(Y975&lt;&gt;"",ABS(N(Y975))&gt;0.3),"⚠ Lệch &gt; 30% so với nhu cầu",IF(Q975="Có","ℹ Kiểm tra ngoại suy KM","✓ Hợp lệ")))))</f>
        <v/>
      </c>
    </row>
    <row r="976">
      <c r="A976" s="16" t="n">
        <v>972</v>
      </c>
      <c r="B976" s="17" t="inlineStr">
        <is>
          <t>DEC-S39-BABY_CARE</t>
        </is>
      </c>
      <c r="C976" s="16" t="n">
        <v>39</v>
      </c>
      <c r="D976" s="17" t="inlineStr">
        <is>
          <t>BABY CARE</t>
        </is>
      </c>
      <c r="E976" s="17" t="inlineStr">
        <is>
          <t>HIGH</t>
        </is>
      </c>
      <c r="F976" s="17" t="inlineStr">
        <is>
          <t>TRUNG BÌNH</t>
        </is>
      </c>
      <c r="G976" s="18" t="inlineStr">
        <is>
          <t>RISK_HIGH · PROMO_EXTRAPOLATION</t>
        </is>
      </c>
      <c r="H976" s="19" t="n">
        <v>5.747349733114243</v>
      </c>
      <c r="I976" s="19" t="n">
        <v>34.50752259045839</v>
      </c>
      <c r="J976" s="19" t="n">
        <v>121.9251320436597</v>
      </c>
      <c r="K976" s="19" t="n">
        <v>34.50752259045839</v>
      </c>
      <c r="L976" s="19" t="n">
        <v>89.1435284987092</v>
      </c>
      <c r="M976" s="19" t="n">
        <v>121.9251320436597</v>
      </c>
      <c r="N976" s="17" t="inlineStr">
        <is>
          <t>B</t>
        </is>
      </c>
      <c r="O976" s="19" t="n">
        <v>61.53751042634248</v>
      </c>
      <c r="P976" s="18" t="inlineStr">
        <is>
          <t>KHÔNG ĐỀ XUẤT TĂNG</t>
        </is>
      </c>
      <c r="Q976" s="17" t="inlineStr">
        <is>
          <t>Có</t>
        </is>
      </c>
      <c r="R976" s="20" t="n"/>
      <c r="S976" s="20" t="n"/>
      <c r="T976" s="21" t="n"/>
      <c r="U976" s="21" t="n"/>
      <c r="V976" s="22">
        <f>IF(U976="A",K976,IF(U976="B",L976,IF(U976="C",M976,IF(N976="A",K976,IF(N976="B",L976,M976)))))</f>
        <v/>
      </c>
      <c r="W976" s="22">
        <f>IF(R976="",O976,MAX(V976-R976-N(S976),0))</f>
        <v/>
      </c>
      <c r="X976" s="20" t="n"/>
      <c r="Y976" s="23">
        <f>IF(OR(X976="",W976=0),"",X976/W976-1)</f>
        <v/>
      </c>
      <c r="Z976" s="24" t="n"/>
      <c r="AA976" s="21" t="n"/>
      <c r="AB976" s="25" t="n"/>
      <c r="AC976" s="26">
        <f>IF(T976="","Chưa quyết định",IF(OR(Z976="",AA976=""),"⚠ Thiếu lý do/người duyệt",IF(AND(X976&lt;&gt;"",N(X976)+N(R976)+N(S976)&gt;M976*1.001,R976&lt;&gt;""),"⚠ Vượt mục tiêu P90",IF(AND(Y976&lt;&gt;"",ABS(N(Y976))&gt;0.3),"⚠ Lệch &gt; 30% so với nhu cầu",IF(Q976="Có","ℹ Kiểm tra ngoại suy KM","✓ Hợp lệ")))))</f>
        <v/>
      </c>
    </row>
    <row r="977">
      <c r="A977" s="16" t="n">
        <v>973</v>
      </c>
      <c r="B977" s="17" t="inlineStr">
        <is>
          <t>DEC-S23-LAWN_AND_GARDEN</t>
        </is>
      </c>
      <c r="C977" s="16" t="n">
        <v>23</v>
      </c>
      <c r="D977" s="17" t="inlineStr">
        <is>
          <t>LAWN AND GARDEN</t>
        </is>
      </c>
      <c r="E977" s="17" t="inlineStr">
        <is>
          <t>HIGH</t>
        </is>
      </c>
      <c r="F977" s="17" t="inlineStr">
        <is>
          <t>TRUNG BÌNH</t>
        </is>
      </c>
      <c r="G977" s="18" t="inlineStr">
        <is>
          <t>RISK_HIGH · PROMO_EXTRAPOLATION</t>
        </is>
      </c>
      <c r="H977" s="19" t="n">
        <v>5.134575265645982</v>
      </c>
      <c r="I977" s="19" t="n">
        <v>34.17273343354464</v>
      </c>
      <c r="J977" s="19" t="n">
        <v>121.5903428867459</v>
      </c>
      <c r="K977" s="19" t="n">
        <v>34.17273343354464</v>
      </c>
      <c r="L977" s="19" t="n">
        <v>88.80873934179543</v>
      </c>
      <c r="M977" s="19" t="n">
        <v>121.5903428867459</v>
      </c>
      <c r="N977" s="17" t="inlineStr">
        <is>
          <t>B</t>
        </is>
      </c>
      <c r="O977" s="19" t="n">
        <v>61.47055259495972</v>
      </c>
      <c r="P977" s="18" t="inlineStr">
        <is>
          <t>KHÔNG ĐỀ XUẤT TĂNG</t>
        </is>
      </c>
      <c r="Q977" s="17" t="inlineStr">
        <is>
          <t>Có</t>
        </is>
      </c>
      <c r="R977" s="20" t="n"/>
      <c r="S977" s="20" t="n"/>
      <c r="T977" s="21" t="n"/>
      <c r="U977" s="21" t="n"/>
      <c r="V977" s="22">
        <f>IF(U977="A",K977,IF(U977="B",L977,IF(U977="C",M977,IF(N977="A",K977,IF(N977="B",L977,M977)))))</f>
        <v/>
      </c>
      <c r="W977" s="22">
        <f>IF(R977="",O977,MAX(V977-R977-N(S977),0))</f>
        <v/>
      </c>
      <c r="X977" s="20" t="n"/>
      <c r="Y977" s="23">
        <f>IF(OR(X977="",W977=0),"",X977/W977-1)</f>
        <v/>
      </c>
      <c r="Z977" s="24" t="n"/>
      <c r="AA977" s="21" t="n"/>
      <c r="AB977" s="25" t="n"/>
      <c r="AC977" s="26">
        <f>IF(T977="","Chưa quyết định",IF(OR(Z977="",AA977=""),"⚠ Thiếu lý do/người duyệt",IF(AND(X977&lt;&gt;"",N(X977)+N(R977)+N(S977)&gt;M977*1.001,R977&lt;&gt;""),"⚠ Vượt mục tiêu P90",IF(AND(Y977&lt;&gt;"",ABS(N(Y977))&gt;0.3),"⚠ Lệch &gt; 30% so với nhu cầu",IF(Q977="Có","ℹ Kiểm tra ngoại suy KM","✓ Hợp lệ")))))</f>
        <v/>
      </c>
    </row>
    <row r="978">
      <c r="A978" s="16" t="n">
        <v>974</v>
      </c>
      <c r="B978" s="17" t="inlineStr">
        <is>
          <t>DEC-S40-BABY_CARE</t>
        </is>
      </c>
      <c r="C978" s="16" t="n">
        <v>40</v>
      </c>
      <c r="D978" s="17" t="inlineStr">
        <is>
          <t>BABY CARE</t>
        </is>
      </c>
      <c r="E978" s="17" t="inlineStr">
        <is>
          <t>HIGH</t>
        </is>
      </c>
      <c r="F978" s="17" t="inlineStr">
        <is>
          <t>TRUNG BÌNH</t>
        </is>
      </c>
      <c r="G978" s="18" t="inlineStr">
        <is>
          <t>RISK_HIGH · PROMO_EXTRAPOLATION</t>
        </is>
      </c>
      <c r="H978" s="19" t="n">
        <v>4.063908699154854</v>
      </c>
      <c r="I978" s="19" t="n">
        <v>33.90144685283303</v>
      </c>
      <c r="J978" s="19" t="n">
        <v>123.448141989857</v>
      </c>
      <c r="K978" s="19" t="n">
        <v>33.90144685283303</v>
      </c>
      <c r="L978" s="19" t="n">
        <v>89.86813131347299</v>
      </c>
      <c r="M978" s="19" t="n">
        <v>123.448141989857</v>
      </c>
      <c r="N978" s="17" t="inlineStr">
        <is>
          <t>B</t>
        </is>
      </c>
      <c r="O978" s="19" t="n">
        <v>62.74697383120656</v>
      </c>
      <c r="P978" s="18" t="inlineStr">
        <is>
          <t>KHÔNG ĐỀ XUẤT TĂNG</t>
        </is>
      </c>
      <c r="Q978" s="17" t="inlineStr">
        <is>
          <t>Có</t>
        </is>
      </c>
      <c r="R978" s="20" t="n"/>
      <c r="S978" s="20" t="n"/>
      <c r="T978" s="21" t="n"/>
      <c r="U978" s="21" t="n"/>
      <c r="V978" s="22">
        <f>IF(U978="A",K978,IF(U978="B",L978,IF(U978="C",M978,IF(N978="A",K978,IF(N978="B",L978,M978)))))</f>
        <v/>
      </c>
      <c r="W978" s="22">
        <f>IF(R978="",O978,MAX(V978-R978-N(S978),0))</f>
        <v/>
      </c>
      <c r="X978" s="20" t="n"/>
      <c r="Y978" s="23">
        <f>IF(OR(X978="",W978=0),"",X978/W978-1)</f>
        <v/>
      </c>
      <c r="Z978" s="24" t="n"/>
      <c r="AA978" s="21" t="n"/>
      <c r="AB978" s="25" t="n"/>
      <c r="AC978" s="26">
        <f>IF(T978="","Chưa quyết định",IF(OR(Z978="",AA978=""),"⚠ Thiếu lý do/người duyệt",IF(AND(X978&lt;&gt;"",N(X978)+N(R978)+N(S978)&gt;M978*1.001,R978&lt;&gt;""),"⚠ Vượt mục tiêu P90",IF(AND(Y978&lt;&gt;"",ABS(N(Y978))&gt;0.3),"⚠ Lệch &gt; 30% so với nhu cầu",IF(Q978="Có","ℹ Kiểm tra ngoại suy KM","✓ Hợp lệ")))))</f>
        <v/>
      </c>
    </row>
    <row r="979">
      <c r="A979" s="16" t="n">
        <v>975</v>
      </c>
      <c r="B979" s="17" t="inlineStr">
        <is>
          <t>DEC-S43-BABY_CARE</t>
        </is>
      </c>
      <c r="C979" s="16" t="n">
        <v>43</v>
      </c>
      <c r="D979" s="17" t="inlineStr">
        <is>
          <t>BABY CARE</t>
        </is>
      </c>
      <c r="E979" s="17" t="inlineStr">
        <is>
          <t>HIGH</t>
        </is>
      </c>
      <c r="F979" s="17" t="inlineStr">
        <is>
          <t>TRUNG BÌNH</t>
        </is>
      </c>
      <c r="G979" s="18" t="inlineStr">
        <is>
          <t>RISK_HIGH · PROMO_EXTRAPOLATION</t>
        </is>
      </c>
      <c r="H979" s="19" t="n">
        <v>5.594865798950195</v>
      </c>
      <c r="I979" s="19" t="n">
        <v>33.71205192804337</v>
      </c>
      <c r="J979" s="19" t="n">
        <v>121.1296613812447</v>
      </c>
      <c r="K979" s="19" t="n">
        <v>33.71205192804337</v>
      </c>
      <c r="L979" s="19" t="n">
        <v>88.34805783629417</v>
      </c>
      <c r="M979" s="19" t="n">
        <v>121.1296613812447</v>
      </c>
      <c r="N979" s="17" t="inlineStr">
        <is>
          <t>B</t>
        </is>
      </c>
      <c r="O979" s="19" t="n">
        <v>61.37841629385949</v>
      </c>
      <c r="P979" s="18" t="inlineStr">
        <is>
          <t>KHÔNG ĐỀ XUẤT TĂNG</t>
        </is>
      </c>
      <c r="Q979" s="17" t="inlineStr">
        <is>
          <t>Có</t>
        </is>
      </c>
      <c r="R979" s="20" t="n"/>
      <c r="S979" s="20" t="n"/>
      <c r="T979" s="21" t="n"/>
      <c r="U979" s="21" t="n"/>
      <c r="V979" s="22">
        <f>IF(U979="A",K979,IF(U979="B",L979,IF(U979="C",M979,IF(N979="A",K979,IF(N979="B",L979,M979)))))</f>
        <v/>
      </c>
      <c r="W979" s="22">
        <f>IF(R979="",O979,MAX(V979-R979-N(S979),0))</f>
        <v/>
      </c>
      <c r="X979" s="20" t="n"/>
      <c r="Y979" s="23">
        <f>IF(OR(X979="",W979=0),"",X979/W979-1)</f>
        <v/>
      </c>
      <c r="Z979" s="24" t="n"/>
      <c r="AA979" s="21" t="n"/>
      <c r="AB979" s="25" t="n"/>
      <c r="AC979" s="26">
        <f>IF(T979="","Chưa quyết định",IF(OR(Z979="",AA979=""),"⚠ Thiếu lý do/người duyệt",IF(AND(X979&lt;&gt;"",N(X979)+N(R979)+N(S979)&gt;M979*1.001,R979&lt;&gt;""),"⚠ Vượt mục tiêu P90",IF(AND(Y979&lt;&gt;"",ABS(N(Y979))&gt;0.3),"⚠ Lệch &gt; 30% so với nhu cầu",IF(Q979="Có","ℹ Kiểm tra ngoại suy KM","✓ Hợp lệ")))))</f>
        <v/>
      </c>
    </row>
    <row r="980">
      <c r="A980" s="16" t="n">
        <v>976</v>
      </c>
      <c r="B980" s="17" t="inlineStr">
        <is>
          <t>DEC-S21-MAGAZINES</t>
        </is>
      </c>
      <c r="C980" s="16" t="n">
        <v>21</v>
      </c>
      <c r="D980" s="17" t="inlineStr">
        <is>
          <t>MAGAZINES</t>
        </is>
      </c>
      <c r="E980" s="17" t="inlineStr">
        <is>
          <t>HIGH</t>
        </is>
      </c>
      <c r="F980" s="17" t="inlineStr">
        <is>
          <t>TRUNG BÌNH</t>
        </is>
      </c>
      <c r="G980" s="18" t="inlineStr">
        <is>
          <t>RISK_HIGH · PROMO_EXTRAPOLATION</t>
        </is>
      </c>
      <c r="H980" s="19" t="n">
        <v>4.114515945315361</v>
      </c>
      <c r="I980" s="19" t="n">
        <v>33.57204451039433</v>
      </c>
      <c r="J980" s="19" t="n">
        <v>121.2495202966034</v>
      </c>
      <c r="K980" s="19" t="n">
        <v>33.57204451039433</v>
      </c>
      <c r="L980" s="19" t="n">
        <v>88.37046687677503</v>
      </c>
      <c r="M980" s="19" t="n">
        <v>121.2495202966034</v>
      </c>
      <c r="N980" s="17" t="inlineStr">
        <is>
          <t>B</t>
        </is>
      </c>
      <c r="O980" s="19" t="n">
        <v>61.51283126845956</v>
      </c>
      <c r="P980" s="18" t="inlineStr">
        <is>
          <t>KHÔNG ĐỀ XUẤT TĂNG</t>
        </is>
      </c>
      <c r="Q980" s="17" t="inlineStr">
        <is>
          <t>Có</t>
        </is>
      </c>
      <c r="R980" s="20" t="n"/>
      <c r="S980" s="20" t="n"/>
      <c r="T980" s="21" t="n"/>
      <c r="U980" s="21" t="n"/>
      <c r="V980" s="22">
        <f>IF(U980="A",K980,IF(U980="B",L980,IF(U980="C",M980,IF(N980="A",K980,IF(N980="B",L980,M980)))))</f>
        <v/>
      </c>
      <c r="W980" s="22">
        <f>IF(R980="",O980,MAX(V980-R980-N(S980),0))</f>
        <v/>
      </c>
      <c r="X980" s="20" t="n"/>
      <c r="Y980" s="23">
        <f>IF(OR(X980="",W980=0),"",X980/W980-1)</f>
        <v/>
      </c>
      <c r="Z980" s="24" t="n"/>
      <c r="AA980" s="21" t="n"/>
      <c r="AB980" s="25" t="n"/>
      <c r="AC980" s="26">
        <f>IF(T980="","Chưa quyết định",IF(OR(Z980="",AA980=""),"⚠ Thiếu lý do/người duyệt",IF(AND(X980&lt;&gt;"",N(X980)+N(R980)+N(S980)&gt;M980*1.001,R980&lt;&gt;""),"⚠ Vượt mục tiêu P90",IF(AND(Y980&lt;&gt;"",ABS(N(Y980))&gt;0.3),"⚠ Lệch &gt; 30% so với nhu cầu",IF(Q980="Có","ℹ Kiểm tra ngoại suy KM","✓ Hợp lệ")))))</f>
        <v/>
      </c>
    </row>
    <row r="981">
      <c r="A981" s="16" t="n">
        <v>977</v>
      </c>
      <c r="B981" s="17" t="inlineStr">
        <is>
          <t>DEC-S43-BOOKS</t>
        </is>
      </c>
      <c r="C981" s="16" t="n">
        <v>43</v>
      </c>
      <c r="D981" s="17" t="inlineStr">
        <is>
          <t>BOOKS</t>
        </is>
      </c>
      <c r="E981" s="17" t="inlineStr">
        <is>
          <t>HIGH</t>
        </is>
      </c>
      <c r="F981" s="17" t="inlineStr">
        <is>
          <t>TRUNG BÌNH</t>
        </is>
      </c>
      <c r="G981" s="18" t="inlineStr">
        <is>
          <t>RISK_HIGH · PROMO_EXTRAPOLATION</t>
        </is>
      </c>
      <c r="H981" s="19" t="n">
        <v>5.446012735366821</v>
      </c>
      <c r="I981" s="19" t="n">
        <v>33.50236850976944</v>
      </c>
      <c r="J981" s="19" t="n">
        <v>120.9199779629707</v>
      </c>
      <c r="K981" s="19" t="n">
        <v>33.50236850976944</v>
      </c>
      <c r="L981" s="19" t="n">
        <v>88.13837441802023</v>
      </c>
      <c r="M981" s="19" t="n">
        <v>120.9199779629707</v>
      </c>
      <c r="N981" s="17" t="inlineStr">
        <is>
          <t>B</t>
        </is>
      </c>
      <c r="O981" s="19" t="n">
        <v>61.33647961020468</v>
      </c>
      <c r="P981" s="18" t="inlineStr">
        <is>
          <t>KHÔNG ĐỀ XUẤT TĂNG</t>
        </is>
      </c>
      <c r="Q981" s="17" t="inlineStr">
        <is>
          <t>Có</t>
        </is>
      </c>
      <c r="R981" s="20" t="n"/>
      <c r="S981" s="20" t="n"/>
      <c r="T981" s="21" t="n"/>
      <c r="U981" s="21" t="n"/>
      <c r="V981" s="22">
        <f>IF(U981="A",K981,IF(U981="B",L981,IF(U981="C",M981,IF(N981="A",K981,IF(N981="B",L981,M981)))))</f>
        <v/>
      </c>
      <c r="W981" s="22">
        <f>IF(R981="",O981,MAX(V981-R981-N(S981),0))</f>
        <v/>
      </c>
      <c r="X981" s="20" t="n"/>
      <c r="Y981" s="23">
        <f>IF(OR(X981="",W981=0),"",X981/W981-1)</f>
        <v/>
      </c>
      <c r="Z981" s="24" t="n"/>
      <c r="AA981" s="21" t="n"/>
      <c r="AB981" s="25" t="n"/>
      <c r="AC981" s="26">
        <f>IF(T981="","Chưa quyết định",IF(OR(Z981="",AA981=""),"⚠ Thiếu lý do/người duyệt",IF(AND(X981&lt;&gt;"",N(X981)+N(R981)+N(S981)&gt;M981*1.001,R981&lt;&gt;""),"⚠ Vượt mục tiêu P90",IF(AND(Y981&lt;&gt;"",ABS(N(Y981))&gt;0.3),"⚠ Lệch &gt; 30% so với nhu cầu",IF(Q981="Có","ℹ Kiểm tra ngoại suy KM","✓ Hợp lệ")))))</f>
        <v/>
      </c>
    </row>
    <row r="982">
      <c r="A982" s="16" t="n">
        <v>978</v>
      </c>
      <c r="B982" s="17" t="inlineStr">
        <is>
          <t>DEC-S14-PET_SUPPLIES</t>
        </is>
      </c>
      <c r="C982" s="16" t="n">
        <v>14</v>
      </c>
      <c r="D982" s="17" t="inlineStr">
        <is>
          <t>PET SUPPLIES</t>
        </is>
      </c>
      <c r="E982" s="17" t="inlineStr">
        <is>
          <t>HIGH</t>
        </is>
      </c>
      <c r="F982" s="17" t="inlineStr">
        <is>
          <t>TRUNG BÌNH</t>
        </is>
      </c>
      <c r="G982" s="18" t="inlineStr">
        <is>
          <t>RISK_HIGH · PROMO_EXTRAPOLATION</t>
        </is>
      </c>
      <c r="H982" s="19" t="n">
        <v>3.286126410961151</v>
      </c>
      <c r="I982" s="19" t="n">
        <v>33.38290710747242</v>
      </c>
      <c r="J982" s="19" t="n">
        <v>123.1894685775042</v>
      </c>
      <c r="K982" s="19" t="n">
        <v>33.38290710747242</v>
      </c>
      <c r="L982" s="19" t="n">
        <v>89.51200802624226</v>
      </c>
      <c r="M982" s="19" t="n">
        <v>123.1894685775042</v>
      </c>
      <c r="N982" s="17" t="inlineStr">
        <is>
          <t>B</t>
        </is>
      </c>
      <c r="O982" s="19" t="n">
        <v>62.80568234026432</v>
      </c>
      <c r="P982" s="18" t="inlineStr">
        <is>
          <t>KHÔNG ĐỀ XUẤT TĂNG</t>
        </is>
      </c>
      <c r="Q982" s="17" t="inlineStr">
        <is>
          <t>Có</t>
        </is>
      </c>
      <c r="R982" s="20" t="n"/>
      <c r="S982" s="20" t="n"/>
      <c r="T982" s="21" t="n"/>
      <c r="U982" s="21" t="n"/>
      <c r="V982" s="22">
        <f>IF(U982="A",K982,IF(U982="B",L982,IF(U982="C",M982,IF(N982="A",K982,IF(N982="B",L982,M982)))))</f>
        <v/>
      </c>
      <c r="W982" s="22">
        <f>IF(R982="",O982,MAX(V982-R982-N(S982),0))</f>
        <v/>
      </c>
      <c r="X982" s="20" t="n"/>
      <c r="Y982" s="23">
        <f>IF(OR(X982="",W982=0),"",X982/W982-1)</f>
        <v/>
      </c>
      <c r="Z982" s="24" t="n"/>
      <c r="AA982" s="21" t="n"/>
      <c r="AB982" s="25" t="n"/>
      <c r="AC982" s="26">
        <f>IF(T982="","Chưa quyết định",IF(OR(Z982="",AA982=""),"⚠ Thiếu lý do/người duyệt",IF(AND(X982&lt;&gt;"",N(X982)+N(R982)+N(S982)&gt;M982*1.001,R982&lt;&gt;""),"⚠ Vượt mục tiêu P90",IF(AND(Y982&lt;&gt;"",ABS(N(Y982))&gt;0.3),"⚠ Lệch &gt; 30% so với nhu cầu",IF(Q982="Có","ℹ Kiểm tra ngoại suy KM","✓ Hợp lệ")))))</f>
        <v/>
      </c>
    </row>
    <row r="983">
      <c r="A983" s="16" t="n">
        <v>979</v>
      </c>
      <c r="B983" s="17" t="inlineStr">
        <is>
          <t>DEC-S17-BABY_CARE</t>
        </is>
      </c>
      <c r="C983" s="16" t="n">
        <v>17</v>
      </c>
      <c r="D983" s="17" t="inlineStr">
        <is>
          <t>BABY CARE</t>
        </is>
      </c>
      <c r="E983" s="17" t="inlineStr">
        <is>
          <t>HIGH</t>
        </is>
      </c>
      <c r="F983" s="17" t="inlineStr">
        <is>
          <t>TRUNG BÌNH</t>
        </is>
      </c>
      <c r="G983" s="18" t="inlineStr">
        <is>
          <t>RISK_HIGH · PROMO_EXTRAPOLATION</t>
        </is>
      </c>
      <c r="H983" s="19" t="n">
        <v>2.848201197385788</v>
      </c>
      <c r="I983" s="19" t="n">
        <v>33.09574645757675</v>
      </c>
      <c r="J983" s="19" t="n">
        <v>122.6424415946007</v>
      </c>
      <c r="K983" s="19" t="n">
        <v>33.09574645757675</v>
      </c>
      <c r="L983" s="19" t="n">
        <v>89.06243091821671</v>
      </c>
      <c r="M983" s="19" t="n">
        <v>122.6424415946007</v>
      </c>
      <c r="N983" s="17" t="inlineStr">
        <is>
          <t>B</t>
        </is>
      </c>
      <c r="O983" s="19" t="n">
        <v>62.5858337521553</v>
      </c>
      <c r="P983" s="18" t="inlineStr">
        <is>
          <t>KHÔNG ĐỀ XUẤT TĂNG</t>
        </is>
      </c>
      <c r="Q983" s="17" t="inlineStr">
        <is>
          <t>Có</t>
        </is>
      </c>
      <c r="R983" s="20" t="n"/>
      <c r="S983" s="20" t="n"/>
      <c r="T983" s="21" t="n"/>
      <c r="U983" s="21" t="n"/>
      <c r="V983" s="22">
        <f>IF(U983="A",K983,IF(U983="B",L983,IF(U983="C",M983,IF(N983="A",K983,IF(N983="B",L983,M983)))))</f>
        <v/>
      </c>
      <c r="W983" s="22">
        <f>IF(R983="",O983,MAX(V983-R983-N(S983),0))</f>
        <v/>
      </c>
      <c r="X983" s="20" t="n"/>
      <c r="Y983" s="23">
        <f>IF(OR(X983="",W983=0),"",X983/W983-1)</f>
        <v/>
      </c>
      <c r="Z983" s="24" t="n"/>
      <c r="AA983" s="21" t="n"/>
      <c r="AB983" s="25" t="n"/>
      <c r="AC983" s="26">
        <f>IF(T983="","Chưa quyết định",IF(OR(Z983="",AA983=""),"⚠ Thiếu lý do/người duyệt",IF(AND(X983&lt;&gt;"",N(X983)+N(R983)+N(S983)&gt;M983*1.001,R983&lt;&gt;""),"⚠ Vượt mục tiêu P90",IF(AND(Y983&lt;&gt;"",ABS(N(Y983))&gt;0.3),"⚠ Lệch &gt; 30% so với nhu cầu",IF(Q983="Có","ℹ Kiểm tra ngoại suy KM","✓ Hợp lệ")))))</f>
        <v/>
      </c>
    </row>
    <row r="984">
      <c r="A984" s="16" t="n">
        <v>980</v>
      </c>
      <c r="B984" s="17" t="inlineStr">
        <is>
          <t>DEC-S15-CELEBRATION</t>
        </is>
      </c>
      <c r="C984" s="16" t="n">
        <v>15</v>
      </c>
      <c r="D984" s="17" t="inlineStr">
        <is>
          <t>CELEBRATION</t>
        </is>
      </c>
      <c r="E984" s="17" t="inlineStr">
        <is>
          <t>HIGH</t>
        </is>
      </c>
      <c r="F984" s="17" t="inlineStr">
        <is>
          <t>TRUNG BÌNH</t>
        </is>
      </c>
      <c r="G984" s="18" t="inlineStr">
        <is>
          <t>RISK_HIGH · PROMO_EXTRAPOLATION</t>
        </is>
      </c>
      <c r="H984" s="19" t="n">
        <v>4.60265463590622</v>
      </c>
      <c r="I984" s="19" t="n">
        <v>33.03500640392303</v>
      </c>
      <c r="J984" s="19" t="n">
        <v>120.7124821901321</v>
      </c>
      <c r="K984" s="19" t="n">
        <v>33.03500640392303</v>
      </c>
      <c r="L984" s="19" t="n">
        <v>87.83342877030373</v>
      </c>
      <c r="M984" s="19" t="n">
        <v>120.7124821901321</v>
      </c>
      <c r="N984" s="17" t="inlineStr">
        <is>
          <t>B</t>
        </is>
      </c>
      <c r="O984" s="19" t="n">
        <v>61.40542364716529</v>
      </c>
      <c r="P984" s="18" t="inlineStr">
        <is>
          <t>KHÔNG ĐỀ XUẤT TĂNG</t>
        </is>
      </c>
      <c r="Q984" s="17" t="inlineStr">
        <is>
          <t>Có</t>
        </is>
      </c>
      <c r="R984" s="20" t="n"/>
      <c r="S984" s="20" t="n"/>
      <c r="T984" s="21" t="n"/>
      <c r="U984" s="21" t="n"/>
      <c r="V984" s="22">
        <f>IF(U984="A",K984,IF(U984="B",L984,IF(U984="C",M984,IF(N984="A",K984,IF(N984="B",L984,M984)))))</f>
        <v/>
      </c>
      <c r="W984" s="22">
        <f>IF(R984="",O984,MAX(V984-R984-N(S984),0))</f>
        <v/>
      </c>
      <c r="X984" s="20" t="n"/>
      <c r="Y984" s="23">
        <f>IF(OR(X984="",W984=0),"",X984/W984-1)</f>
        <v/>
      </c>
      <c r="Z984" s="24" t="n"/>
      <c r="AA984" s="21" t="n"/>
      <c r="AB984" s="25" t="n"/>
      <c r="AC984" s="26">
        <f>IF(T984="","Chưa quyết định",IF(OR(Z984="",AA984=""),"⚠ Thiếu lý do/người duyệt",IF(AND(X984&lt;&gt;"",N(X984)+N(R984)+N(S984)&gt;M984*1.001,R984&lt;&gt;""),"⚠ Vượt mục tiêu P90",IF(AND(Y984&lt;&gt;"",ABS(N(Y984))&gt;0.3),"⚠ Lệch &gt; 30% so với nhu cầu",IF(Q984="Có","ℹ Kiểm tra ngoại suy KM","✓ Hợp lệ")))))</f>
        <v/>
      </c>
    </row>
    <row r="985">
      <c r="A985" s="16" t="n">
        <v>981</v>
      </c>
      <c r="B985" s="17" t="inlineStr">
        <is>
          <t>DEC-S51-HARDWARE</t>
        </is>
      </c>
      <c r="C985" s="16" t="n">
        <v>51</v>
      </c>
      <c r="D985" s="17" t="inlineStr">
        <is>
          <t>HARDWARE</t>
        </is>
      </c>
      <c r="E985" s="17" t="inlineStr">
        <is>
          <t>HIGH</t>
        </is>
      </c>
      <c r="F985" s="17" t="inlineStr">
        <is>
          <t>TRUNG BÌNH</t>
        </is>
      </c>
      <c r="G985" s="18" t="inlineStr">
        <is>
          <t>RISK_HIGH · PROMO_EXTRAPOLATION</t>
        </is>
      </c>
      <c r="H985" s="19" t="n">
        <v>3.607932323217392</v>
      </c>
      <c r="I985" s="19" t="n">
        <v>32.8299373537302</v>
      </c>
      <c r="J985" s="19" t="n">
        <v>120.5074131399393</v>
      </c>
      <c r="K985" s="19" t="n">
        <v>32.8299373537302</v>
      </c>
      <c r="L985" s="19" t="n">
        <v>87.62835972011089</v>
      </c>
      <c r="M985" s="19" t="n">
        <v>120.5074131399393</v>
      </c>
      <c r="N985" s="17" t="inlineStr">
        <is>
          <t>B</t>
        </is>
      </c>
      <c r="O985" s="19" t="n">
        <v>61.36440983712673</v>
      </c>
      <c r="P985" s="18" t="inlineStr">
        <is>
          <t>KHÔNG ĐỀ XUẤT TĂNG</t>
        </is>
      </c>
      <c r="Q985" s="17" t="inlineStr">
        <is>
          <t>Có</t>
        </is>
      </c>
      <c r="R985" s="20" t="n"/>
      <c r="S985" s="20" t="n"/>
      <c r="T985" s="21" t="n"/>
      <c r="U985" s="21" t="n"/>
      <c r="V985" s="22">
        <f>IF(U985="A",K985,IF(U985="B",L985,IF(U985="C",M985,IF(N985="A",K985,IF(N985="B",L985,M985)))))</f>
        <v/>
      </c>
      <c r="W985" s="22">
        <f>IF(R985="",O985,MAX(V985-R985-N(S985),0))</f>
        <v/>
      </c>
      <c r="X985" s="20" t="n"/>
      <c r="Y985" s="23">
        <f>IF(OR(X985="",W985=0),"",X985/W985-1)</f>
        <v/>
      </c>
      <c r="Z985" s="24" t="n"/>
      <c r="AA985" s="21" t="n"/>
      <c r="AB985" s="25" t="n"/>
      <c r="AC985" s="26">
        <f>IF(T985="","Chưa quyết định",IF(OR(Z985="",AA985=""),"⚠ Thiếu lý do/người duyệt",IF(AND(X985&lt;&gt;"",N(X985)+N(R985)+N(S985)&gt;M985*1.001,R985&lt;&gt;""),"⚠ Vượt mục tiêu P90",IF(AND(Y985&lt;&gt;"",ABS(N(Y985))&gt;0.3),"⚠ Lệch &gt; 30% so với nhu cầu",IF(Q985="Có","ℹ Kiểm tra ngoại suy KM","✓ Hợp lệ")))))</f>
        <v/>
      </c>
    </row>
    <row r="986">
      <c r="A986" s="16" t="n">
        <v>982</v>
      </c>
      <c r="B986" s="17" t="inlineStr">
        <is>
          <t>DEC-S31-BABY_CARE</t>
        </is>
      </c>
      <c r="C986" s="16" t="n">
        <v>31</v>
      </c>
      <c r="D986" s="17" t="inlineStr">
        <is>
          <t>BABY CARE</t>
        </is>
      </c>
      <c r="E986" s="17" t="inlineStr">
        <is>
          <t>HIGH</t>
        </is>
      </c>
      <c r="F986" s="17" t="inlineStr">
        <is>
          <t>TRUNG BÌNH</t>
        </is>
      </c>
      <c r="G986" s="18" t="inlineStr">
        <is>
          <t>RISK_HIGH · PROMO_EXTRAPOLATION</t>
        </is>
      </c>
      <c r="H986" s="19" t="n">
        <v>3.301949301362038</v>
      </c>
      <c r="I986" s="19" t="n">
        <v>32.81074661388993</v>
      </c>
      <c r="J986" s="19" t="n">
        <v>120.488222400099</v>
      </c>
      <c r="K986" s="19" t="n">
        <v>32.81074661388993</v>
      </c>
      <c r="L986" s="19" t="n">
        <v>87.60916898027062</v>
      </c>
      <c r="M986" s="19" t="n">
        <v>120.488222400099</v>
      </c>
      <c r="N986" s="17" t="inlineStr">
        <is>
          <t>B</t>
        </is>
      </c>
      <c r="O986" s="19" t="n">
        <v>61.36057168915868</v>
      </c>
      <c r="P986" s="18" t="inlineStr">
        <is>
          <t>KHÔNG ĐỀ XUẤT TĂNG</t>
        </is>
      </c>
      <c r="Q986" s="17" t="inlineStr">
        <is>
          <t>Có</t>
        </is>
      </c>
      <c r="R986" s="20" t="n"/>
      <c r="S986" s="20" t="n"/>
      <c r="T986" s="21" t="n"/>
      <c r="U986" s="21" t="n"/>
      <c r="V986" s="22">
        <f>IF(U986="A",K986,IF(U986="B",L986,IF(U986="C",M986,IF(N986="A",K986,IF(N986="B",L986,M986)))))</f>
        <v/>
      </c>
      <c r="W986" s="22">
        <f>IF(R986="",O986,MAX(V986-R986-N(S986),0))</f>
        <v/>
      </c>
      <c r="X986" s="20" t="n"/>
      <c r="Y986" s="23">
        <f>IF(OR(X986="",W986=0),"",X986/W986-1)</f>
        <v/>
      </c>
      <c r="Z986" s="24" t="n"/>
      <c r="AA986" s="21" t="n"/>
      <c r="AB986" s="25" t="n"/>
      <c r="AC986" s="26">
        <f>IF(T986="","Chưa quyết định",IF(OR(Z986="",AA986=""),"⚠ Thiếu lý do/người duyệt",IF(AND(X986&lt;&gt;"",N(X986)+N(R986)+N(S986)&gt;M986*1.001,R986&lt;&gt;""),"⚠ Vượt mục tiêu P90",IF(AND(Y986&lt;&gt;"",ABS(N(Y986))&gt;0.3),"⚠ Lệch &gt; 30% so với nhu cầu",IF(Q986="Có","ℹ Kiểm tra ngoại suy KM","✓ Hợp lệ")))))</f>
        <v/>
      </c>
    </row>
    <row r="987">
      <c r="A987" s="16" t="n">
        <v>983</v>
      </c>
      <c r="B987" s="17" t="inlineStr">
        <is>
          <t>DEC-S41-HARDWARE</t>
        </is>
      </c>
      <c r="C987" s="16" t="n">
        <v>41</v>
      </c>
      <c r="D987" s="17" t="inlineStr">
        <is>
          <t>HARDWARE</t>
        </is>
      </c>
      <c r="E987" s="17" t="inlineStr">
        <is>
          <t>HIGH</t>
        </is>
      </c>
      <c r="F987" s="17" t="inlineStr">
        <is>
          <t>TRUNG BÌNH</t>
        </is>
      </c>
      <c r="G987" s="18" t="inlineStr">
        <is>
          <t>RISK_HIGH · PROMO_EXTRAPOLATION</t>
        </is>
      </c>
      <c r="H987" s="19" t="n">
        <v>4.84412648677826</v>
      </c>
      <c r="I987" s="19" t="n">
        <v>32.70922137796879</v>
      </c>
      <c r="J987" s="19" t="n">
        <v>120.1268308311701</v>
      </c>
      <c r="K987" s="19" t="n">
        <v>32.70922137796879</v>
      </c>
      <c r="L987" s="19" t="n">
        <v>87.3452272862196</v>
      </c>
      <c r="M987" s="19" t="n">
        <v>120.1268308311701</v>
      </c>
      <c r="N987" s="17" t="inlineStr">
        <is>
          <t>B</t>
        </is>
      </c>
      <c r="O987" s="19" t="n">
        <v>61.17785018384457</v>
      </c>
      <c r="P987" s="18" t="inlineStr">
        <is>
          <t>KHÔNG ĐỀ XUẤT TĂNG</t>
        </is>
      </c>
      <c r="Q987" s="17" t="inlineStr">
        <is>
          <t>Có</t>
        </is>
      </c>
      <c r="R987" s="20" t="n"/>
      <c r="S987" s="20" t="n"/>
      <c r="T987" s="21" t="n"/>
      <c r="U987" s="21" t="n"/>
      <c r="V987" s="22">
        <f>IF(U987="A",K987,IF(U987="B",L987,IF(U987="C",M987,IF(N987="A",K987,IF(N987="B",L987,M987)))))</f>
        <v/>
      </c>
      <c r="W987" s="22">
        <f>IF(R987="",O987,MAX(V987-R987-N(S987),0))</f>
        <v/>
      </c>
      <c r="X987" s="20" t="n"/>
      <c r="Y987" s="23">
        <f>IF(OR(X987="",W987=0),"",X987/W987-1)</f>
        <v/>
      </c>
      <c r="Z987" s="24" t="n"/>
      <c r="AA987" s="21" t="n"/>
      <c r="AB987" s="25" t="n"/>
      <c r="AC987" s="26">
        <f>IF(T987="","Chưa quyết định",IF(OR(Z987="",AA987=""),"⚠ Thiếu lý do/người duyệt",IF(AND(X987&lt;&gt;"",N(X987)+N(R987)+N(S987)&gt;M987*1.001,R987&lt;&gt;""),"⚠ Vượt mục tiêu P90",IF(AND(Y987&lt;&gt;"",ABS(N(Y987))&gt;0.3),"⚠ Lệch &gt; 30% so với nhu cầu",IF(Q987="Có","ℹ Kiểm tra ngoại suy KM","✓ Hợp lệ")))))</f>
        <v/>
      </c>
    </row>
    <row r="988">
      <c r="A988" s="16" t="n">
        <v>984</v>
      </c>
      <c r="B988" s="17" t="inlineStr">
        <is>
          <t>DEC-S38-BABY_CARE</t>
        </is>
      </c>
      <c r="C988" s="16" t="n">
        <v>38</v>
      </c>
      <c r="D988" s="17" t="inlineStr">
        <is>
          <t>BABY CARE</t>
        </is>
      </c>
      <c r="E988" s="17" t="inlineStr">
        <is>
          <t>HIGH</t>
        </is>
      </c>
      <c r="F988" s="17" t="inlineStr">
        <is>
          <t>TRUNG BÌNH</t>
        </is>
      </c>
      <c r="G988" s="18" t="inlineStr">
        <is>
          <t>RISK_HIGH · PROMO_EXTRAPOLATION</t>
        </is>
      </c>
      <c r="H988" s="19" t="n">
        <v>4.762360715866089</v>
      </c>
      <c r="I988" s="19" t="n">
        <v>32.38286252319813</v>
      </c>
      <c r="J988" s="19" t="n">
        <v>119.8004719763994</v>
      </c>
      <c r="K988" s="19" t="n">
        <v>32.38286252319813</v>
      </c>
      <c r="L988" s="19" t="n">
        <v>87.01886843144894</v>
      </c>
      <c r="M988" s="19" t="n">
        <v>119.8004719763994</v>
      </c>
      <c r="N988" s="17" t="inlineStr">
        <is>
          <t>B</t>
        </is>
      </c>
      <c r="O988" s="19" t="n">
        <v>61.11257841289043</v>
      </c>
      <c r="P988" s="18" t="inlineStr">
        <is>
          <t>KHÔNG ĐỀ XUẤT TĂNG</t>
        </is>
      </c>
      <c r="Q988" s="17" t="inlineStr">
        <is>
          <t>Có</t>
        </is>
      </c>
      <c r="R988" s="20" t="n"/>
      <c r="S988" s="20" t="n"/>
      <c r="T988" s="21" t="n"/>
      <c r="U988" s="21" t="n"/>
      <c r="V988" s="22">
        <f>IF(U988="A",K988,IF(U988="B",L988,IF(U988="C",M988,IF(N988="A",K988,IF(N988="B",L988,M988)))))</f>
        <v/>
      </c>
      <c r="W988" s="22">
        <f>IF(R988="",O988,MAX(V988-R988-N(S988),0))</f>
        <v/>
      </c>
      <c r="X988" s="20" t="n"/>
      <c r="Y988" s="23">
        <f>IF(OR(X988="",W988=0),"",X988/W988-1)</f>
        <v/>
      </c>
      <c r="Z988" s="24" t="n"/>
      <c r="AA988" s="21" t="n"/>
      <c r="AB988" s="25" t="n"/>
      <c r="AC988" s="26">
        <f>IF(T988="","Chưa quyết định",IF(OR(Z988="",AA988=""),"⚠ Thiếu lý do/người duyệt",IF(AND(X988&lt;&gt;"",N(X988)+N(R988)+N(S988)&gt;M988*1.001,R988&lt;&gt;""),"⚠ Vượt mục tiêu P90",IF(AND(Y988&lt;&gt;"",ABS(N(Y988))&gt;0.3),"⚠ Lệch &gt; 30% so với nhu cầu",IF(Q988="Có","ℹ Kiểm tra ngoại suy KM","✓ Hợp lệ")))))</f>
        <v/>
      </c>
    </row>
    <row r="989">
      <c r="A989" s="16" t="n">
        <v>985</v>
      </c>
      <c r="B989" s="17" t="inlineStr">
        <is>
          <t>DEC-S38-BOOKS</t>
        </is>
      </c>
      <c r="C989" s="16" t="n">
        <v>38</v>
      </c>
      <c r="D989" s="17" t="inlineStr">
        <is>
          <t>BOOKS</t>
        </is>
      </c>
      <c r="E989" s="17" t="inlineStr">
        <is>
          <t>HIGH</t>
        </is>
      </c>
      <c r="F989" s="17" t="inlineStr">
        <is>
          <t>TRUNG BÌNH</t>
        </is>
      </c>
      <c r="G989" s="18" t="inlineStr">
        <is>
          <t>RISK_HIGH · PROMO_EXTRAPOLATION</t>
        </is>
      </c>
      <c r="H989" s="19" t="n">
        <v>4.762360715866089</v>
      </c>
      <c r="I989" s="19" t="n">
        <v>32.38286252319813</v>
      </c>
      <c r="J989" s="19" t="n">
        <v>119.8004719763994</v>
      </c>
      <c r="K989" s="19" t="n">
        <v>32.38286252319813</v>
      </c>
      <c r="L989" s="19" t="n">
        <v>87.01886843144894</v>
      </c>
      <c r="M989" s="19" t="n">
        <v>119.8004719763994</v>
      </c>
      <c r="N989" s="17" t="inlineStr">
        <is>
          <t>B</t>
        </is>
      </c>
      <c r="O989" s="19" t="n">
        <v>61.11257841289043</v>
      </c>
      <c r="P989" s="18" t="inlineStr">
        <is>
          <t>KHÔNG ĐỀ XUẤT TĂNG</t>
        </is>
      </c>
      <c r="Q989" s="17" t="inlineStr">
        <is>
          <t>Có</t>
        </is>
      </c>
      <c r="R989" s="20" t="n"/>
      <c r="S989" s="20" t="n"/>
      <c r="T989" s="21" t="n"/>
      <c r="U989" s="21" t="n"/>
      <c r="V989" s="22">
        <f>IF(U989="A",K989,IF(U989="B",L989,IF(U989="C",M989,IF(N989="A",K989,IF(N989="B",L989,M989)))))</f>
        <v/>
      </c>
      <c r="W989" s="22">
        <f>IF(R989="",O989,MAX(V989-R989-N(S989),0))</f>
        <v/>
      </c>
      <c r="X989" s="20" t="n"/>
      <c r="Y989" s="23">
        <f>IF(OR(X989="",W989=0),"",X989/W989-1)</f>
        <v/>
      </c>
      <c r="Z989" s="24" t="n"/>
      <c r="AA989" s="21" t="n"/>
      <c r="AB989" s="25" t="n"/>
      <c r="AC989" s="26">
        <f>IF(T989="","Chưa quyết định",IF(OR(Z989="",AA989=""),"⚠ Thiếu lý do/người duyệt",IF(AND(X989&lt;&gt;"",N(X989)+N(R989)+N(S989)&gt;M989*1.001,R989&lt;&gt;""),"⚠ Vượt mục tiêu P90",IF(AND(Y989&lt;&gt;"",ABS(N(Y989))&gt;0.3),"⚠ Lệch &gt; 30% so với nhu cầu",IF(Q989="Có","ℹ Kiểm tra ngoại suy KM","✓ Hợp lệ")))))</f>
        <v/>
      </c>
    </row>
    <row r="990">
      <c r="A990" s="16" t="n">
        <v>986</v>
      </c>
      <c r="B990" s="17" t="inlineStr">
        <is>
          <t>DEC-S43-HARDWARE</t>
        </is>
      </c>
      <c r="C990" s="16" t="n">
        <v>43</v>
      </c>
      <c r="D990" s="17" t="inlineStr">
        <is>
          <t>HARDWARE</t>
        </is>
      </c>
      <c r="E990" s="17" t="inlineStr">
        <is>
          <t>HIGH</t>
        </is>
      </c>
      <c r="F990" s="17" t="inlineStr">
        <is>
          <t>TRUNG BÌNH</t>
        </is>
      </c>
      <c r="G990" s="18" t="inlineStr">
        <is>
          <t>RISK_HIGH · PROMO_EXTRAPOLATION</t>
        </is>
      </c>
      <c r="H990" s="19" t="n">
        <v>4.524812990427018</v>
      </c>
      <c r="I990" s="19" t="n">
        <v>32.35510282218456</v>
      </c>
      <c r="J990" s="19" t="n">
        <v>119.7727122753859</v>
      </c>
      <c r="K990" s="19" t="n">
        <v>32.35510282218456</v>
      </c>
      <c r="L990" s="19" t="n">
        <v>86.99110873043537</v>
      </c>
      <c r="M990" s="19" t="n">
        <v>119.7727122753859</v>
      </c>
      <c r="N990" s="17" t="inlineStr">
        <is>
          <t>B</t>
        </is>
      </c>
      <c r="O990" s="19" t="n">
        <v>61.10702647268772</v>
      </c>
      <c r="P990" s="18" t="inlineStr">
        <is>
          <t>KHÔNG ĐỀ XUẤT TĂNG</t>
        </is>
      </c>
      <c r="Q990" s="17" t="inlineStr">
        <is>
          <t>Có</t>
        </is>
      </c>
      <c r="R990" s="20" t="n"/>
      <c r="S990" s="20" t="n"/>
      <c r="T990" s="21" t="n"/>
      <c r="U990" s="21" t="n"/>
      <c r="V990" s="22">
        <f>IF(U990="A",K990,IF(U990="B",L990,IF(U990="C",M990,IF(N990="A",K990,IF(N990="B",L990,M990)))))</f>
        <v/>
      </c>
      <c r="W990" s="22">
        <f>IF(R990="",O990,MAX(V990-R990-N(S990),0))</f>
        <v/>
      </c>
      <c r="X990" s="20" t="n"/>
      <c r="Y990" s="23">
        <f>IF(OR(X990="",W990=0),"",X990/W990-1)</f>
        <v/>
      </c>
      <c r="Z990" s="24" t="n"/>
      <c r="AA990" s="21" t="n"/>
      <c r="AB990" s="25" t="n"/>
      <c r="AC990" s="26">
        <f>IF(T990="","Chưa quyết định",IF(OR(Z990="",AA990=""),"⚠ Thiếu lý do/người duyệt",IF(AND(X990&lt;&gt;"",N(X990)+N(R990)+N(S990)&gt;M990*1.001,R990&lt;&gt;""),"⚠ Vượt mục tiêu P90",IF(AND(Y990&lt;&gt;"",ABS(N(Y990))&gt;0.3),"⚠ Lệch &gt; 30% so với nhu cầu",IF(Q990="Có","ℹ Kiểm tra ngoại suy KM","✓ Hợp lệ")))))</f>
        <v/>
      </c>
    </row>
    <row r="991">
      <c r="A991" s="16" t="n">
        <v>987</v>
      </c>
      <c r="B991" s="17" t="inlineStr">
        <is>
          <t>DEC-S37-HOME_APPLIANCES</t>
        </is>
      </c>
      <c r="C991" s="16" t="n">
        <v>37</v>
      </c>
      <c r="D991" s="17" t="inlineStr">
        <is>
          <t>HOME APPLIANCES</t>
        </is>
      </c>
      <c r="E991" s="17" t="inlineStr">
        <is>
          <t>HIGH</t>
        </is>
      </c>
      <c r="F991" s="17" t="inlineStr">
        <is>
          <t>TRUNG BÌNH</t>
        </is>
      </c>
      <c r="G991" s="18" t="inlineStr">
        <is>
          <t>RISK_HIGH · PROMO_EXTRAPOLATION</t>
        </is>
      </c>
      <c r="H991" s="19" t="n">
        <v>4.72800632417202</v>
      </c>
      <c r="I991" s="19" t="n">
        <v>31.99355775862932</v>
      </c>
      <c r="J991" s="19" t="n">
        <v>117.5419478610158</v>
      </c>
      <c r="K991" s="19" t="n">
        <v>31.99355775862932</v>
      </c>
      <c r="L991" s="19" t="n">
        <v>85.46130157262087</v>
      </c>
      <c r="M991" s="19" t="n">
        <v>117.5419478610158</v>
      </c>
      <c r="N991" s="17" t="inlineStr">
        <is>
          <t>B</t>
        </is>
      </c>
      <c r="O991" s="19" t="n">
        <v>59.86645536571741</v>
      </c>
      <c r="P991" s="18" t="inlineStr">
        <is>
          <t>KHÔNG ĐỀ XUẤT TĂNG</t>
        </is>
      </c>
      <c r="Q991" s="17" t="inlineStr">
        <is>
          <t>Có</t>
        </is>
      </c>
      <c r="R991" s="20" t="n"/>
      <c r="S991" s="20" t="n"/>
      <c r="T991" s="21" t="n"/>
      <c r="U991" s="21" t="n"/>
      <c r="V991" s="22">
        <f>IF(U991="A",K991,IF(U991="B",L991,IF(U991="C",M991,IF(N991="A",K991,IF(N991="B",L991,M991)))))</f>
        <v/>
      </c>
      <c r="W991" s="22">
        <f>IF(R991="",O991,MAX(V991-R991-N(S991),0))</f>
        <v/>
      </c>
      <c r="X991" s="20" t="n"/>
      <c r="Y991" s="23">
        <f>IF(OR(X991="",W991=0),"",X991/W991-1)</f>
        <v/>
      </c>
      <c r="Z991" s="24" t="n"/>
      <c r="AA991" s="21" t="n"/>
      <c r="AB991" s="25" t="n"/>
      <c r="AC991" s="26">
        <f>IF(T991="","Chưa quyết định",IF(OR(Z991="",AA991=""),"⚠ Thiếu lý do/người duyệt",IF(AND(X991&lt;&gt;"",N(X991)+N(R991)+N(S991)&gt;M991*1.001,R991&lt;&gt;""),"⚠ Vượt mục tiêu P90",IF(AND(Y991&lt;&gt;"",ABS(N(Y991))&gt;0.3),"⚠ Lệch &gt; 30% so với nhu cầu",IF(Q991="Có","ℹ Kiểm tra ngoại suy KM","✓ Hợp lệ")))))</f>
        <v/>
      </c>
    </row>
    <row r="992">
      <c r="A992" s="16" t="n">
        <v>988</v>
      </c>
      <c r="B992" s="17" t="inlineStr">
        <is>
          <t>DEC-S20-HOME_APPLIANCES</t>
        </is>
      </c>
      <c r="C992" s="16" t="n">
        <v>20</v>
      </c>
      <c r="D992" s="17" t="inlineStr">
        <is>
          <t>HOME APPLIANCES</t>
        </is>
      </c>
      <c r="E992" s="17" t="inlineStr">
        <is>
          <t>HIGH</t>
        </is>
      </c>
      <c r="F992" s="17" t="inlineStr">
        <is>
          <t>TRUNG BÌNH</t>
        </is>
      </c>
      <c r="G992" s="18" t="inlineStr">
        <is>
          <t>RISK_HIGH · PROMO_EXTRAPOLATION</t>
        </is>
      </c>
      <c r="H992" s="19" t="n">
        <v>4.254243308305741</v>
      </c>
      <c r="I992" s="19" t="n">
        <v>31.9900371581316</v>
      </c>
      <c r="J992" s="19" t="n">
        <v>119.4076466113329</v>
      </c>
      <c r="K992" s="19" t="n">
        <v>31.9900371581316</v>
      </c>
      <c r="L992" s="19" t="n">
        <v>86.62604306638241</v>
      </c>
      <c r="M992" s="19" t="n">
        <v>119.4076466113329</v>
      </c>
      <c r="N992" s="17" t="inlineStr">
        <is>
          <t>B</t>
        </is>
      </c>
      <c r="O992" s="19" t="n">
        <v>61.03401333987713</v>
      </c>
      <c r="P992" s="18" t="inlineStr">
        <is>
          <t>KHÔNG ĐỀ XUẤT TĂNG</t>
        </is>
      </c>
      <c r="Q992" s="17" t="inlineStr">
        <is>
          <t>Có</t>
        </is>
      </c>
      <c r="R992" s="20" t="n"/>
      <c r="S992" s="20" t="n"/>
      <c r="T992" s="21" t="n"/>
      <c r="U992" s="21" t="n"/>
      <c r="V992" s="22">
        <f>IF(U992="A",K992,IF(U992="B",L992,IF(U992="C",M992,IF(N992="A",K992,IF(N992="B",L992,M992)))))</f>
        <v/>
      </c>
      <c r="W992" s="22">
        <f>IF(R992="",O992,MAX(V992-R992-N(S992),0))</f>
        <v/>
      </c>
      <c r="X992" s="20" t="n"/>
      <c r="Y992" s="23">
        <f>IF(OR(X992="",W992=0),"",X992/W992-1)</f>
        <v/>
      </c>
      <c r="Z992" s="24" t="n"/>
      <c r="AA992" s="21" t="n"/>
      <c r="AB992" s="25" t="n"/>
      <c r="AC992" s="26">
        <f>IF(T992="","Chưa quyết định",IF(OR(Z992="",AA992=""),"⚠ Thiếu lý do/người duyệt",IF(AND(X992&lt;&gt;"",N(X992)+N(R992)+N(S992)&gt;M992*1.001,R992&lt;&gt;""),"⚠ Vượt mục tiêu P90",IF(AND(Y992&lt;&gt;"",ABS(N(Y992))&gt;0.3),"⚠ Lệch &gt; 30% so với nhu cầu",IF(Q992="Có","ℹ Kiểm tra ngoại suy KM","✓ Hợp lệ")))))</f>
        <v/>
      </c>
    </row>
    <row r="993">
      <c r="A993" s="16" t="n">
        <v>989</v>
      </c>
      <c r="B993" s="17" t="inlineStr">
        <is>
          <t>DEC-S46-BOOKS</t>
        </is>
      </c>
      <c r="C993" s="16" t="n">
        <v>46</v>
      </c>
      <c r="D993" s="17" t="inlineStr">
        <is>
          <t>BOOKS</t>
        </is>
      </c>
      <c r="E993" s="17" t="inlineStr">
        <is>
          <t>HIGH</t>
        </is>
      </c>
      <c r="F993" s="17" t="inlineStr">
        <is>
          <t>TRUNG BÌNH</t>
        </is>
      </c>
      <c r="G993" s="18" t="inlineStr">
        <is>
          <t>RISK_HIGH · PROMO_EXTRAPOLATION</t>
        </is>
      </c>
      <c r="H993" s="19" t="n">
        <v>4.969327008724212</v>
      </c>
      <c r="I993" s="19" t="n">
        <v>31.91969406604767</v>
      </c>
      <c r="J993" s="19" t="n">
        <v>119.337303519249</v>
      </c>
      <c r="K993" s="19" t="n">
        <v>31.91969406604767</v>
      </c>
      <c r="L993" s="19" t="n">
        <v>86.55569997429848</v>
      </c>
      <c r="M993" s="19" t="n">
        <v>119.337303519249</v>
      </c>
      <c r="N993" s="17" t="inlineStr">
        <is>
          <t>B</t>
        </is>
      </c>
      <c r="O993" s="19" t="n">
        <v>61.01994472146034</v>
      </c>
      <c r="P993" s="18" t="inlineStr">
        <is>
          <t>KHÔNG ĐỀ XUẤT TĂNG</t>
        </is>
      </c>
      <c r="Q993" s="17" t="inlineStr">
        <is>
          <t>Có</t>
        </is>
      </c>
      <c r="R993" s="20" t="n"/>
      <c r="S993" s="20" t="n"/>
      <c r="T993" s="21" t="n"/>
      <c r="U993" s="21" t="n"/>
      <c r="V993" s="22">
        <f>IF(U993="A",K993,IF(U993="B",L993,IF(U993="C",M993,IF(N993="A",K993,IF(N993="B",L993,M993)))))</f>
        <v/>
      </c>
      <c r="W993" s="22">
        <f>IF(R993="",O993,MAX(V993-R993-N(S993),0))</f>
        <v/>
      </c>
      <c r="X993" s="20" t="n"/>
      <c r="Y993" s="23">
        <f>IF(OR(X993="",W993=0),"",X993/W993-1)</f>
        <v/>
      </c>
      <c r="Z993" s="24" t="n"/>
      <c r="AA993" s="21" t="n"/>
      <c r="AB993" s="25" t="n"/>
      <c r="AC993" s="26">
        <f>IF(T993="","Chưa quyết định",IF(OR(Z993="",AA993=""),"⚠ Thiếu lý do/người duyệt",IF(AND(X993&lt;&gt;"",N(X993)+N(R993)+N(S993)&gt;M993*1.001,R993&lt;&gt;""),"⚠ Vượt mục tiêu P90",IF(AND(Y993&lt;&gt;"",ABS(N(Y993))&gt;0.3),"⚠ Lệch &gt; 30% so với nhu cầu",IF(Q993="Có","ℹ Kiểm tra ngoại suy KM","✓ Hợp lệ")))))</f>
        <v/>
      </c>
    </row>
    <row r="994">
      <c r="A994" s="16" t="n">
        <v>990</v>
      </c>
      <c r="B994" s="17" t="inlineStr">
        <is>
          <t>DEC-S23-AUTOMOTIVE</t>
        </is>
      </c>
      <c r="C994" s="16" t="n">
        <v>23</v>
      </c>
      <c r="D994" s="17" t="inlineStr">
        <is>
          <t>AUTOMOTIVE</t>
        </is>
      </c>
      <c r="E994" s="17" t="inlineStr">
        <is>
          <t>HIGH</t>
        </is>
      </c>
      <c r="F994" s="17" t="inlineStr">
        <is>
          <t>TRUNG BÌNH</t>
        </is>
      </c>
      <c r="G994" s="18" t="inlineStr">
        <is>
          <t>RISK_HIGH · PROMO_EXTRAPOLATION</t>
        </is>
      </c>
      <c r="H994" s="19" t="n">
        <v>4.122571724653244</v>
      </c>
      <c r="I994" s="19" t="n">
        <v>31.87634190917015</v>
      </c>
      <c r="J994" s="19" t="n">
        <v>119.2939513623714</v>
      </c>
      <c r="K994" s="19" t="n">
        <v>31.87634190917015</v>
      </c>
      <c r="L994" s="19" t="n">
        <v>86.51234781742096</v>
      </c>
      <c r="M994" s="19" t="n">
        <v>119.2939513623714</v>
      </c>
      <c r="N994" s="17" t="inlineStr">
        <is>
          <t>B</t>
        </is>
      </c>
      <c r="O994" s="19" t="n">
        <v>61.01127429008484</v>
      </c>
      <c r="P994" s="18" t="inlineStr">
        <is>
          <t>KHÔNG ĐỀ XUẤT TĂNG</t>
        </is>
      </c>
      <c r="Q994" s="17" t="inlineStr">
        <is>
          <t>Có</t>
        </is>
      </c>
      <c r="R994" s="20" t="n"/>
      <c r="S994" s="20" t="n"/>
      <c r="T994" s="21" t="n"/>
      <c r="U994" s="21" t="n"/>
      <c r="V994" s="22">
        <f>IF(U994="A",K994,IF(U994="B",L994,IF(U994="C",M994,IF(N994="A",K994,IF(N994="B",L994,M994)))))</f>
        <v/>
      </c>
      <c r="W994" s="22">
        <f>IF(R994="",O994,MAX(V994-R994-N(S994),0))</f>
        <v/>
      </c>
      <c r="X994" s="20" t="n"/>
      <c r="Y994" s="23">
        <f>IF(OR(X994="",W994=0),"",X994/W994-1)</f>
        <v/>
      </c>
      <c r="Z994" s="24" t="n"/>
      <c r="AA994" s="21" t="n"/>
      <c r="AB994" s="25" t="n"/>
      <c r="AC994" s="26">
        <f>IF(T994="","Chưa quyết định",IF(OR(Z994="",AA994=""),"⚠ Thiếu lý do/người duyệt",IF(AND(X994&lt;&gt;"",N(X994)+N(R994)+N(S994)&gt;M994*1.001,R994&lt;&gt;""),"⚠ Vượt mục tiêu P90",IF(AND(Y994&lt;&gt;"",ABS(N(Y994))&gt;0.3),"⚠ Lệch &gt; 30% so với nhu cầu",IF(Q994="Có","ℹ Kiểm tra ngoại suy KM","✓ Hợp lệ")))))</f>
        <v/>
      </c>
    </row>
    <row r="995">
      <c r="A995" s="16" t="n">
        <v>991</v>
      </c>
      <c r="B995" s="17" t="inlineStr">
        <is>
          <t>DEC-S43-HOME_APPLIANCES</t>
        </is>
      </c>
      <c r="C995" s="16" t="n">
        <v>43</v>
      </c>
      <c r="D995" s="17" t="inlineStr">
        <is>
          <t>HOME APPLIANCES</t>
        </is>
      </c>
      <c r="E995" s="17" t="inlineStr">
        <is>
          <t>HIGH</t>
        </is>
      </c>
      <c r="F995" s="17" t="inlineStr">
        <is>
          <t>TRUNG BÌNH</t>
        </is>
      </c>
      <c r="G995" s="18" t="inlineStr">
        <is>
          <t>RISK_HIGH · PROMO_EXTRAPOLATION</t>
        </is>
      </c>
      <c r="H995" s="19" t="n">
        <v>4.173748070001603</v>
      </c>
      <c r="I995" s="19" t="n">
        <v>31.6651849001646</v>
      </c>
      <c r="J995" s="19" t="n">
        <v>119.0827943533659</v>
      </c>
      <c r="K995" s="19" t="n">
        <v>31.6651849001646</v>
      </c>
      <c r="L995" s="19" t="n">
        <v>86.30119080841541</v>
      </c>
      <c r="M995" s="19" t="n">
        <v>119.0827943533659</v>
      </c>
      <c r="N995" s="17" t="inlineStr">
        <is>
          <t>B</t>
        </is>
      </c>
      <c r="O995" s="19" t="n">
        <v>60.96904288828373</v>
      </c>
      <c r="P995" s="18" t="inlineStr">
        <is>
          <t>KHÔNG ĐỀ XUẤT TĂNG</t>
        </is>
      </c>
      <c r="Q995" s="17" t="inlineStr">
        <is>
          <t>Có</t>
        </is>
      </c>
      <c r="R995" s="20" t="n"/>
      <c r="S995" s="20" t="n"/>
      <c r="T995" s="21" t="n"/>
      <c r="U995" s="21" t="n"/>
      <c r="V995" s="22">
        <f>IF(U995="A",K995,IF(U995="B",L995,IF(U995="C",M995,IF(N995="A",K995,IF(N995="B",L995,M995)))))</f>
        <v/>
      </c>
      <c r="W995" s="22">
        <f>IF(R995="",O995,MAX(V995-R995-N(S995),0))</f>
        <v/>
      </c>
      <c r="X995" s="20" t="n"/>
      <c r="Y995" s="23">
        <f>IF(OR(X995="",W995=0),"",X995/W995-1)</f>
        <v/>
      </c>
      <c r="Z995" s="24" t="n"/>
      <c r="AA995" s="21" t="n"/>
      <c r="AB995" s="25" t="n"/>
      <c r="AC995" s="26">
        <f>IF(T995="","Chưa quyết định",IF(OR(Z995="",AA995=""),"⚠ Thiếu lý do/người duyệt",IF(AND(X995&lt;&gt;"",N(X995)+N(R995)+N(S995)&gt;M995*1.001,R995&lt;&gt;""),"⚠ Vượt mục tiêu P90",IF(AND(Y995&lt;&gt;"",ABS(N(Y995))&gt;0.3),"⚠ Lệch &gt; 30% so với nhu cầu",IF(Q995="Có","ℹ Kiểm tra ngoại suy KM","✓ Hợp lệ")))))</f>
        <v/>
      </c>
    </row>
    <row r="996">
      <c r="A996" s="16" t="n">
        <v>992</v>
      </c>
      <c r="B996" s="17" t="inlineStr">
        <is>
          <t>DEC-S39-BOOKS</t>
        </is>
      </c>
      <c r="C996" s="16" t="n">
        <v>39</v>
      </c>
      <c r="D996" s="17" t="inlineStr">
        <is>
          <t>BOOKS</t>
        </is>
      </c>
      <c r="E996" s="17" t="inlineStr">
        <is>
          <t>HIGH</t>
        </is>
      </c>
      <c r="F996" s="17" t="inlineStr">
        <is>
          <t>TRUNG BÌNH</t>
        </is>
      </c>
      <c r="G996" s="18" t="inlineStr">
        <is>
          <t>RISK_HIGH · PROMO_EXTRAPOLATION</t>
        </is>
      </c>
      <c r="H996" s="19" t="n">
        <v>3.855867767333985</v>
      </c>
      <c r="I996" s="19" t="n">
        <v>31.50616423040628</v>
      </c>
      <c r="J996" s="19" t="n">
        <v>118.9237736836076</v>
      </c>
      <c r="K996" s="19" t="n">
        <v>31.50616423040628</v>
      </c>
      <c r="L996" s="19" t="n">
        <v>86.14217013865709</v>
      </c>
      <c r="M996" s="19" t="n">
        <v>118.9237736836076</v>
      </c>
      <c r="N996" s="17" t="inlineStr">
        <is>
          <t>B</t>
        </is>
      </c>
      <c r="O996" s="19" t="n">
        <v>60.93723875433206</v>
      </c>
      <c r="P996" s="18" t="inlineStr">
        <is>
          <t>KHÔNG ĐỀ XUẤT TĂNG</t>
        </is>
      </c>
      <c r="Q996" s="17" t="inlineStr">
        <is>
          <t>Có</t>
        </is>
      </c>
      <c r="R996" s="20" t="n"/>
      <c r="S996" s="20" t="n"/>
      <c r="T996" s="21" t="n"/>
      <c r="U996" s="21" t="n"/>
      <c r="V996" s="22">
        <f>IF(U996="A",K996,IF(U996="B",L996,IF(U996="C",M996,IF(N996="A",K996,IF(N996="B",L996,M996)))))</f>
        <v/>
      </c>
      <c r="W996" s="22">
        <f>IF(R996="",O996,MAX(V996-R996-N(S996),0))</f>
        <v/>
      </c>
      <c r="X996" s="20" t="n"/>
      <c r="Y996" s="23">
        <f>IF(OR(X996="",W996=0),"",X996/W996-1)</f>
        <v/>
      </c>
      <c r="Z996" s="24" t="n"/>
      <c r="AA996" s="21" t="n"/>
      <c r="AB996" s="25" t="n"/>
      <c r="AC996" s="26">
        <f>IF(T996="","Chưa quyết định",IF(OR(Z996="",AA996=""),"⚠ Thiếu lý do/người duyệt",IF(AND(X996&lt;&gt;"",N(X996)+N(R996)+N(S996)&gt;M996*1.001,R996&lt;&gt;""),"⚠ Vượt mục tiêu P90",IF(AND(Y996&lt;&gt;"",ABS(N(Y996))&gt;0.3),"⚠ Lệch &gt; 30% so với nhu cầu",IF(Q996="Có","ℹ Kiểm tra ngoại suy KM","✓ Hợp lệ")))))</f>
        <v/>
      </c>
    </row>
    <row r="997">
      <c r="A997" s="16" t="n">
        <v>993</v>
      </c>
      <c r="B997" s="17" t="inlineStr">
        <is>
          <t>DEC-S43-LADIESWEAR</t>
        </is>
      </c>
      <c r="C997" s="16" t="n">
        <v>43</v>
      </c>
      <c r="D997" s="17" t="inlineStr">
        <is>
          <t>LADIESWEAR</t>
        </is>
      </c>
      <c r="E997" s="17" t="inlineStr">
        <is>
          <t>HIGH</t>
        </is>
      </c>
      <c r="F997" s="17" t="inlineStr">
        <is>
          <t>TRUNG BÌNH</t>
        </is>
      </c>
      <c r="G997" s="18" t="inlineStr">
        <is>
          <t>RISK_HIGH · PROMO_EXTRAPOLATION</t>
        </is>
      </c>
      <c r="H997" s="19" t="n">
        <v>4.143333488702774</v>
      </c>
      <c r="I997" s="19" t="n">
        <v>31.45061366260052</v>
      </c>
      <c r="J997" s="19" t="n">
        <v>118.8682231158018</v>
      </c>
      <c r="K997" s="19" t="n">
        <v>31.45061366260052</v>
      </c>
      <c r="L997" s="19" t="n">
        <v>86.08661957085131</v>
      </c>
      <c r="M997" s="19" t="n">
        <v>118.8682231158018</v>
      </c>
      <c r="N997" s="17" t="inlineStr">
        <is>
          <t>B</t>
        </is>
      </c>
      <c r="O997" s="19" t="n">
        <v>60.9261286407709</v>
      </c>
      <c r="P997" s="18" t="inlineStr">
        <is>
          <t>KHÔNG ĐỀ XUẤT TĂNG</t>
        </is>
      </c>
      <c r="Q997" s="17" t="inlineStr">
        <is>
          <t>Có</t>
        </is>
      </c>
      <c r="R997" s="20" t="n"/>
      <c r="S997" s="20" t="n"/>
      <c r="T997" s="21" t="n"/>
      <c r="U997" s="21" t="n"/>
      <c r="V997" s="22">
        <f>IF(U997="A",K997,IF(U997="B",L997,IF(U997="C",M997,IF(N997="A",K997,IF(N997="B",L997,M997)))))</f>
        <v/>
      </c>
      <c r="W997" s="22">
        <f>IF(R997="",O997,MAX(V997-R997-N(S997),0))</f>
        <v/>
      </c>
      <c r="X997" s="20" t="n"/>
      <c r="Y997" s="23">
        <f>IF(OR(X997="",W997=0),"",X997/W997-1)</f>
        <v/>
      </c>
      <c r="Z997" s="24" t="n"/>
      <c r="AA997" s="21" t="n"/>
      <c r="AB997" s="25" t="n"/>
      <c r="AC997" s="26">
        <f>IF(T997="","Chưa quyết định",IF(OR(Z997="",AA997=""),"⚠ Thiếu lý do/người duyệt",IF(AND(X997&lt;&gt;"",N(X997)+N(R997)+N(S997)&gt;M997*1.001,R997&lt;&gt;""),"⚠ Vượt mục tiêu P90",IF(AND(Y997&lt;&gt;"",ABS(N(Y997))&gt;0.3),"⚠ Lệch &gt; 30% so với nhu cầu",IF(Q997="Có","ℹ Kiểm tra ngoại suy KM","✓ Hợp lệ")))))</f>
        <v/>
      </c>
    </row>
    <row r="998">
      <c r="A998" s="16" t="n">
        <v>994</v>
      </c>
      <c r="B998" s="17" t="inlineStr">
        <is>
          <t>DEC-S31-SEAFOOD</t>
        </is>
      </c>
      <c r="C998" s="16" t="n">
        <v>31</v>
      </c>
      <c r="D998" s="17" t="inlineStr">
        <is>
          <t>SEAFOOD</t>
        </is>
      </c>
      <c r="E998" s="17" t="inlineStr">
        <is>
          <t>HIGH</t>
        </is>
      </c>
      <c r="F998" s="17" t="inlineStr">
        <is>
          <t>TRUNG BÌNH</t>
        </is>
      </c>
      <c r="G998" s="18" t="inlineStr">
        <is>
          <t>RISK_HIGH · PROMO_EXTRAPOLATION</t>
        </is>
      </c>
      <c r="H998" s="19" t="n">
        <v>3.666356486082077</v>
      </c>
      <c r="I998" s="19" t="n">
        <v>31.4007223546505</v>
      </c>
      <c r="J998" s="19" t="n">
        <v>122.9112218797207</v>
      </c>
      <c r="K998" s="19" t="n">
        <v>31.4007223546505</v>
      </c>
      <c r="L998" s="19" t="n">
        <v>88.59478455781937</v>
      </c>
      <c r="M998" s="19" t="n">
        <v>122.9112218797207</v>
      </c>
      <c r="N998" s="17" t="inlineStr">
        <is>
          <t>B</t>
        </is>
      </c>
      <c r="O998" s="19" t="n">
        <v>63.47420667409897</v>
      </c>
      <c r="P998" s="18" t="inlineStr">
        <is>
          <t>KHÔNG ĐỀ XUẤT TĂNG</t>
        </is>
      </c>
      <c r="Q998" s="17" t="inlineStr">
        <is>
          <t>Có</t>
        </is>
      </c>
      <c r="R998" s="20" t="n"/>
      <c r="S998" s="20" t="n"/>
      <c r="T998" s="21" t="n"/>
      <c r="U998" s="21" t="n"/>
      <c r="V998" s="22">
        <f>IF(U998="A",K998,IF(U998="B",L998,IF(U998="C",M998,IF(N998="A",K998,IF(N998="B",L998,M998)))))</f>
        <v/>
      </c>
      <c r="W998" s="22">
        <f>IF(R998="",O998,MAX(V998-R998-N(S998),0))</f>
        <v/>
      </c>
      <c r="X998" s="20" t="n"/>
      <c r="Y998" s="23">
        <f>IF(OR(X998="",W998=0),"",X998/W998-1)</f>
        <v/>
      </c>
      <c r="Z998" s="24" t="n"/>
      <c r="AA998" s="21" t="n"/>
      <c r="AB998" s="25" t="n"/>
      <c r="AC998" s="26">
        <f>IF(T998="","Chưa quyết định",IF(OR(Z998="",AA998=""),"⚠ Thiếu lý do/người duyệt",IF(AND(X998&lt;&gt;"",N(X998)+N(R998)+N(S998)&gt;M998*1.001,R998&lt;&gt;""),"⚠ Vượt mục tiêu P90",IF(AND(Y998&lt;&gt;"",ABS(N(Y998))&gt;0.3),"⚠ Lệch &gt; 30% so với nhu cầu",IF(Q998="Có","ℹ Kiểm tra ngoại suy KM","✓ Hợp lệ")))))</f>
        <v/>
      </c>
    </row>
    <row r="999">
      <c r="A999" s="16" t="n">
        <v>995</v>
      </c>
      <c r="B999" s="17" t="inlineStr">
        <is>
          <t>DEC-S29-MAGAZINES</t>
        </is>
      </c>
      <c r="C999" s="16" t="n">
        <v>29</v>
      </c>
      <c r="D999" s="17" t="inlineStr">
        <is>
          <t>MAGAZINES</t>
        </is>
      </c>
      <c r="E999" s="17" t="inlineStr">
        <is>
          <t>HIGH</t>
        </is>
      </c>
      <c r="F999" s="17" t="inlineStr">
        <is>
          <t>TRUNG BÌNH</t>
        </is>
      </c>
      <c r="G999" s="18" t="inlineStr">
        <is>
          <t>RISK_HIGH · PROMO_EXTRAPOLATION</t>
        </is>
      </c>
      <c r="H999" s="19" t="n">
        <v>3.809478658437729</v>
      </c>
      <c r="I999" s="19" t="n">
        <v>31.16065189987421</v>
      </c>
      <c r="J999" s="19" t="n">
        <v>118.5782613530755</v>
      </c>
      <c r="K999" s="19" t="n">
        <v>31.16065189987421</v>
      </c>
      <c r="L999" s="19" t="n">
        <v>85.79665780812502</v>
      </c>
      <c r="M999" s="19" t="n">
        <v>118.5782613530755</v>
      </c>
      <c r="N999" s="17" t="inlineStr">
        <is>
          <t>B</t>
        </is>
      </c>
      <c r="O999" s="19" t="n">
        <v>60.86813628822565</v>
      </c>
      <c r="P999" s="18" t="inlineStr">
        <is>
          <t>KHÔNG ĐỀ XUẤT TĂNG</t>
        </is>
      </c>
      <c r="Q999" s="17" t="inlineStr">
        <is>
          <t>Có</t>
        </is>
      </c>
      <c r="R999" s="20" t="n"/>
      <c r="S999" s="20" t="n"/>
      <c r="T999" s="21" t="n"/>
      <c r="U999" s="21" t="n"/>
      <c r="V999" s="22">
        <f>IF(U999="A",K999,IF(U999="B",L999,IF(U999="C",M999,IF(N999="A",K999,IF(N999="B",L999,M999)))))</f>
        <v/>
      </c>
      <c r="W999" s="22">
        <f>IF(R999="",O999,MAX(V999-R999-N(S999),0))</f>
        <v/>
      </c>
      <c r="X999" s="20" t="n"/>
      <c r="Y999" s="23">
        <f>IF(OR(X999="",W999=0),"",X999/W999-1)</f>
        <v/>
      </c>
      <c r="Z999" s="24" t="n"/>
      <c r="AA999" s="21" t="n"/>
      <c r="AB999" s="25" t="n"/>
      <c r="AC999" s="26">
        <f>IF(T999="","Chưa quyết định",IF(OR(Z999="",AA999=""),"⚠ Thiếu lý do/người duyệt",IF(AND(X999&lt;&gt;"",N(X999)+N(R999)+N(S999)&gt;M999*1.001,R999&lt;&gt;""),"⚠ Vượt mục tiêu P90",IF(AND(Y999&lt;&gt;"",ABS(N(Y999))&gt;0.3),"⚠ Lệch &gt; 30% so với nhu cầu",IF(Q999="Có","ℹ Kiểm tra ngoại suy KM","✓ Hợp lệ")))))</f>
        <v/>
      </c>
    </row>
    <row r="1000">
      <c r="A1000" s="16" t="n">
        <v>996</v>
      </c>
      <c r="B1000" s="17" t="inlineStr">
        <is>
          <t>DEC-S17-HOME_APPLIANCES</t>
        </is>
      </c>
      <c r="C1000" s="16" t="n">
        <v>17</v>
      </c>
      <c r="D1000" s="17" t="inlineStr">
        <is>
          <t>HOME APPLIANCES</t>
        </is>
      </c>
      <c r="E1000" s="17" t="inlineStr">
        <is>
          <t>HIGH</t>
        </is>
      </c>
      <c r="F1000" s="17" t="inlineStr">
        <is>
          <t>TRUNG BÌNH</t>
        </is>
      </c>
      <c r="G1000" s="18" t="inlineStr">
        <is>
          <t>RISK_HIGH · PROMO_EXTRAPOLATION</t>
        </is>
      </c>
      <c r="H1000" s="19" t="n">
        <v>3.709673362970352</v>
      </c>
      <c r="I1000" s="19" t="n">
        <v>31.14265765249729</v>
      </c>
      <c r="J1000" s="19" t="n">
        <v>118.5602671056986</v>
      </c>
      <c r="K1000" s="19" t="n">
        <v>31.14265765249729</v>
      </c>
      <c r="L1000" s="19" t="n">
        <v>85.7786635607481</v>
      </c>
      <c r="M1000" s="19" t="n">
        <v>118.5602671056986</v>
      </c>
      <c r="N1000" s="17" t="inlineStr">
        <is>
          <t>B</t>
        </is>
      </c>
      <c r="O1000" s="19" t="n">
        <v>60.86453743875026</v>
      </c>
      <c r="P1000" s="18" t="inlineStr">
        <is>
          <t>KHÔNG ĐỀ XUẤT TĂNG</t>
        </is>
      </c>
      <c r="Q1000" s="17" t="inlineStr">
        <is>
          <t>Có</t>
        </is>
      </c>
      <c r="R1000" s="20" t="n"/>
      <c r="S1000" s="20" t="n"/>
      <c r="T1000" s="21" t="n"/>
      <c r="U1000" s="21" t="n"/>
      <c r="V1000" s="22">
        <f>IF(U1000="A",K1000,IF(U1000="B",L1000,IF(U1000="C",M1000,IF(N1000="A",K1000,IF(N1000="B",L1000,M1000)))))</f>
        <v/>
      </c>
      <c r="W1000" s="22">
        <f>IF(R1000="",O1000,MAX(V1000-R1000-N(S1000),0))</f>
        <v/>
      </c>
      <c r="X1000" s="20" t="n"/>
      <c r="Y1000" s="23">
        <f>IF(OR(X1000="",W1000=0),"",X1000/W1000-1)</f>
        <v/>
      </c>
      <c r="Z1000" s="24" t="n"/>
      <c r="AA1000" s="21" t="n"/>
      <c r="AB1000" s="25" t="n"/>
      <c r="AC1000" s="26">
        <f>IF(T1000="","Chưa quyết định",IF(OR(Z1000="",AA1000=""),"⚠ Thiếu lý do/người duyệt",IF(AND(X1000&lt;&gt;"",N(X1000)+N(R1000)+N(S1000)&gt;M1000*1.001,R1000&lt;&gt;""),"⚠ Vượt mục tiêu P90",IF(AND(Y1000&lt;&gt;"",ABS(N(Y1000))&gt;0.3),"⚠ Lệch &gt; 30% so với nhu cầu",IF(Q1000="Có","ℹ Kiểm tra ngoại suy KM","✓ Hợp lệ")))))</f>
        <v/>
      </c>
    </row>
    <row r="1001">
      <c r="A1001" s="16" t="n">
        <v>997</v>
      </c>
      <c r="B1001" s="17" t="inlineStr">
        <is>
          <t>DEC-S16-BEAUTY</t>
        </is>
      </c>
      <c r="C1001" s="16" t="n">
        <v>16</v>
      </c>
      <c r="D1001" s="17" t="inlineStr">
        <is>
          <t>BEAUTY</t>
        </is>
      </c>
      <c r="E1001" s="17" t="inlineStr">
        <is>
          <t>HIGH</t>
        </is>
      </c>
      <c r="F1001" s="17" t="inlineStr">
        <is>
          <t>TRUNG BÌNH</t>
        </is>
      </c>
      <c r="G1001" s="18" t="inlineStr">
        <is>
          <t>RISK_HIGH · PROMO_EXTRAPOLATION</t>
        </is>
      </c>
      <c r="H1001" s="19" t="n">
        <v>10.85880944728852</v>
      </c>
      <c r="I1001" s="19" t="n">
        <v>31.12046135962009</v>
      </c>
      <c r="J1001" s="19" t="n">
        <v>110.2815944105387</v>
      </c>
      <c r="K1001" s="19" t="n">
        <v>31.12046135962009</v>
      </c>
      <c r="L1001" s="19" t="n">
        <v>80.59616951644421</v>
      </c>
      <c r="M1001" s="19" t="n">
        <v>110.2815944105387</v>
      </c>
      <c r="N1001" s="17" t="inlineStr">
        <is>
          <t>B</t>
        </is>
      </c>
      <c r="O1001" s="19" t="n">
        <v>55.69980042874813</v>
      </c>
      <c r="P1001" s="18" t="inlineStr">
        <is>
          <t>KHÔNG ĐỀ XUẤT TĂNG</t>
        </is>
      </c>
      <c r="Q1001" s="17" t="inlineStr">
        <is>
          <t>Có</t>
        </is>
      </c>
      <c r="R1001" s="20" t="n"/>
      <c r="S1001" s="20" t="n"/>
      <c r="T1001" s="21" t="n"/>
      <c r="U1001" s="21" t="n"/>
      <c r="V1001" s="22">
        <f>IF(U1001="A",K1001,IF(U1001="B",L1001,IF(U1001="C",M1001,IF(N1001="A",K1001,IF(N1001="B",L1001,M1001)))))</f>
        <v/>
      </c>
      <c r="W1001" s="22">
        <f>IF(R1001="",O1001,MAX(V1001-R1001-N(S1001),0))</f>
        <v/>
      </c>
      <c r="X1001" s="20" t="n"/>
      <c r="Y1001" s="23">
        <f>IF(OR(X1001="",W1001=0),"",X1001/W1001-1)</f>
        <v/>
      </c>
      <c r="Z1001" s="24" t="n"/>
      <c r="AA1001" s="21" t="n"/>
      <c r="AB1001" s="25" t="n"/>
      <c r="AC1001" s="26">
        <f>IF(T1001="","Chưa quyết định",IF(OR(Z1001="",AA1001=""),"⚠ Thiếu lý do/người duyệt",IF(AND(X1001&lt;&gt;"",N(X1001)+N(R1001)+N(S1001)&gt;M1001*1.001,R1001&lt;&gt;""),"⚠ Vượt mục tiêu P90",IF(AND(Y1001&lt;&gt;"",ABS(N(Y1001))&gt;0.3),"⚠ Lệch &gt; 30% so với nhu cầu",IF(Q1001="Có","ℹ Kiểm tra ngoại suy KM","✓ Hợp lệ")))))</f>
        <v/>
      </c>
    </row>
    <row r="1002">
      <c r="A1002" s="16" t="n">
        <v>998</v>
      </c>
      <c r="B1002" s="17" t="inlineStr">
        <is>
          <t>DEC-S36-MAGAZINES</t>
        </is>
      </c>
      <c r="C1002" s="16" t="n">
        <v>36</v>
      </c>
      <c r="D1002" s="17" t="inlineStr">
        <is>
          <t>MAGAZINES</t>
        </is>
      </c>
      <c r="E1002" s="17" t="inlineStr">
        <is>
          <t>HIGH</t>
        </is>
      </c>
      <c r="F1002" s="17" t="inlineStr">
        <is>
          <t>TRUNG BÌNH</t>
        </is>
      </c>
      <c r="G1002" s="18" t="inlineStr">
        <is>
          <t>RISK_HIGH · PROMO_EXTRAPOLATION</t>
        </is>
      </c>
      <c r="H1002" s="19" t="n">
        <v>3.991854059696198</v>
      </c>
      <c r="I1002" s="19" t="n">
        <v>30.97143656760455</v>
      </c>
      <c r="J1002" s="19" t="n">
        <v>118.3890460208058</v>
      </c>
      <c r="K1002" s="19" t="n">
        <v>30.97143656760455</v>
      </c>
      <c r="L1002" s="19" t="n">
        <v>85.60744247585535</v>
      </c>
      <c r="M1002" s="19" t="n">
        <v>118.3890460208058</v>
      </c>
      <c r="N1002" s="17" t="inlineStr">
        <is>
          <t>B</t>
        </is>
      </c>
      <c r="O1002" s="19" t="n">
        <v>60.83029322177171</v>
      </c>
      <c r="P1002" s="18" t="inlineStr">
        <is>
          <t>KHÔNG ĐỀ XUẤT TĂNG</t>
        </is>
      </c>
      <c r="Q1002" s="17" t="inlineStr">
        <is>
          <t>Có</t>
        </is>
      </c>
      <c r="R1002" s="20" t="n"/>
      <c r="S1002" s="20" t="n"/>
      <c r="T1002" s="21" t="n"/>
      <c r="U1002" s="21" t="n"/>
      <c r="V1002" s="22">
        <f>IF(U1002="A",K1002,IF(U1002="B",L1002,IF(U1002="C",M1002,IF(N1002="A",K1002,IF(N1002="B",L1002,M1002)))))</f>
        <v/>
      </c>
      <c r="W1002" s="22">
        <f>IF(R1002="",O1002,MAX(V1002-R1002-N(S1002),0))</f>
        <v/>
      </c>
      <c r="X1002" s="20" t="n"/>
      <c r="Y1002" s="23">
        <f>IF(OR(X1002="",W1002=0),"",X1002/W1002-1)</f>
        <v/>
      </c>
      <c r="Z1002" s="24" t="n"/>
      <c r="AA1002" s="21" t="n"/>
      <c r="AB1002" s="25" t="n"/>
      <c r="AC1002" s="26">
        <f>IF(T1002="","Chưa quyết định",IF(OR(Z1002="",AA1002=""),"⚠ Thiếu lý do/người duyệt",IF(AND(X1002&lt;&gt;"",N(X1002)+N(R1002)+N(S1002)&gt;M1002*1.001,R1002&lt;&gt;""),"⚠ Vượt mục tiêu P90",IF(AND(Y1002&lt;&gt;"",ABS(N(Y1002))&gt;0.3),"⚠ Lệch &gt; 30% so với nhu cầu",IF(Q1002="Có","ℹ Kiểm tra ngoại suy KM","✓ Hợp lệ")))))</f>
        <v/>
      </c>
    </row>
    <row r="1003">
      <c r="A1003" s="16" t="n">
        <v>999</v>
      </c>
      <c r="B1003" s="17" t="inlineStr">
        <is>
          <t>DEC-S10-CELEBRATION</t>
        </is>
      </c>
      <c r="C1003" s="16" t="n">
        <v>10</v>
      </c>
      <c r="D1003" s="17" t="inlineStr">
        <is>
          <t>CELEBRATION</t>
        </is>
      </c>
      <c r="E1003" s="17" t="inlineStr">
        <is>
          <t>HIGH</t>
        </is>
      </c>
      <c r="F1003" s="17" t="inlineStr">
        <is>
          <t>TRUNG BÌNH</t>
        </is>
      </c>
      <c r="G1003" s="18" t="inlineStr">
        <is>
          <t>RISK_HIGH · PROMO_EXTRAPOLATION</t>
        </is>
      </c>
      <c r="H1003" s="19" t="n">
        <v>4.666911265254021</v>
      </c>
      <c r="I1003" s="19" t="n">
        <v>30.93317978084088</v>
      </c>
      <c r="J1003" s="19" t="n">
        <v>116.2217035502195</v>
      </c>
      <c r="K1003" s="19" t="n">
        <v>30.93317978084088</v>
      </c>
      <c r="L1003" s="19" t="n">
        <v>84.23850713670252</v>
      </c>
      <c r="M1003" s="19" t="n">
        <v>116.2217035502195</v>
      </c>
      <c r="N1003" s="17" t="inlineStr">
        <is>
          <t>B</t>
        </is>
      </c>
      <c r="O1003" s="19" t="n">
        <v>59.49196331202982</v>
      </c>
      <c r="P1003" s="18" t="inlineStr">
        <is>
          <t>KHÔNG ĐỀ XUẤT TĂNG</t>
        </is>
      </c>
      <c r="Q1003" s="17" t="inlineStr">
        <is>
          <t>Có</t>
        </is>
      </c>
      <c r="R1003" s="20" t="n"/>
      <c r="S1003" s="20" t="n"/>
      <c r="T1003" s="21" t="n"/>
      <c r="U1003" s="21" t="n"/>
      <c r="V1003" s="22">
        <f>IF(U1003="A",K1003,IF(U1003="B",L1003,IF(U1003="C",M1003,IF(N1003="A",K1003,IF(N1003="B",L1003,M1003)))))</f>
        <v/>
      </c>
      <c r="W1003" s="22">
        <f>IF(R1003="",O1003,MAX(V1003-R1003-N(S1003),0))</f>
        <v/>
      </c>
      <c r="X1003" s="20" t="n"/>
      <c r="Y1003" s="23">
        <f>IF(OR(X1003="",W1003=0),"",X1003/W1003-1)</f>
        <v/>
      </c>
      <c r="Z1003" s="24" t="n"/>
      <c r="AA1003" s="21" t="n"/>
      <c r="AB1003" s="25" t="n"/>
      <c r="AC1003" s="26">
        <f>IF(T1003="","Chưa quyết định",IF(OR(Z1003="",AA1003=""),"⚠ Thiếu lý do/người duyệt",IF(AND(X1003&lt;&gt;"",N(X1003)+N(R1003)+N(S1003)&gt;M1003*1.001,R1003&lt;&gt;""),"⚠ Vượt mục tiêu P90",IF(AND(Y1003&lt;&gt;"",ABS(N(Y1003))&gt;0.3),"⚠ Lệch &gt; 30% so với nhu cầu",IF(Q1003="Có","ℹ Kiểm tra ngoại suy KM","✓ Hợp lệ")))))</f>
        <v/>
      </c>
    </row>
    <row r="1004">
      <c r="A1004" s="16" t="n">
        <v>1000</v>
      </c>
      <c r="B1004" s="17" t="inlineStr">
        <is>
          <t>DEC-S32-PLAYERS_AND_ELECTRONICS</t>
        </is>
      </c>
      <c r="C1004" s="16" t="n">
        <v>32</v>
      </c>
      <c r="D1004" s="17" t="inlineStr">
        <is>
          <t>PLAYERS AND ELECTRONICS</t>
        </is>
      </c>
      <c r="E1004" s="17" t="inlineStr">
        <is>
          <t>HIGH</t>
        </is>
      </c>
      <c r="F1004" s="17" t="inlineStr">
        <is>
          <t>TRUNG BÌNH</t>
        </is>
      </c>
      <c r="G1004" s="18" t="inlineStr">
        <is>
          <t>RISK_HIGH · PROMO_EXTRAPOLATION</t>
        </is>
      </c>
      <c r="H1004" s="19" t="n">
        <v>3.002685052156449</v>
      </c>
      <c r="I1004" s="19" t="n">
        <v>30.89388671517372</v>
      </c>
      <c r="J1004" s="19" t="n">
        <v>120.3579412043095</v>
      </c>
      <c r="K1004" s="19" t="n">
        <v>30.89388671517372</v>
      </c>
      <c r="L1004" s="19" t="n">
        <v>86.80892077088356</v>
      </c>
      <c r="M1004" s="19" t="n">
        <v>120.3579412043095</v>
      </c>
      <c r="N1004" s="17" t="inlineStr">
        <is>
          <t>B</t>
        </is>
      </c>
      <c r="O1004" s="19" t="n">
        <v>62.09381139874458</v>
      </c>
      <c r="P1004" s="18" t="inlineStr">
        <is>
          <t>KHÔNG ĐỀ XUẤT TĂNG</t>
        </is>
      </c>
      <c r="Q1004" s="17" t="inlineStr">
        <is>
          <t>Có</t>
        </is>
      </c>
      <c r="R1004" s="20" t="n"/>
      <c r="S1004" s="20" t="n"/>
      <c r="T1004" s="21" t="n"/>
      <c r="U1004" s="21" t="n"/>
      <c r="V1004" s="22">
        <f>IF(U1004="A",K1004,IF(U1004="B",L1004,IF(U1004="C",M1004,IF(N1004="A",K1004,IF(N1004="B",L1004,M1004)))))</f>
        <v/>
      </c>
      <c r="W1004" s="22">
        <f>IF(R1004="",O1004,MAX(V1004-R1004-N(S1004),0))</f>
        <v/>
      </c>
      <c r="X1004" s="20" t="n"/>
      <c r="Y1004" s="23">
        <f>IF(OR(X1004="",W1004=0),"",X1004/W1004-1)</f>
        <v/>
      </c>
      <c r="Z1004" s="24" t="n"/>
      <c r="AA1004" s="21" t="n"/>
      <c r="AB1004" s="25" t="n"/>
      <c r="AC1004" s="26">
        <f>IF(T1004="","Chưa quyết định",IF(OR(Z1004="",AA1004=""),"⚠ Thiếu lý do/người duyệt",IF(AND(X1004&lt;&gt;"",N(X1004)+N(R1004)+N(S1004)&gt;M1004*1.001,R1004&lt;&gt;""),"⚠ Vượt mục tiêu P90",IF(AND(Y1004&lt;&gt;"",ABS(N(Y1004))&gt;0.3),"⚠ Lệch &gt; 30% so với nhu cầu",IF(Q1004="Có","ℹ Kiểm tra ngoại suy KM","✓ Hợp lệ")))))</f>
        <v/>
      </c>
    </row>
    <row r="1005">
      <c r="A1005" s="16" t="n">
        <v>1001</v>
      </c>
      <c r="B1005" s="17" t="inlineStr">
        <is>
          <t>DEC-S15-SEAFOOD</t>
        </is>
      </c>
      <c r="C1005" s="16" t="n">
        <v>15</v>
      </c>
      <c r="D1005" s="17" t="inlineStr">
        <is>
          <t>SEAFOOD</t>
        </is>
      </c>
      <c r="E1005" s="17" t="inlineStr">
        <is>
          <t>HIGH</t>
        </is>
      </c>
      <c r="F1005" s="17" t="inlineStr">
        <is>
          <t>TRUNG BÌNH</t>
        </is>
      </c>
      <c r="G1005" s="18" t="inlineStr">
        <is>
          <t>RISK_HIGH · PROMO_EXTRAPOLATION</t>
        </is>
      </c>
      <c r="H1005" s="19" t="n">
        <v>11.58961347341537</v>
      </c>
      <c r="I1005" s="19" t="n">
        <v>30.75451313331723</v>
      </c>
      <c r="J1005" s="19" t="n">
        <v>108.3062931664288</v>
      </c>
      <c r="K1005" s="19" t="n">
        <v>30.75451313331723</v>
      </c>
      <c r="L1005" s="19" t="n">
        <v>79.22437565401196</v>
      </c>
      <c r="M1005" s="19" t="n">
        <v>108.3062931664288</v>
      </c>
      <c r="N1005" s="17" t="inlineStr">
        <is>
          <t>B</t>
        </is>
      </c>
      <c r="O1005" s="19" t="n">
        <v>54.62076514735818</v>
      </c>
      <c r="P1005" s="18" t="inlineStr">
        <is>
          <t>KHÔNG ĐỀ XUẤT TĂNG</t>
        </is>
      </c>
      <c r="Q1005" s="17" t="inlineStr">
        <is>
          <t>Có</t>
        </is>
      </c>
      <c r="R1005" s="20" t="n"/>
      <c r="S1005" s="20" t="n"/>
      <c r="T1005" s="21" t="n"/>
      <c r="U1005" s="21" t="n"/>
      <c r="V1005" s="22">
        <f>IF(U1005="A",K1005,IF(U1005="B",L1005,IF(U1005="C",M1005,IF(N1005="A",K1005,IF(N1005="B",L1005,M1005)))))</f>
        <v/>
      </c>
      <c r="W1005" s="22">
        <f>IF(R1005="",O1005,MAX(V1005-R1005-N(S1005),0))</f>
        <v/>
      </c>
      <c r="X1005" s="20" t="n"/>
      <c r="Y1005" s="23">
        <f>IF(OR(X1005="",W1005=0),"",X1005/W1005-1)</f>
        <v/>
      </c>
      <c r="Z1005" s="24" t="n"/>
      <c r="AA1005" s="21" t="n"/>
      <c r="AB1005" s="25" t="n"/>
      <c r="AC1005" s="26">
        <f>IF(T1005="","Chưa quyết định",IF(OR(Z1005="",AA1005=""),"⚠ Thiếu lý do/người duyệt",IF(AND(X1005&lt;&gt;"",N(X1005)+N(R1005)+N(S1005)&gt;M1005*1.001,R1005&lt;&gt;""),"⚠ Vượt mục tiêu P90",IF(AND(Y1005&lt;&gt;"",ABS(N(Y1005))&gt;0.3),"⚠ Lệch &gt; 30% so với nhu cầu",IF(Q1005="Có","ℹ Kiểm tra ngoại suy KM","✓ Hợp lệ")))))</f>
        <v/>
      </c>
    </row>
    <row r="1006">
      <c r="A1006" s="16" t="n">
        <v>1002</v>
      </c>
      <c r="B1006" s="17" t="inlineStr">
        <is>
          <t>DEC-S40-HOME_APPLIANCES</t>
        </is>
      </c>
      <c r="C1006" s="16" t="n">
        <v>40</v>
      </c>
      <c r="D1006" s="17" t="inlineStr">
        <is>
          <t>HOME APPLIANCES</t>
        </is>
      </c>
      <c r="E1006" s="17" t="inlineStr">
        <is>
          <t>HIGH</t>
        </is>
      </c>
      <c r="F1006" s="17" t="inlineStr">
        <is>
          <t>TRUNG BÌNH</t>
        </is>
      </c>
      <c r="G1006" s="18" t="inlineStr">
        <is>
          <t>RISK_HIGH · PROMO_EXTRAPOLATION</t>
        </is>
      </c>
      <c r="H1006" s="19" t="n">
        <v>2.692027431726456</v>
      </c>
      <c r="I1006" s="19" t="n">
        <v>30.74589993059635</v>
      </c>
      <c r="J1006" s="19" t="n">
        <v>120.2925950676203</v>
      </c>
      <c r="K1006" s="19" t="n">
        <v>30.74589993059635</v>
      </c>
      <c r="L1006" s="19" t="n">
        <v>86.71258439123631</v>
      </c>
      <c r="M1006" s="19" t="n">
        <v>120.2925950676203</v>
      </c>
      <c r="N1006" s="17" t="inlineStr">
        <is>
          <t>B</t>
        </is>
      </c>
      <c r="O1006" s="19" t="n">
        <v>62.11586444675922</v>
      </c>
      <c r="P1006" s="18" t="inlineStr">
        <is>
          <t>KHÔNG ĐỀ XUẤT TĂNG</t>
        </is>
      </c>
      <c r="Q1006" s="17" t="inlineStr">
        <is>
          <t>Có</t>
        </is>
      </c>
      <c r="R1006" s="20" t="n"/>
      <c r="S1006" s="20" t="n"/>
      <c r="T1006" s="21" t="n"/>
      <c r="U1006" s="21" t="n"/>
      <c r="V1006" s="22">
        <f>IF(U1006="A",K1006,IF(U1006="B",L1006,IF(U1006="C",M1006,IF(N1006="A",K1006,IF(N1006="B",L1006,M1006)))))</f>
        <v/>
      </c>
      <c r="W1006" s="22">
        <f>IF(R1006="",O1006,MAX(V1006-R1006-N(S1006),0))</f>
        <v/>
      </c>
      <c r="X1006" s="20" t="n"/>
      <c r="Y1006" s="23">
        <f>IF(OR(X1006="",W1006=0),"",X1006/W1006-1)</f>
        <v/>
      </c>
      <c r="Z1006" s="24" t="n"/>
      <c r="AA1006" s="21" t="n"/>
      <c r="AB1006" s="25" t="n"/>
      <c r="AC1006" s="26">
        <f>IF(T1006="","Chưa quyết định",IF(OR(Z1006="",AA1006=""),"⚠ Thiếu lý do/người duyệt",IF(AND(X1006&lt;&gt;"",N(X1006)+N(R1006)+N(S1006)&gt;M1006*1.001,R1006&lt;&gt;""),"⚠ Vượt mục tiêu P90",IF(AND(Y1006&lt;&gt;"",ABS(N(Y1006))&gt;0.3),"⚠ Lệch &gt; 30% so với nhu cầu",IF(Q1006="Có","ℹ Kiểm tra ngoại suy KM","✓ Hợp lệ")))))</f>
        <v/>
      </c>
    </row>
    <row r="1007">
      <c r="A1007" s="16" t="n">
        <v>1003</v>
      </c>
      <c r="B1007" s="17" t="inlineStr">
        <is>
          <t>DEC-S02-HARDWARE</t>
        </is>
      </c>
      <c r="C1007" s="16" t="n">
        <v>2</v>
      </c>
      <c r="D1007" s="17" t="inlineStr">
        <is>
          <t>HARDWARE</t>
        </is>
      </c>
      <c r="E1007" s="17" t="inlineStr">
        <is>
          <t>HIGH</t>
        </is>
      </c>
      <c r="F1007" s="17" t="inlineStr">
        <is>
          <t>TRUNG BÌNH</t>
        </is>
      </c>
      <c r="G1007" s="18" t="inlineStr">
        <is>
          <t>RISK_HIGH · PROMO_EXTRAPOLATION</t>
        </is>
      </c>
      <c r="H1007" s="19" t="n">
        <v>4.309912830591202</v>
      </c>
      <c r="I1007" s="19" t="n">
        <v>30.73920187354088</v>
      </c>
      <c r="J1007" s="19" t="n">
        <v>116.0277256429195</v>
      </c>
      <c r="K1007" s="19" t="n">
        <v>30.73920187354088</v>
      </c>
      <c r="L1007" s="19" t="n">
        <v>84.04452922940253</v>
      </c>
      <c r="M1007" s="19" t="n">
        <v>116.0277256429195</v>
      </c>
      <c r="N1007" s="17" t="inlineStr">
        <is>
          <t>B</t>
        </is>
      </c>
      <c r="O1007" s="19" t="n">
        <v>59.45316773056982</v>
      </c>
      <c r="P1007" s="18" t="inlineStr">
        <is>
          <t>KHÔNG ĐỀ XUẤT TĂNG</t>
        </is>
      </c>
      <c r="Q1007" s="17" t="inlineStr">
        <is>
          <t>Có</t>
        </is>
      </c>
      <c r="R1007" s="20" t="n"/>
      <c r="S1007" s="20" t="n"/>
      <c r="T1007" s="21" t="n"/>
      <c r="U1007" s="21" t="n"/>
      <c r="V1007" s="22">
        <f>IF(U1007="A",K1007,IF(U1007="B",L1007,IF(U1007="C",M1007,IF(N1007="A",K1007,IF(N1007="B",L1007,M1007)))))</f>
        <v/>
      </c>
      <c r="W1007" s="22">
        <f>IF(R1007="",O1007,MAX(V1007-R1007-N(S1007),0))</f>
        <v/>
      </c>
      <c r="X1007" s="20" t="n"/>
      <c r="Y1007" s="23">
        <f>IF(OR(X1007="",W1007=0),"",X1007/W1007-1)</f>
        <v/>
      </c>
      <c r="Z1007" s="24" t="n"/>
      <c r="AA1007" s="21" t="n"/>
      <c r="AB1007" s="25" t="n"/>
      <c r="AC1007" s="26">
        <f>IF(T1007="","Chưa quyết định",IF(OR(Z1007="",AA1007=""),"⚠ Thiếu lý do/người duyệt",IF(AND(X1007&lt;&gt;"",N(X1007)+N(R1007)+N(S1007)&gt;M1007*1.001,R1007&lt;&gt;""),"⚠ Vượt mục tiêu P90",IF(AND(Y1007&lt;&gt;"",ABS(N(Y1007))&gt;0.3),"⚠ Lệch &gt; 30% so với nhu cầu",IF(Q1007="Có","ℹ Kiểm tra ngoại suy KM","✓ Hợp lệ")))))</f>
        <v/>
      </c>
    </row>
    <row r="1008">
      <c r="A1008" s="16" t="n">
        <v>1004</v>
      </c>
      <c r="B1008" s="17" t="inlineStr">
        <is>
          <t>DEC-S29-HARDWARE</t>
        </is>
      </c>
      <c r="C1008" s="16" t="n">
        <v>29</v>
      </c>
      <c r="D1008" s="17" t="inlineStr">
        <is>
          <t>HARDWARE</t>
        </is>
      </c>
      <c r="E1008" s="17" t="inlineStr">
        <is>
          <t>HIGH</t>
        </is>
      </c>
      <c r="F1008" s="17" t="inlineStr">
        <is>
          <t>TRUNG BÌNH</t>
        </is>
      </c>
      <c r="G1008" s="18" t="inlineStr">
        <is>
          <t>RISK_HIGH · PROMO_EXTRAPOLATION</t>
        </is>
      </c>
      <c r="H1008" s="19" t="n">
        <v>3.010773259401321</v>
      </c>
      <c r="I1008" s="19" t="n">
        <v>30.72731098532677</v>
      </c>
      <c r="J1008" s="19" t="n">
        <v>118.4047867715359</v>
      </c>
      <c r="K1008" s="19" t="n">
        <v>30.72731098532677</v>
      </c>
      <c r="L1008" s="19" t="n">
        <v>85.52573335170746</v>
      </c>
      <c r="M1008" s="19" t="n">
        <v>118.4047867715359</v>
      </c>
      <c r="N1008" s="17" t="inlineStr">
        <is>
          <t>B</t>
        </is>
      </c>
      <c r="O1008" s="19" t="n">
        <v>60.94388456344605</v>
      </c>
      <c r="P1008" s="18" t="inlineStr">
        <is>
          <t>KHÔNG ĐỀ XUẤT TĂNG</t>
        </is>
      </c>
      <c r="Q1008" s="17" t="inlineStr">
        <is>
          <t>Có</t>
        </is>
      </c>
      <c r="R1008" s="20" t="n"/>
      <c r="S1008" s="20" t="n"/>
      <c r="T1008" s="21" t="n"/>
      <c r="U1008" s="21" t="n"/>
      <c r="V1008" s="22">
        <f>IF(U1008="A",K1008,IF(U1008="B",L1008,IF(U1008="C",M1008,IF(N1008="A",K1008,IF(N1008="B",L1008,M1008)))))</f>
        <v/>
      </c>
      <c r="W1008" s="22">
        <f>IF(R1008="",O1008,MAX(V1008-R1008-N(S1008),0))</f>
        <v/>
      </c>
      <c r="X1008" s="20" t="n"/>
      <c r="Y1008" s="23">
        <f>IF(OR(X1008="",W1008=0),"",X1008/W1008-1)</f>
        <v/>
      </c>
      <c r="Z1008" s="24" t="n"/>
      <c r="AA1008" s="21" t="n"/>
      <c r="AB1008" s="25" t="n"/>
      <c r="AC1008" s="26">
        <f>IF(T1008="","Chưa quyết định",IF(OR(Z1008="",AA1008=""),"⚠ Thiếu lý do/người duyệt",IF(AND(X1008&lt;&gt;"",N(X1008)+N(R1008)+N(S1008)&gt;M1008*1.001,R1008&lt;&gt;""),"⚠ Vượt mục tiêu P90",IF(AND(Y1008&lt;&gt;"",ABS(N(Y1008))&gt;0.3),"⚠ Lệch &gt; 30% so với nhu cầu",IF(Q1008="Có","ℹ Kiểm tra ngoại suy KM","✓ Hợp lệ")))))</f>
        <v/>
      </c>
    </row>
    <row r="1009">
      <c r="A1009" s="16" t="n">
        <v>1005</v>
      </c>
      <c r="B1009" s="17" t="inlineStr">
        <is>
          <t>DEC-S20-BOOKS</t>
        </is>
      </c>
      <c r="C1009" s="16" t="n">
        <v>20</v>
      </c>
      <c r="D1009" s="17" t="inlineStr">
        <is>
          <t>BOOKS</t>
        </is>
      </c>
      <c r="E1009" s="17" t="inlineStr">
        <is>
          <t>HIGH</t>
        </is>
      </c>
      <c r="F1009" s="17" t="inlineStr">
        <is>
          <t>TRUNG BÌNH</t>
        </is>
      </c>
      <c r="G1009" s="18" t="inlineStr">
        <is>
          <t>RISK_HIGH · PROMO_EXTRAPOLATION</t>
        </is>
      </c>
      <c r="H1009" s="19" t="n">
        <v>3.634591454267502</v>
      </c>
      <c r="I1009" s="19" t="n">
        <v>30.60357441008091</v>
      </c>
      <c r="J1009" s="19" t="n">
        <v>118.0211838632822</v>
      </c>
      <c r="K1009" s="19" t="n">
        <v>30.60357441008091</v>
      </c>
      <c r="L1009" s="19" t="n">
        <v>85.23958031833172</v>
      </c>
      <c r="M1009" s="19" t="n">
        <v>118.0211838632822</v>
      </c>
      <c r="N1009" s="17" t="inlineStr">
        <is>
          <t>B</t>
        </is>
      </c>
      <c r="O1009" s="19" t="n">
        <v>60.75672079026699</v>
      </c>
      <c r="P1009" s="18" t="inlineStr">
        <is>
          <t>KHÔNG ĐỀ XUẤT TĂNG</t>
        </is>
      </c>
      <c r="Q1009" s="17" t="inlineStr">
        <is>
          <t>Có</t>
        </is>
      </c>
      <c r="R1009" s="20" t="n"/>
      <c r="S1009" s="20" t="n"/>
      <c r="T1009" s="21" t="n"/>
      <c r="U1009" s="21" t="n"/>
      <c r="V1009" s="22">
        <f>IF(U1009="A",K1009,IF(U1009="B",L1009,IF(U1009="C",M1009,IF(N1009="A",K1009,IF(N1009="B",L1009,M1009)))))</f>
        <v/>
      </c>
      <c r="W1009" s="22">
        <f>IF(R1009="",O1009,MAX(V1009-R1009-N(S1009),0))</f>
        <v/>
      </c>
      <c r="X1009" s="20" t="n"/>
      <c r="Y1009" s="23">
        <f>IF(OR(X1009="",W1009=0),"",X1009/W1009-1)</f>
        <v/>
      </c>
      <c r="Z1009" s="24" t="n"/>
      <c r="AA1009" s="21" t="n"/>
      <c r="AB1009" s="25" t="n"/>
      <c r="AC1009" s="26">
        <f>IF(T1009="","Chưa quyết định",IF(OR(Z1009="",AA1009=""),"⚠ Thiếu lý do/người duyệt",IF(AND(X1009&lt;&gt;"",N(X1009)+N(R1009)+N(S1009)&gt;M1009*1.001,R1009&lt;&gt;""),"⚠ Vượt mục tiêu P90",IF(AND(Y1009&lt;&gt;"",ABS(N(Y1009))&gt;0.3),"⚠ Lệch &gt; 30% so với nhu cầu",IF(Q1009="Có","ℹ Kiểm tra ngoại suy KM","✓ Hợp lệ")))))</f>
        <v/>
      </c>
    </row>
    <row r="1010">
      <c r="A1010" s="16" t="n">
        <v>1006</v>
      </c>
      <c r="B1010" s="17" t="inlineStr">
        <is>
          <t>DEC-S38-HOME_APPLIANCES</t>
        </is>
      </c>
      <c r="C1010" s="16" t="n">
        <v>38</v>
      </c>
      <c r="D1010" s="17" t="inlineStr">
        <is>
          <t>HOME APPLIANCES</t>
        </is>
      </c>
      <c r="E1010" s="17" t="inlineStr">
        <is>
          <t>HIGH</t>
        </is>
      </c>
      <c r="F1010" s="17" t="inlineStr">
        <is>
          <t>TRUNG BÌNH</t>
        </is>
      </c>
      <c r="G1010" s="18" t="inlineStr">
        <is>
          <t>RISK_HIGH · PROMO_EXTRAPOLATION</t>
        </is>
      </c>
      <c r="H1010" s="19" t="n">
        <v>5.042823269963264</v>
      </c>
      <c r="I1010" s="19" t="n">
        <v>30.39538993313909</v>
      </c>
      <c r="J1010" s="19" t="n">
        <v>115.6839137025177</v>
      </c>
      <c r="K1010" s="19" t="n">
        <v>30.39538993313909</v>
      </c>
      <c r="L1010" s="19" t="n">
        <v>83.70071728900075</v>
      </c>
      <c r="M1010" s="19" t="n">
        <v>115.6839137025177</v>
      </c>
      <c r="N1010" s="17" t="inlineStr">
        <is>
          <t>B</t>
        </is>
      </c>
      <c r="O1010" s="19" t="n">
        <v>59.38440534248948</v>
      </c>
      <c r="P1010" s="18" t="inlineStr">
        <is>
          <t>KHÔNG ĐỀ XUẤT TĂNG</t>
        </is>
      </c>
      <c r="Q1010" s="17" t="inlineStr">
        <is>
          <t>Có</t>
        </is>
      </c>
      <c r="R1010" s="20" t="n"/>
      <c r="S1010" s="20" t="n"/>
      <c r="T1010" s="21" t="n"/>
      <c r="U1010" s="21" t="n"/>
      <c r="V1010" s="22">
        <f>IF(U1010="A",K1010,IF(U1010="B",L1010,IF(U1010="C",M1010,IF(N1010="A",K1010,IF(N1010="B",L1010,M1010)))))</f>
        <v/>
      </c>
      <c r="W1010" s="22">
        <f>IF(R1010="",O1010,MAX(V1010-R1010-N(S1010),0))</f>
        <v/>
      </c>
      <c r="X1010" s="20" t="n"/>
      <c r="Y1010" s="23">
        <f>IF(OR(X1010="",W1010=0),"",X1010/W1010-1)</f>
        <v/>
      </c>
      <c r="Z1010" s="24" t="n"/>
      <c r="AA1010" s="21" t="n"/>
      <c r="AB1010" s="25" t="n"/>
      <c r="AC1010" s="26">
        <f>IF(T1010="","Chưa quyết định",IF(OR(Z1010="",AA1010=""),"⚠ Thiếu lý do/người duyệt",IF(AND(X1010&lt;&gt;"",N(X1010)+N(R1010)+N(S1010)&gt;M1010*1.001,R1010&lt;&gt;""),"⚠ Vượt mục tiêu P90",IF(AND(Y1010&lt;&gt;"",ABS(N(Y1010))&gt;0.3),"⚠ Lệch &gt; 30% so với nhu cầu",IF(Q1010="Có","ℹ Kiểm tra ngoại suy KM","✓ Hợp lệ")))))</f>
        <v/>
      </c>
    </row>
    <row r="1011">
      <c r="A1011" s="16" t="n">
        <v>1007</v>
      </c>
      <c r="B1011" s="17" t="inlineStr">
        <is>
          <t>DEC-S40-BOOKS</t>
        </is>
      </c>
      <c r="C1011" s="16" t="n">
        <v>40</v>
      </c>
      <c r="D1011" s="17" t="inlineStr">
        <is>
          <t>BOOKS</t>
        </is>
      </c>
      <c r="E1011" s="17" t="inlineStr">
        <is>
          <t>HIGH</t>
        </is>
      </c>
      <c r="F1011" s="17" t="inlineStr">
        <is>
          <t>TRUNG BÌNH</t>
        </is>
      </c>
      <c r="G1011" s="18" t="inlineStr">
        <is>
          <t>RISK_HIGH · PROMO_EXTRAPOLATION</t>
        </is>
      </c>
      <c r="H1011" s="19" t="n">
        <v>3.19346176981926</v>
      </c>
      <c r="I1011" s="19" t="n">
        <v>30.27007280662656</v>
      </c>
      <c r="J1011" s="19" t="n">
        <v>117.6876822598278</v>
      </c>
      <c r="K1011" s="19" t="n">
        <v>30.27007280662656</v>
      </c>
      <c r="L1011" s="19" t="n">
        <v>84.90607871487735</v>
      </c>
      <c r="M1011" s="19" t="n">
        <v>117.6876822598278</v>
      </c>
      <c r="N1011" s="17" t="inlineStr">
        <is>
          <t>B</t>
        </is>
      </c>
      <c r="O1011" s="19" t="n">
        <v>60.6900204695761</v>
      </c>
      <c r="P1011" s="18" t="inlineStr">
        <is>
          <t>KHÔNG ĐỀ XUẤT TĂNG</t>
        </is>
      </c>
      <c r="Q1011" s="17" t="inlineStr">
        <is>
          <t>Có</t>
        </is>
      </c>
      <c r="R1011" s="20" t="n"/>
      <c r="S1011" s="20" t="n"/>
      <c r="T1011" s="21" t="n"/>
      <c r="U1011" s="21" t="n"/>
      <c r="V1011" s="22">
        <f>IF(U1011="A",K1011,IF(U1011="B",L1011,IF(U1011="C",M1011,IF(N1011="A",K1011,IF(N1011="B",L1011,M1011)))))</f>
        <v/>
      </c>
      <c r="W1011" s="22">
        <f>IF(R1011="",O1011,MAX(V1011-R1011-N(S1011),0))</f>
        <v/>
      </c>
      <c r="X1011" s="20" t="n"/>
      <c r="Y1011" s="23">
        <f>IF(OR(X1011="",W1011=0),"",X1011/W1011-1)</f>
        <v/>
      </c>
      <c r="Z1011" s="24" t="n"/>
      <c r="AA1011" s="21" t="n"/>
      <c r="AB1011" s="25" t="n"/>
      <c r="AC1011" s="26">
        <f>IF(T1011="","Chưa quyết định",IF(OR(Z1011="",AA1011=""),"⚠ Thiếu lý do/người duyệt",IF(AND(X1011&lt;&gt;"",N(X1011)+N(R1011)+N(S1011)&gt;M1011*1.001,R1011&lt;&gt;""),"⚠ Vượt mục tiêu P90",IF(AND(Y1011&lt;&gt;"",ABS(N(Y1011))&gt;0.3),"⚠ Lệch &gt; 30% so với nhu cầu",IF(Q1011="Có","ℹ Kiểm tra ngoại suy KM","✓ Hợp lệ")))))</f>
        <v/>
      </c>
    </row>
    <row r="1012">
      <c r="A1012" s="16" t="n">
        <v>1008</v>
      </c>
      <c r="B1012" s="17" t="inlineStr">
        <is>
          <t>DEC-S37-BABY_CARE</t>
        </is>
      </c>
      <c r="C1012" s="16" t="n">
        <v>37</v>
      </c>
      <c r="D1012" s="17" t="inlineStr">
        <is>
          <t>BABY CARE</t>
        </is>
      </c>
      <c r="E1012" s="17" t="inlineStr">
        <is>
          <t>HIGH</t>
        </is>
      </c>
      <c r="F1012" s="17" t="inlineStr">
        <is>
          <t>TRUNG BÌNH</t>
        </is>
      </c>
      <c r="G1012" s="18" t="inlineStr">
        <is>
          <t>RISK_HIGH · PROMO_EXTRAPOLATION</t>
        </is>
      </c>
      <c r="H1012" s="19" t="n">
        <v>3.799007320404053</v>
      </c>
      <c r="I1012" s="19" t="n">
        <v>30.23428122699261</v>
      </c>
      <c r="J1012" s="19" t="n">
        <v>117.6518906801939</v>
      </c>
      <c r="K1012" s="19" t="n">
        <v>30.23428122699261</v>
      </c>
      <c r="L1012" s="19" t="n">
        <v>84.87028713524342</v>
      </c>
      <c r="M1012" s="19" t="n">
        <v>117.6518906801939</v>
      </c>
      <c r="N1012" s="17" t="inlineStr">
        <is>
          <t>B</t>
        </is>
      </c>
      <c r="O1012" s="19" t="n">
        <v>60.68286215364932</v>
      </c>
      <c r="P1012" s="18" t="inlineStr">
        <is>
          <t>KHÔNG ĐỀ XUẤT TĂNG</t>
        </is>
      </c>
      <c r="Q1012" s="17" t="inlineStr">
        <is>
          <t>Có</t>
        </is>
      </c>
      <c r="R1012" s="20" t="n"/>
      <c r="S1012" s="20" t="n"/>
      <c r="T1012" s="21" t="n"/>
      <c r="U1012" s="21" t="n"/>
      <c r="V1012" s="22">
        <f>IF(U1012="A",K1012,IF(U1012="B",L1012,IF(U1012="C",M1012,IF(N1012="A",K1012,IF(N1012="B",L1012,M1012)))))</f>
        <v/>
      </c>
      <c r="W1012" s="22">
        <f>IF(R1012="",O1012,MAX(V1012-R1012-N(S1012),0))</f>
        <v/>
      </c>
      <c r="X1012" s="20" t="n"/>
      <c r="Y1012" s="23">
        <f>IF(OR(X1012="",W1012=0),"",X1012/W1012-1)</f>
        <v/>
      </c>
      <c r="Z1012" s="24" t="n"/>
      <c r="AA1012" s="21" t="n"/>
      <c r="AB1012" s="25" t="n"/>
      <c r="AC1012" s="26">
        <f>IF(T1012="","Chưa quyết định",IF(OR(Z1012="",AA1012=""),"⚠ Thiếu lý do/người duyệt",IF(AND(X1012&lt;&gt;"",N(X1012)+N(R1012)+N(S1012)&gt;M1012*1.001,R1012&lt;&gt;""),"⚠ Vượt mục tiêu P90",IF(AND(Y1012&lt;&gt;"",ABS(N(Y1012))&gt;0.3),"⚠ Lệch &gt; 30% so với nhu cầu",IF(Q1012="Có","ℹ Kiểm tra ngoại suy KM","✓ Hợp lệ")))))</f>
        <v/>
      </c>
    </row>
    <row r="1013">
      <c r="A1013" s="16" t="n">
        <v>1009</v>
      </c>
      <c r="B1013" s="17" t="inlineStr">
        <is>
          <t>DEC-S37-BOOKS</t>
        </is>
      </c>
      <c r="C1013" s="16" t="n">
        <v>37</v>
      </c>
      <c r="D1013" s="17" t="inlineStr">
        <is>
          <t>BOOKS</t>
        </is>
      </c>
      <c r="E1013" s="17" t="inlineStr">
        <is>
          <t>HIGH</t>
        </is>
      </c>
      <c r="F1013" s="17" t="inlineStr">
        <is>
          <t>TRUNG BÌNH</t>
        </is>
      </c>
      <c r="G1013" s="18" t="inlineStr">
        <is>
          <t>RISK_HIGH · PROMO_EXTRAPOLATION</t>
        </is>
      </c>
      <c r="H1013" s="19" t="n">
        <v>3.799007320404053</v>
      </c>
      <c r="I1013" s="19" t="n">
        <v>30.23428122699261</v>
      </c>
      <c r="J1013" s="19" t="n">
        <v>117.6518906801939</v>
      </c>
      <c r="K1013" s="19" t="n">
        <v>30.23428122699261</v>
      </c>
      <c r="L1013" s="19" t="n">
        <v>84.87028713524342</v>
      </c>
      <c r="M1013" s="19" t="n">
        <v>117.6518906801939</v>
      </c>
      <c r="N1013" s="17" t="inlineStr">
        <is>
          <t>B</t>
        </is>
      </c>
      <c r="O1013" s="19" t="n">
        <v>60.68286215364932</v>
      </c>
      <c r="P1013" s="18" t="inlineStr">
        <is>
          <t>KHÔNG ĐỀ XUẤT TĂNG</t>
        </is>
      </c>
      <c r="Q1013" s="17" t="inlineStr">
        <is>
          <t>Có</t>
        </is>
      </c>
      <c r="R1013" s="20" t="n"/>
      <c r="S1013" s="20" t="n"/>
      <c r="T1013" s="21" t="n"/>
      <c r="U1013" s="21" t="n"/>
      <c r="V1013" s="22">
        <f>IF(U1013="A",K1013,IF(U1013="B",L1013,IF(U1013="C",M1013,IF(N1013="A",K1013,IF(N1013="B",L1013,M1013)))))</f>
        <v/>
      </c>
      <c r="W1013" s="22">
        <f>IF(R1013="",O1013,MAX(V1013-R1013-N(S1013),0))</f>
        <v/>
      </c>
      <c r="X1013" s="20" t="n"/>
      <c r="Y1013" s="23">
        <f>IF(OR(X1013="",W1013=0),"",X1013/W1013-1)</f>
        <v/>
      </c>
      <c r="Z1013" s="24" t="n"/>
      <c r="AA1013" s="21" t="n"/>
      <c r="AB1013" s="25" t="n"/>
      <c r="AC1013" s="26">
        <f>IF(T1013="","Chưa quyết định",IF(OR(Z1013="",AA1013=""),"⚠ Thiếu lý do/người duyệt",IF(AND(X1013&lt;&gt;"",N(X1013)+N(R1013)+N(S1013)&gt;M1013*1.001,R1013&lt;&gt;""),"⚠ Vượt mục tiêu P90",IF(AND(Y1013&lt;&gt;"",ABS(N(Y1013))&gt;0.3),"⚠ Lệch &gt; 30% so với nhu cầu",IF(Q1013="Có","ℹ Kiểm tra ngoại suy KM","✓ Hợp lệ")))))</f>
        <v/>
      </c>
    </row>
    <row r="1014">
      <c r="A1014" s="16" t="n">
        <v>1010</v>
      </c>
      <c r="B1014" s="17" t="inlineStr">
        <is>
          <t>DEC-S48-BABY_CARE</t>
        </is>
      </c>
      <c r="C1014" s="16" t="n">
        <v>48</v>
      </c>
      <c r="D1014" s="17" t="inlineStr">
        <is>
          <t>BABY CARE</t>
        </is>
      </c>
      <c r="E1014" s="17" t="inlineStr">
        <is>
          <t>HIGH</t>
        </is>
      </c>
      <c r="F1014" s="17" t="inlineStr">
        <is>
          <t>TRUNG BÌNH</t>
        </is>
      </c>
      <c r="G1014" s="18" t="inlineStr">
        <is>
          <t>RISK_HIGH · PROMO_EXTRAPOLATION</t>
        </is>
      </c>
      <c r="H1014" s="19" t="n">
        <v>5.035253202915191</v>
      </c>
      <c r="I1014" s="19" t="n">
        <v>30.18371974676847</v>
      </c>
      <c r="J1014" s="19" t="n">
        <v>115.4722435161471</v>
      </c>
      <c r="K1014" s="19" t="n">
        <v>30.18371974676847</v>
      </c>
      <c r="L1014" s="19" t="n">
        <v>83.48904710263012</v>
      </c>
      <c r="M1014" s="19" t="n">
        <v>115.4722435161471</v>
      </c>
      <c r="N1014" s="17" t="inlineStr">
        <is>
          <t>B</t>
        </is>
      </c>
      <c r="O1014" s="19" t="n">
        <v>59.34207130521534</v>
      </c>
      <c r="P1014" s="18" t="inlineStr">
        <is>
          <t>KHÔNG ĐỀ XUẤT TĂNG</t>
        </is>
      </c>
      <c r="Q1014" s="17" t="inlineStr">
        <is>
          <t>Có</t>
        </is>
      </c>
      <c r="R1014" s="20" t="n"/>
      <c r="S1014" s="20" t="n"/>
      <c r="T1014" s="21" t="n"/>
      <c r="U1014" s="21" t="n"/>
      <c r="V1014" s="22">
        <f>IF(U1014="A",K1014,IF(U1014="B",L1014,IF(U1014="C",M1014,IF(N1014="A",K1014,IF(N1014="B",L1014,M1014)))))</f>
        <v/>
      </c>
      <c r="W1014" s="22">
        <f>IF(R1014="",O1014,MAX(V1014-R1014-N(S1014),0))</f>
        <v/>
      </c>
      <c r="X1014" s="20" t="n"/>
      <c r="Y1014" s="23">
        <f>IF(OR(X1014="",W1014=0),"",X1014/W1014-1)</f>
        <v/>
      </c>
      <c r="Z1014" s="24" t="n"/>
      <c r="AA1014" s="21" t="n"/>
      <c r="AB1014" s="25" t="n"/>
      <c r="AC1014" s="26">
        <f>IF(T1014="","Chưa quyết định",IF(OR(Z1014="",AA1014=""),"⚠ Thiếu lý do/người duyệt",IF(AND(X1014&lt;&gt;"",N(X1014)+N(R1014)+N(S1014)&gt;M1014*1.001,R1014&lt;&gt;""),"⚠ Vượt mục tiêu P90",IF(AND(Y1014&lt;&gt;"",ABS(N(Y1014))&gt;0.3),"⚠ Lệch &gt; 30% so với nhu cầu",IF(Q1014="Có","ℹ Kiểm tra ngoại suy KM","✓ Hợp lệ")))))</f>
        <v/>
      </c>
    </row>
    <row r="1015">
      <c r="A1015" s="16" t="n">
        <v>1011</v>
      </c>
      <c r="B1015" s="17" t="inlineStr">
        <is>
          <t>DEC-S48-BOOKS</t>
        </is>
      </c>
      <c r="C1015" s="16" t="n">
        <v>48</v>
      </c>
      <c r="D1015" s="17" t="inlineStr">
        <is>
          <t>BOOKS</t>
        </is>
      </c>
      <c r="E1015" s="17" t="inlineStr">
        <is>
          <t>HIGH</t>
        </is>
      </c>
      <c r="F1015" s="17" t="inlineStr">
        <is>
          <t>TRUNG BÌNH</t>
        </is>
      </c>
      <c r="G1015" s="18" t="inlineStr">
        <is>
          <t>RISK_HIGH · PROMO_EXTRAPOLATION</t>
        </is>
      </c>
      <c r="H1015" s="19" t="n">
        <v>5.035253202915191</v>
      </c>
      <c r="I1015" s="19" t="n">
        <v>30.18371974676847</v>
      </c>
      <c r="J1015" s="19" t="n">
        <v>115.4722435161471</v>
      </c>
      <c r="K1015" s="19" t="n">
        <v>30.18371974676847</v>
      </c>
      <c r="L1015" s="19" t="n">
        <v>83.48904710263012</v>
      </c>
      <c r="M1015" s="19" t="n">
        <v>115.4722435161471</v>
      </c>
      <c r="N1015" s="17" t="inlineStr">
        <is>
          <t>B</t>
        </is>
      </c>
      <c r="O1015" s="19" t="n">
        <v>59.34207130521534</v>
      </c>
      <c r="P1015" s="18" t="inlineStr">
        <is>
          <t>KHÔNG ĐỀ XUẤT TĂNG</t>
        </is>
      </c>
      <c r="Q1015" s="17" t="inlineStr">
        <is>
          <t>Có</t>
        </is>
      </c>
      <c r="R1015" s="20" t="n"/>
      <c r="S1015" s="20" t="n"/>
      <c r="T1015" s="21" t="n"/>
      <c r="U1015" s="21" t="n"/>
      <c r="V1015" s="22">
        <f>IF(U1015="A",K1015,IF(U1015="B",L1015,IF(U1015="C",M1015,IF(N1015="A",K1015,IF(N1015="B",L1015,M1015)))))</f>
        <v/>
      </c>
      <c r="W1015" s="22">
        <f>IF(R1015="",O1015,MAX(V1015-R1015-N(S1015),0))</f>
        <v/>
      </c>
      <c r="X1015" s="20" t="n"/>
      <c r="Y1015" s="23">
        <f>IF(OR(X1015="",W1015=0),"",X1015/W1015-1)</f>
        <v/>
      </c>
      <c r="Z1015" s="24" t="n"/>
      <c r="AA1015" s="21" t="n"/>
      <c r="AB1015" s="25" t="n"/>
      <c r="AC1015" s="26">
        <f>IF(T1015="","Chưa quyết định",IF(OR(Z1015="",AA1015=""),"⚠ Thiếu lý do/người duyệt",IF(AND(X1015&lt;&gt;"",N(X1015)+N(R1015)+N(S1015)&gt;M1015*1.001,R1015&lt;&gt;""),"⚠ Vượt mục tiêu P90",IF(AND(Y1015&lt;&gt;"",ABS(N(Y1015))&gt;0.3),"⚠ Lệch &gt; 30% so với nhu cầu",IF(Q1015="Có","ℹ Kiểm tra ngoại suy KM","✓ Hợp lệ")))))</f>
        <v/>
      </c>
    </row>
    <row r="1016">
      <c r="A1016" s="16" t="n">
        <v>1012</v>
      </c>
      <c r="B1016" s="17" t="inlineStr">
        <is>
          <t>DEC-S42-HARDWARE</t>
        </is>
      </c>
      <c r="C1016" s="16" t="n">
        <v>42</v>
      </c>
      <c r="D1016" s="17" t="inlineStr">
        <is>
          <t>HARDWARE</t>
        </is>
      </c>
      <c r="E1016" s="17" t="inlineStr">
        <is>
          <t>HIGH</t>
        </is>
      </c>
      <c r="F1016" s="17" t="inlineStr">
        <is>
          <t>TRUNG BÌNH</t>
        </is>
      </c>
      <c r="G1016" s="18" t="inlineStr">
        <is>
          <t>RISK_HIGH · PROMO_EXTRAPOLATION</t>
        </is>
      </c>
      <c r="H1016" s="19" t="n">
        <v>2.50031543970108</v>
      </c>
      <c r="I1016" s="19" t="n">
        <v>30.07058940827847</v>
      </c>
      <c r="J1016" s="19" t="n">
        <v>117.4881988614798</v>
      </c>
      <c r="K1016" s="19" t="n">
        <v>30.07058940827847</v>
      </c>
      <c r="L1016" s="19" t="n">
        <v>84.70659531652927</v>
      </c>
      <c r="M1016" s="19" t="n">
        <v>117.4881988614798</v>
      </c>
      <c r="N1016" s="17" t="inlineStr">
        <is>
          <t>B</t>
        </is>
      </c>
      <c r="O1016" s="19" t="n">
        <v>60.6501237899065</v>
      </c>
      <c r="P1016" s="18" t="inlineStr">
        <is>
          <t>KHÔNG ĐỀ XUẤT TĂNG</t>
        </is>
      </c>
      <c r="Q1016" s="17" t="inlineStr">
        <is>
          <t>Có</t>
        </is>
      </c>
      <c r="R1016" s="20" t="n"/>
      <c r="S1016" s="20" t="n"/>
      <c r="T1016" s="21" t="n"/>
      <c r="U1016" s="21" t="n"/>
      <c r="V1016" s="22">
        <f>IF(U1016="A",K1016,IF(U1016="B",L1016,IF(U1016="C",M1016,IF(N1016="A",K1016,IF(N1016="B",L1016,M1016)))))</f>
        <v/>
      </c>
      <c r="W1016" s="22">
        <f>IF(R1016="",O1016,MAX(V1016-R1016-N(S1016),0))</f>
        <v/>
      </c>
      <c r="X1016" s="20" t="n"/>
      <c r="Y1016" s="23">
        <f>IF(OR(X1016="",W1016=0),"",X1016/W1016-1)</f>
        <v/>
      </c>
      <c r="Z1016" s="24" t="n"/>
      <c r="AA1016" s="21" t="n"/>
      <c r="AB1016" s="25" t="n"/>
      <c r="AC1016" s="26">
        <f>IF(T1016="","Chưa quyết định",IF(OR(Z1016="",AA1016=""),"⚠ Thiếu lý do/người duyệt",IF(AND(X1016&lt;&gt;"",N(X1016)+N(R1016)+N(S1016)&gt;M1016*1.001,R1016&lt;&gt;""),"⚠ Vượt mục tiêu P90",IF(AND(Y1016&lt;&gt;"",ABS(N(Y1016))&gt;0.3),"⚠ Lệch &gt; 30% so với nhu cầu",IF(Q1016="Có","ℹ Kiểm tra ngoại suy KM","✓ Hợp lệ")))))</f>
        <v/>
      </c>
    </row>
    <row r="1017">
      <c r="A1017" s="16" t="n">
        <v>1013</v>
      </c>
      <c r="B1017" s="17" t="inlineStr">
        <is>
          <t>DEC-S28-BABY_CARE</t>
        </is>
      </c>
      <c r="C1017" s="16" t="n">
        <v>28</v>
      </c>
      <c r="D1017" s="17" t="inlineStr">
        <is>
          <t>BABY CARE</t>
        </is>
      </c>
      <c r="E1017" s="17" t="inlineStr">
        <is>
          <t>HIGH</t>
        </is>
      </c>
      <c r="F1017" s="17" t="inlineStr">
        <is>
          <t>TRUNG BÌNH</t>
        </is>
      </c>
      <c r="G1017" s="18" t="inlineStr">
        <is>
          <t>RISK_HIGH · PROMO_EXTRAPOLATION</t>
        </is>
      </c>
      <c r="H1017" s="19" t="n">
        <v>3.680607610940934</v>
      </c>
      <c r="I1017" s="19" t="n">
        <v>30.06865499913692</v>
      </c>
      <c r="J1017" s="19" t="n">
        <v>117.4862644523382</v>
      </c>
      <c r="K1017" s="19" t="n">
        <v>30.06865499913692</v>
      </c>
      <c r="L1017" s="19" t="n">
        <v>84.70466090738773</v>
      </c>
      <c r="M1017" s="19" t="n">
        <v>117.4862644523382</v>
      </c>
      <c r="N1017" s="17" t="inlineStr">
        <is>
          <t>B</t>
        </is>
      </c>
      <c r="O1017" s="19" t="n">
        <v>60.6497369080782</v>
      </c>
      <c r="P1017" s="18" t="inlineStr">
        <is>
          <t>KHÔNG ĐỀ XUẤT TĂNG</t>
        </is>
      </c>
      <c r="Q1017" s="17" t="inlineStr">
        <is>
          <t>Có</t>
        </is>
      </c>
      <c r="R1017" s="20" t="n"/>
      <c r="S1017" s="20" t="n"/>
      <c r="T1017" s="21" t="n"/>
      <c r="U1017" s="21" t="n"/>
      <c r="V1017" s="22">
        <f>IF(U1017="A",K1017,IF(U1017="B",L1017,IF(U1017="C",M1017,IF(N1017="A",K1017,IF(N1017="B",L1017,M1017)))))</f>
        <v/>
      </c>
      <c r="W1017" s="22">
        <f>IF(R1017="",O1017,MAX(V1017-R1017-N(S1017),0))</f>
        <v/>
      </c>
      <c r="X1017" s="20" t="n"/>
      <c r="Y1017" s="23">
        <f>IF(OR(X1017="",W1017=0),"",X1017/W1017-1)</f>
        <v/>
      </c>
      <c r="Z1017" s="24" t="n"/>
      <c r="AA1017" s="21" t="n"/>
      <c r="AB1017" s="25" t="n"/>
      <c r="AC1017" s="26">
        <f>IF(T1017="","Chưa quyết định",IF(OR(Z1017="",AA1017=""),"⚠ Thiếu lý do/người duyệt",IF(AND(X1017&lt;&gt;"",N(X1017)+N(R1017)+N(S1017)&gt;M1017*1.001,R1017&lt;&gt;""),"⚠ Vượt mục tiêu P90",IF(AND(Y1017&lt;&gt;"",ABS(N(Y1017))&gt;0.3),"⚠ Lệch &gt; 30% so với nhu cầu",IF(Q1017="Có","ℹ Kiểm tra ngoại suy KM","✓ Hợp lệ")))))</f>
        <v/>
      </c>
    </row>
    <row r="1018">
      <c r="A1018" s="16" t="n">
        <v>1014</v>
      </c>
      <c r="B1018" s="17" t="inlineStr">
        <is>
          <t>DEC-S28-BOOKS</t>
        </is>
      </c>
      <c r="C1018" s="16" t="n">
        <v>28</v>
      </c>
      <c r="D1018" s="17" t="inlineStr">
        <is>
          <t>BOOKS</t>
        </is>
      </c>
      <c r="E1018" s="17" t="inlineStr">
        <is>
          <t>HIGH</t>
        </is>
      </c>
      <c r="F1018" s="17" t="inlineStr">
        <is>
          <t>TRUNG BÌNH</t>
        </is>
      </c>
      <c r="G1018" s="18" t="inlineStr">
        <is>
          <t>RISK_HIGH · PROMO_EXTRAPOLATION</t>
        </is>
      </c>
      <c r="H1018" s="19" t="n">
        <v>3.680607610940934</v>
      </c>
      <c r="I1018" s="19" t="n">
        <v>30.06865499913692</v>
      </c>
      <c r="J1018" s="19" t="n">
        <v>117.4862644523382</v>
      </c>
      <c r="K1018" s="19" t="n">
        <v>30.06865499913692</v>
      </c>
      <c r="L1018" s="19" t="n">
        <v>84.70466090738773</v>
      </c>
      <c r="M1018" s="19" t="n">
        <v>117.4862644523382</v>
      </c>
      <c r="N1018" s="17" t="inlineStr">
        <is>
          <t>B</t>
        </is>
      </c>
      <c r="O1018" s="19" t="n">
        <v>60.6497369080782</v>
      </c>
      <c r="P1018" s="18" t="inlineStr">
        <is>
          <t>KHÔNG ĐỀ XUẤT TĂNG</t>
        </is>
      </c>
      <c r="Q1018" s="17" t="inlineStr">
        <is>
          <t>Có</t>
        </is>
      </c>
      <c r="R1018" s="20" t="n"/>
      <c r="S1018" s="20" t="n"/>
      <c r="T1018" s="21" t="n"/>
      <c r="U1018" s="21" t="n"/>
      <c r="V1018" s="22">
        <f>IF(U1018="A",K1018,IF(U1018="B",L1018,IF(U1018="C",M1018,IF(N1018="A",K1018,IF(N1018="B",L1018,M1018)))))</f>
        <v/>
      </c>
      <c r="W1018" s="22">
        <f>IF(R1018="",O1018,MAX(V1018-R1018-N(S1018),0))</f>
        <v/>
      </c>
      <c r="X1018" s="20" t="n"/>
      <c r="Y1018" s="23">
        <f>IF(OR(X1018="",W1018=0),"",X1018/W1018-1)</f>
        <v/>
      </c>
      <c r="Z1018" s="24" t="n"/>
      <c r="AA1018" s="21" t="n"/>
      <c r="AB1018" s="25" t="n"/>
      <c r="AC1018" s="26">
        <f>IF(T1018="","Chưa quyết định",IF(OR(Z1018="",AA1018=""),"⚠ Thiếu lý do/người duyệt",IF(AND(X1018&lt;&gt;"",N(X1018)+N(R1018)+N(S1018)&gt;M1018*1.001,R1018&lt;&gt;""),"⚠ Vượt mục tiêu P90",IF(AND(Y1018&lt;&gt;"",ABS(N(Y1018))&gt;0.3),"⚠ Lệch &gt; 30% so với nhu cầu",IF(Q1018="Có","ℹ Kiểm tra ngoại suy KM","✓ Hợp lệ")))))</f>
        <v/>
      </c>
    </row>
    <row r="1019">
      <c r="A1019" s="16" t="n">
        <v>1015</v>
      </c>
      <c r="B1019" s="17" t="inlineStr">
        <is>
          <t>DEC-S33-PET_SUPPLIES</t>
        </is>
      </c>
      <c r="C1019" s="16" t="n">
        <v>33</v>
      </c>
      <c r="D1019" s="17" t="inlineStr">
        <is>
          <t>PET SUPPLIES</t>
        </is>
      </c>
      <c r="E1019" s="17" t="inlineStr">
        <is>
          <t>HIGH</t>
        </is>
      </c>
      <c r="F1019" s="17" t="inlineStr">
        <is>
          <t>TRUNG BÌNH</t>
        </is>
      </c>
      <c r="G1019" s="18" t="inlineStr">
        <is>
          <t>RISK_HIGH · PROMO_EXTRAPOLATION</t>
        </is>
      </c>
      <c r="H1019" s="19" t="n">
        <v>6.1039103358984</v>
      </c>
      <c r="I1019" s="19" t="n">
        <v>30.04985843598842</v>
      </c>
      <c r="J1019" s="19" t="n">
        <v>113.2092965215445</v>
      </c>
      <c r="K1019" s="19" t="n">
        <v>30.04985843598842</v>
      </c>
      <c r="L1019" s="19" t="n">
        <v>82.02450723946095</v>
      </c>
      <c r="M1019" s="19" t="n">
        <v>113.2092965215445</v>
      </c>
      <c r="N1019" s="17" t="inlineStr">
        <is>
          <t>B</t>
        </is>
      </c>
      <c r="O1019" s="19" t="n">
        <v>57.9846204906702</v>
      </c>
      <c r="P1019" s="18" t="inlineStr">
        <is>
          <t>KHÔNG ĐỀ XUẤT TĂNG</t>
        </is>
      </c>
      <c r="Q1019" s="17" t="inlineStr">
        <is>
          <t>Có</t>
        </is>
      </c>
      <c r="R1019" s="20" t="n"/>
      <c r="S1019" s="20" t="n"/>
      <c r="T1019" s="21" t="n"/>
      <c r="U1019" s="21" t="n"/>
      <c r="V1019" s="22">
        <f>IF(U1019="A",K1019,IF(U1019="B",L1019,IF(U1019="C",M1019,IF(N1019="A",K1019,IF(N1019="B",L1019,M1019)))))</f>
        <v/>
      </c>
      <c r="W1019" s="22">
        <f>IF(R1019="",O1019,MAX(V1019-R1019-N(S1019),0))</f>
        <v/>
      </c>
      <c r="X1019" s="20" t="n"/>
      <c r="Y1019" s="23">
        <f>IF(OR(X1019="",W1019=0),"",X1019/W1019-1)</f>
        <v/>
      </c>
      <c r="Z1019" s="24" t="n"/>
      <c r="AA1019" s="21" t="n"/>
      <c r="AB1019" s="25" t="n"/>
      <c r="AC1019" s="26">
        <f>IF(T1019="","Chưa quyết định",IF(OR(Z1019="",AA1019=""),"⚠ Thiếu lý do/người duyệt",IF(AND(X1019&lt;&gt;"",N(X1019)+N(R1019)+N(S1019)&gt;M1019*1.001,R1019&lt;&gt;""),"⚠ Vượt mục tiêu P90",IF(AND(Y1019&lt;&gt;"",ABS(N(Y1019))&gt;0.3),"⚠ Lệch &gt; 30% so với nhu cầu",IF(Q1019="Có","ℹ Kiểm tra ngoại suy KM","✓ Hợp lệ")))))</f>
        <v/>
      </c>
    </row>
    <row r="1020">
      <c r="A1020" s="16" t="n">
        <v>1016</v>
      </c>
      <c r="B1020" s="17" t="inlineStr">
        <is>
          <t>DEC-S04-BOOKS</t>
        </is>
      </c>
      <c r="C1020" s="16" t="n">
        <v>4</v>
      </c>
      <c r="D1020" s="17" t="inlineStr">
        <is>
          <t>BOOKS</t>
        </is>
      </c>
      <c r="E1020" s="17" t="inlineStr">
        <is>
          <t>HIGH</t>
        </is>
      </c>
      <c r="F1020" s="17" t="inlineStr">
        <is>
          <t>TRUNG BÌNH</t>
        </is>
      </c>
      <c r="G1020" s="18" t="inlineStr">
        <is>
          <t>RISK_HIGH · PROMO_EXTRAPOLATION</t>
        </is>
      </c>
      <c r="H1020" s="19" t="n">
        <v>3.371866291761399</v>
      </c>
      <c r="I1020" s="19" t="n">
        <v>29.81850639730692</v>
      </c>
      <c r="J1020" s="19" t="n">
        <v>115.3668964996934</v>
      </c>
      <c r="K1020" s="19" t="n">
        <v>29.81850639730692</v>
      </c>
      <c r="L1020" s="19" t="n">
        <v>83.28625021129847</v>
      </c>
      <c r="M1020" s="19" t="n">
        <v>115.3668964996934</v>
      </c>
      <c r="N1020" s="17" t="inlineStr">
        <is>
          <t>B</t>
        </is>
      </c>
      <c r="O1020" s="19" t="n">
        <v>59.43144509345293</v>
      </c>
      <c r="P1020" s="18" t="inlineStr">
        <is>
          <t>KHÔNG ĐỀ XUẤT TĂNG</t>
        </is>
      </c>
      <c r="Q1020" s="17" t="inlineStr">
        <is>
          <t>Có</t>
        </is>
      </c>
      <c r="R1020" s="20" t="n"/>
      <c r="S1020" s="20" t="n"/>
      <c r="T1020" s="21" t="n"/>
      <c r="U1020" s="21" t="n"/>
      <c r="V1020" s="22">
        <f>IF(U1020="A",K1020,IF(U1020="B",L1020,IF(U1020="C",M1020,IF(N1020="A",K1020,IF(N1020="B",L1020,M1020)))))</f>
        <v/>
      </c>
      <c r="W1020" s="22">
        <f>IF(R1020="",O1020,MAX(V1020-R1020-N(S1020),0))</f>
        <v/>
      </c>
      <c r="X1020" s="20" t="n"/>
      <c r="Y1020" s="23">
        <f>IF(OR(X1020="",W1020=0),"",X1020/W1020-1)</f>
        <v/>
      </c>
      <c r="Z1020" s="24" t="n"/>
      <c r="AA1020" s="21" t="n"/>
      <c r="AB1020" s="25" t="n"/>
      <c r="AC1020" s="26">
        <f>IF(T1020="","Chưa quyết định",IF(OR(Z1020="",AA1020=""),"⚠ Thiếu lý do/người duyệt",IF(AND(X1020&lt;&gt;"",N(X1020)+N(R1020)+N(S1020)&gt;M1020*1.001,R1020&lt;&gt;""),"⚠ Vượt mục tiêu P90",IF(AND(Y1020&lt;&gt;"",ABS(N(Y1020))&gt;0.3),"⚠ Lệch &gt; 30% so với nhu cầu",IF(Q1020="Có","ℹ Kiểm tra ngoại suy KM","✓ Hợp lệ")))))</f>
        <v/>
      </c>
    </row>
    <row r="1021">
      <c r="A1021" s="16" t="n">
        <v>1017</v>
      </c>
      <c r="B1021" s="17" t="inlineStr">
        <is>
          <t>DEC-S31-HOME_APPLIANCES</t>
        </is>
      </c>
      <c r="C1021" s="16" t="n">
        <v>31</v>
      </c>
      <c r="D1021" s="17" t="inlineStr">
        <is>
          <t>HOME APPLIANCES</t>
        </is>
      </c>
      <c r="E1021" s="17" t="inlineStr">
        <is>
          <t>HIGH</t>
        </is>
      </c>
      <c r="F1021" s="17" t="inlineStr">
        <is>
          <t>TRUNG BÌNH</t>
        </is>
      </c>
      <c r="G1021" s="18" t="inlineStr">
        <is>
          <t>RISK_HIGH · PROMO_EXTRAPOLATION</t>
        </is>
      </c>
      <c r="H1021" s="19" t="n">
        <v>3.975329059362412</v>
      </c>
      <c r="I1021" s="19" t="n">
        <v>29.656525015831</v>
      </c>
      <c r="J1021" s="19" t="n">
        <v>114.9450487852096</v>
      </c>
      <c r="K1021" s="19" t="n">
        <v>29.656525015831</v>
      </c>
      <c r="L1021" s="19" t="n">
        <v>82.96185237169264</v>
      </c>
      <c r="M1021" s="19" t="n">
        <v>114.9450487852096</v>
      </c>
      <c r="N1021" s="17" t="inlineStr">
        <is>
          <t>B</t>
        </is>
      </c>
      <c r="O1021" s="19" t="n">
        <v>59.23663235902784</v>
      </c>
      <c r="P1021" s="18" t="inlineStr">
        <is>
          <t>KHÔNG ĐỀ XUẤT TĂNG</t>
        </is>
      </c>
      <c r="Q1021" s="17" t="inlineStr">
        <is>
          <t>Có</t>
        </is>
      </c>
      <c r="R1021" s="20" t="n"/>
      <c r="S1021" s="20" t="n"/>
      <c r="T1021" s="21" t="n"/>
      <c r="U1021" s="21" t="n"/>
      <c r="V1021" s="22">
        <f>IF(U1021="A",K1021,IF(U1021="B",L1021,IF(U1021="C",M1021,IF(N1021="A",K1021,IF(N1021="B",L1021,M1021)))))</f>
        <v/>
      </c>
      <c r="W1021" s="22">
        <f>IF(R1021="",O1021,MAX(V1021-R1021-N(S1021),0))</f>
        <v/>
      </c>
      <c r="X1021" s="20" t="n"/>
      <c r="Y1021" s="23">
        <f>IF(OR(X1021="",W1021=0),"",X1021/W1021-1)</f>
        <v/>
      </c>
      <c r="Z1021" s="24" t="n"/>
      <c r="AA1021" s="21" t="n"/>
      <c r="AB1021" s="25" t="n"/>
      <c r="AC1021" s="26">
        <f>IF(T1021="","Chưa quyết định",IF(OR(Z1021="",AA1021=""),"⚠ Thiếu lý do/người duyệt",IF(AND(X1021&lt;&gt;"",N(X1021)+N(R1021)+N(S1021)&gt;M1021*1.001,R1021&lt;&gt;""),"⚠ Vượt mục tiêu P90",IF(AND(Y1021&lt;&gt;"",ABS(N(Y1021))&gt;0.3),"⚠ Lệch &gt; 30% so với nhu cầu",IF(Q1021="Có","ℹ Kiểm tra ngoại suy KM","✓ Hợp lệ")))))</f>
        <v/>
      </c>
    </row>
    <row r="1022">
      <c r="A1022" s="16" t="n">
        <v>1018</v>
      </c>
      <c r="B1022" s="17" t="inlineStr">
        <is>
          <t>DEC-S50-BOOKS</t>
        </is>
      </c>
      <c r="C1022" s="16" t="n">
        <v>50</v>
      </c>
      <c r="D1022" s="17" t="inlineStr">
        <is>
          <t>BOOKS</t>
        </is>
      </c>
      <c r="E1022" s="17" t="inlineStr">
        <is>
          <t>HIGH</t>
        </is>
      </c>
      <c r="F1022" s="17" t="inlineStr">
        <is>
          <t>TRUNG BÌNH</t>
        </is>
      </c>
      <c r="G1022" s="18" t="inlineStr">
        <is>
          <t>RISK_HIGH · PROMO_EXTRAPOLATION</t>
        </is>
      </c>
      <c r="H1022" s="19" t="n">
        <v>5.203874516487122</v>
      </c>
      <c r="I1022" s="19" t="n">
        <v>29.60457847313955</v>
      </c>
      <c r="J1022" s="19" t="n">
        <v>114.8931022425182</v>
      </c>
      <c r="K1022" s="19" t="n">
        <v>29.60457847313955</v>
      </c>
      <c r="L1022" s="19" t="n">
        <v>82.9099058290012</v>
      </c>
      <c r="M1022" s="19" t="n">
        <v>114.8931022425182</v>
      </c>
      <c r="N1022" s="17" t="inlineStr">
        <is>
          <t>B</t>
        </is>
      </c>
      <c r="O1022" s="19" t="n">
        <v>59.22624305048956</v>
      </c>
      <c r="P1022" s="18" t="inlineStr">
        <is>
          <t>KHÔNG ĐỀ XUẤT TĂNG</t>
        </is>
      </c>
      <c r="Q1022" s="17" t="inlineStr">
        <is>
          <t>Có</t>
        </is>
      </c>
      <c r="R1022" s="20" t="n"/>
      <c r="S1022" s="20" t="n"/>
      <c r="T1022" s="21" t="n"/>
      <c r="U1022" s="21" t="n"/>
      <c r="V1022" s="22">
        <f>IF(U1022="A",K1022,IF(U1022="B",L1022,IF(U1022="C",M1022,IF(N1022="A",K1022,IF(N1022="B",L1022,M1022)))))</f>
        <v/>
      </c>
      <c r="W1022" s="22">
        <f>IF(R1022="",O1022,MAX(V1022-R1022-N(S1022),0))</f>
        <v/>
      </c>
      <c r="X1022" s="20" t="n"/>
      <c r="Y1022" s="23">
        <f>IF(OR(X1022="",W1022=0),"",X1022/W1022-1)</f>
        <v/>
      </c>
      <c r="Z1022" s="24" t="n"/>
      <c r="AA1022" s="21" t="n"/>
      <c r="AB1022" s="25" t="n"/>
      <c r="AC1022" s="26">
        <f>IF(T1022="","Chưa quyết định",IF(OR(Z1022="",AA1022=""),"⚠ Thiếu lý do/người duyệt",IF(AND(X1022&lt;&gt;"",N(X1022)+N(R1022)+N(S1022)&gt;M1022*1.001,R1022&lt;&gt;""),"⚠ Vượt mục tiêu P90",IF(AND(Y1022&lt;&gt;"",ABS(N(Y1022))&gt;0.3),"⚠ Lệch &gt; 30% so với nhu cầu",IF(Q1022="Có","ℹ Kiểm tra ngoại suy KM","✓ Hợp lệ")))))</f>
        <v/>
      </c>
    </row>
    <row r="1023">
      <c r="A1023" s="16" t="n">
        <v>1019</v>
      </c>
      <c r="B1023" s="17" t="inlineStr">
        <is>
          <t>DEC-S04-HOME_APPLIANCES</t>
        </is>
      </c>
      <c r="C1023" s="16" t="n">
        <v>4</v>
      </c>
      <c r="D1023" s="17" t="inlineStr">
        <is>
          <t>HOME APPLIANCES</t>
        </is>
      </c>
      <c r="E1023" s="17" t="inlineStr">
        <is>
          <t>HIGH</t>
        </is>
      </c>
      <c r="F1023" s="17" t="inlineStr">
        <is>
          <t>TRUNG BÌNH</t>
        </is>
      </c>
      <c r="G1023" s="18" t="inlineStr">
        <is>
          <t>RISK_HIGH · PROMO_EXTRAPOLATION</t>
        </is>
      </c>
      <c r="H1023" s="19" t="n">
        <v>3.625405389070511</v>
      </c>
      <c r="I1023" s="19" t="n">
        <v>29.40191638469696</v>
      </c>
      <c r="J1023" s="19" t="n">
        <v>114.6904401540756</v>
      </c>
      <c r="K1023" s="19" t="n">
        <v>29.40191638469696</v>
      </c>
      <c r="L1023" s="19" t="n">
        <v>82.70724374055862</v>
      </c>
      <c r="M1023" s="19" t="n">
        <v>114.6904401540756</v>
      </c>
      <c r="N1023" s="17" t="inlineStr">
        <is>
          <t>B</t>
        </is>
      </c>
      <c r="O1023" s="19" t="n">
        <v>59.18571063280105</v>
      </c>
      <c r="P1023" s="18" t="inlineStr">
        <is>
          <t>KHÔNG ĐỀ XUẤT TĂNG</t>
        </is>
      </c>
      <c r="Q1023" s="17" t="inlineStr">
        <is>
          <t>Có</t>
        </is>
      </c>
      <c r="R1023" s="20" t="n"/>
      <c r="S1023" s="20" t="n"/>
      <c r="T1023" s="21" t="n"/>
      <c r="U1023" s="21" t="n"/>
      <c r="V1023" s="22">
        <f>IF(U1023="A",K1023,IF(U1023="B",L1023,IF(U1023="C",M1023,IF(N1023="A",K1023,IF(N1023="B",L1023,M1023)))))</f>
        <v/>
      </c>
      <c r="W1023" s="22">
        <f>IF(R1023="",O1023,MAX(V1023-R1023-N(S1023),0))</f>
        <v/>
      </c>
      <c r="X1023" s="20" t="n"/>
      <c r="Y1023" s="23">
        <f>IF(OR(X1023="",W1023=0),"",X1023/W1023-1)</f>
        <v/>
      </c>
      <c r="Z1023" s="24" t="n"/>
      <c r="AA1023" s="21" t="n"/>
      <c r="AB1023" s="25" t="n"/>
      <c r="AC1023" s="26">
        <f>IF(T1023="","Chưa quyết định",IF(OR(Z1023="",AA1023=""),"⚠ Thiếu lý do/người duyệt",IF(AND(X1023&lt;&gt;"",N(X1023)+N(R1023)+N(S1023)&gt;M1023*1.001,R1023&lt;&gt;""),"⚠ Vượt mục tiêu P90",IF(AND(Y1023&lt;&gt;"",ABS(N(Y1023))&gt;0.3),"⚠ Lệch &gt; 30% so với nhu cầu",IF(Q1023="Có","ℹ Kiểm tra ngoại suy KM","✓ Hợp lệ")))))</f>
        <v/>
      </c>
    </row>
    <row r="1024">
      <c r="A1024" s="16" t="n">
        <v>1020</v>
      </c>
      <c r="B1024" s="17" t="inlineStr">
        <is>
          <t>DEC-S14-MAGAZINES</t>
        </is>
      </c>
      <c r="C1024" s="16" t="n">
        <v>14</v>
      </c>
      <c r="D1024" s="17" t="inlineStr">
        <is>
          <t>MAGAZINES</t>
        </is>
      </c>
      <c r="E1024" s="17" t="inlineStr">
        <is>
          <t>HIGH</t>
        </is>
      </c>
      <c r="F1024" s="17" t="inlineStr">
        <is>
          <t>TRUNG BÌNH</t>
        </is>
      </c>
      <c r="G1024" s="18" t="inlineStr">
        <is>
          <t>RISK_HIGH · PROMO_EXTRAPOLATION</t>
        </is>
      </c>
      <c r="H1024" s="19" t="n">
        <v>3.07985709309578</v>
      </c>
      <c r="I1024" s="19" t="n">
        <v>29.17658227309585</v>
      </c>
      <c r="J1024" s="19" t="n">
        <v>116.5941917262971</v>
      </c>
      <c r="K1024" s="19" t="n">
        <v>29.17658227309585</v>
      </c>
      <c r="L1024" s="19" t="n">
        <v>83.81258818134665</v>
      </c>
      <c r="M1024" s="19" t="n">
        <v>116.5941917262971</v>
      </c>
      <c r="N1024" s="17" t="inlineStr">
        <is>
          <t>B</t>
        </is>
      </c>
      <c r="O1024" s="19" t="n">
        <v>60.47132236286998</v>
      </c>
      <c r="P1024" s="18" t="inlineStr">
        <is>
          <t>KHÔNG ĐỀ XUẤT TĂNG</t>
        </is>
      </c>
      <c r="Q1024" s="17" t="inlineStr">
        <is>
          <t>Có</t>
        </is>
      </c>
      <c r="R1024" s="20" t="n"/>
      <c r="S1024" s="20" t="n"/>
      <c r="T1024" s="21" t="n"/>
      <c r="U1024" s="21" t="n"/>
      <c r="V1024" s="22">
        <f>IF(U1024="A",K1024,IF(U1024="B",L1024,IF(U1024="C",M1024,IF(N1024="A",K1024,IF(N1024="B",L1024,M1024)))))</f>
        <v/>
      </c>
      <c r="W1024" s="22">
        <f>IF(R1024="",O1024,MAX(V1024-R1024-N(S1024),0))</f>
        <v/>
      </c>
      <c r="X1024" s="20" t="n"/>
      <c r="Y1024" s="23">
        <f>IF(OR(X1024="",W1024=0),"",X1024/W1024-1)</f>
        <v/>
      </c>
      <c r="Z1024" s="24" t="n"/>
      <c r="AA1024" s="21" t="n"/>
      <c r="AB1024" s="25" t="n"/>
      <c r="AC1024" s="26">
        <f>IF(T1024="","Chưa quyết định",IF(OR(Z1024="",AA1024=""),"⚠ Thiếu lý do/người duyệt",IF(AND(X1024&lt;&gt;"",N(X1024)+N(R1024)+N(S1024)&gt;M1024*1.001,R1024&lt;&gt;""),"⚠ Vượt mục tiêu P90",IF(AND(Y1024&lt;&gt;"",ABS(N(Y1024))&gt;0.3),"⚠ Lệch &gt; 30% so với nhu cầu",IF(Q1024="Có","ℹ Kiểm tra ngoại suy KM","✓ Hợp lệ")))))</f>
        <v/>
      </c>
    </row>
    <row r="1025">
      <c r="A1025" s="16" t="n">
        <v>1021</v>
      </c>
      <c r="B1025" s="17" t="inlineStr">
        <is>
          <t>DEC-S46-BABY_CARE</t>
        </is>
      </c>
      <c r="C1025" s="16" t="n">
        <v>46</v>
      </c>
      <c r="D1025" s="17" t="inlineStr">
        <is>
          <t>BABY CARE</t>
        </is>
      </c>
      <c r="E1025" s="17" t="inlineStr">
        <is>
          <t>HIGH</t>
        </is>
      </c>
      <c r="F1025" s="17" t="inlineStr">
        <is>
          <t>TRUNG BÌNH</t>
        </is>
      </c>
      <c r="G1025" s="18" t="inlineStr">
        <is>
          <t>RISK_HIGH · PROMO_EXTRAPOLATION</t>
        </is>
      </c>
      <c r="H1025" s="19" t="n">
        <v>3.358670949935913</v>
      </c>
      <c r="I1025" s="19" t="n">
        <v>29.0562436580658</v>
      </c>
      <c r="J1025" s="19" t="n">
        <v>116.4738531112671</v>
      </c>
      <c r="K1025" s="19" t="n">
        <v>29.0562436580658</v>
      </c>
      <c r="L1025" s="19" t="n">
        <v>83.69224956631659</v>
      </c>
      <c r="M1025" s="19" t="n">
        <v>116.4738531112671</v>
      </c>
      <c r="N1025" s="17" t="inlineStr">
        <is>
          <t>B</t>
        </is>
      </c>
      <c r="O1025" s="19" t="n">
        <v>60.44725463986395</v>
      </c>
      <c r="P1025" s="18" t="inlineStr">
        <is>
          <t>KHÔNG ĐỀ XUẤT TĂNG</t>
        </is>
      </c>
      <c r="Q1025" s="17" t="inlineStr">
        <is>
          <t>Có</t>
        </is>
      </c>
      <c r="R1025" s="20" t="n"/>
      <c r="S1025" s="20" t="n"/>
      <c r="T1025" s="21" t="n"/>
      <c r="U1025" s="21" t="n"/>
      <c r="V1025" s="22">
        <f>IF(U1025="A",K1025,IF(U1025="B",L1025,IF(U1025="C",M1025,IF(N1025="A",K1025,IF(N1025="B",L1025,M1025)))))</f>
        <v/>
      </c>
      <c r="W1025" s="22">
        <f>IF(R1025="",O1025,MAX(V1025-R1025-N(S1025),0))</f>
        <v/>
      </c>
      <c r="X1025" s="20" t="n"/>
      <c r="Y1025" s="23">
        <f>IF(OR(X1025="",W1025=0),"",X1025/W1025-1)</f>
        <v/>
      </c>
      <c r="Z1025" s="24" t="n"/>
      <c r="AA1025" s="21" t="n"/>
      <c r="AB1025" s="25" t="n"/>
      <c r="AC1025" s="26">
        <f>IF(T1025="","Chưa quyết định",IF(OR(Z1025="",AA1025=""),"⚠ Thiếu lý do/người duyệt",IF(AND(X1025&lt;&gt;"",N(X1025)+N(R1025)+N(S1025)&gt;M1025*1.001,R1025&lt;&gt;""),"⚠ Vượt mục tiêu P90",IF(AND(Y1025&lt;&gt;"",ABS(N(Y1025))&gt;0.3),"⚠ Lệch &gt; 30% so với nhu cầu",IF(Q1025="Có","ℹ Kiểm tra ngoại suy KM","✓ Hợp lệ")))))</f>
        <v/>
      </c>
    </row>
    <row r="1026">
      <c r="A1026" s="16" t="n">
        <v>1022</v>
      </c>
      <c r="B1026" s="17" t="inlineStr">
        <is>
          <t>DEC-S50-BABY_CARE</t>
        </is>
      </c>
      <c r="C1026" s="16" t="n">
        <v>50</v>
      </c>
      <c r="D1026" s="17" t="inlineStr">
        <is>
          <t>BABY CARE</t>
        </is>
      </c>
      <c r="E1026" s="17" t="inlineStr">
        <is>
          <t>HIGH</t>
        </is>
      </c>
      <c r="F1026" s="17" t="inlineStr">
        <is>
          <t>TRUNG BÌNH</t>
        </is>
      </c>
      <c r="G1026" s="18" t="inlineStr">
        <is>
          <t>RISK_HIGH · PROMO_EXTRAPOLATION</t>
        </is>
      </c>
      <c r="H1026" s="19" t="n">
        <v>4.146803212165833</v>
      </c>
      <c r="I1026" s="19" t="n">
        <v>28.32716528372839</v>
      </c>
      <c r="J1026" s="19" t="n">
        <v>113.615689053107</v>
      </c>
      <c r="K1026" s="19" t="n">
        <v>28.32716528372839</v>
      </c>
      <c r="L1026" s="19" t="n">
        <v>81.63249263959004</v>
      </c>
      <c r="M1026" s="19" t="n">
        <v>113.615689053107</v>
      </c>
      <c r="N1026" s="17" t="inlineStr">
        <is>
          <t>B</t>
        </is>
      </c>
      <c r="O1026" s="19" t="n">
        <v>58.97076041260732</v>
      </c>
      <c r="P1026" s="18" t="inlineStr">
        <is>
          <t>KHÔNG ĐỀ XUẤT TĂNG</t>
        </is>
      </c>
      <c r="Q1026" s="17" t="inlineStr">
        <is>
          <t>Có</t>
        </is>
      </c>
      <c r="R1026" s="20" t="n"/>
      <c r="S1026" s="20" t="n"/>
      <c r="T1026" s="21" t="n"/>
      <c r="U1026" s="21" t="n"/>
      <c r="V1026" s="22">
        <f>IF(U1026="A",K1026,IF(U1026="B",L1026,IF(U1026="C",M1026,IF(N1026="A",K1026,IF(N1026="B",L1026,M1026)))))</f>
        <v/>
      </c>
      <c r="W1026" s="22">
        <f>IF(R1026="",O1026,MAX(V1026-R1026-N(S1026),0))</f>
        <v/>
      </c>
      <c r="X1026" s="20" t="n"/>
      <c r="Y1026" s="23">
        <f>IF(OR(X1026="",W1026=0),"",X1026/W1026-1)</f>
        <v/>
      </c>
      <c r="Z1026" s="24" t="n"/>
      <c r="AA1026" s="21" t="n"/>
      <c r="AB1026" s="25" t="n"/>
      <c r="AC1026" s="26">
        <f>IF(T1026="","Chưa quyết định",IF(OR(Z1026="",AA1026=""),"⚠ Thiếu lý do/người duyệt",IF(AND(X1026&lt;&gt;"",N(X1026)+N(R1026)+N(S1026)&gt;M1026*1.001,R1026&lt;&gt;""),"⚠ Vượt mục tiêu P90",IF(AND(Y1026&lt;&gt;"",ABS(N(Y1026))&gt;0.3),"⚠ Lệch &gt; 30% so với nhu cầu",IF(Q1026="Có","ℹ Kiểm tra ngoại suy KM","✓ Hợp lệ")))))</f>
        <v/>
      </c>
    </row>
    <row r="1027">
      <c r="A1027" s="16" t="n">
        <v>1023</v>
      </c>
      <c r="B1027" s="17" t="inlineStr">
        <is>
          <t>DEC-S40-LAWN_AND_GARDEN</t>
        </is>
      </c>
      <c r="C1027" s="16" t="n">
        <v>40</v>
      </c>
      <c r="D1027" s="17" t="inlineStr">
        <is>
          <t>LAWN AND GARDEN</t>
        </is>
      </c>
      <c r="E1027" s="17" t="inlineStr">
        <is>
          <t>HIGH</t>
        </is>
      </c>
      <c r="F1027" s="17" t="inlineStr">
        <is>
          <t>TRUNG BÌNH</t>
        </is>
      </c>
      <c r="G1027" s="18" t="inlineStr">
        <is>
          <t>RISK_HIGH · PROMO_EXTRAPOLATION</t>
        </is>
      </c>
      <c r="H1027" s="19" t="n">
        <v>3.074069958925248</v>
      </c>
      <c r="I1027" s="19" t="n">
        <v>27.61918704211712</v>
      </c>
      <c r="J1027" s="19" t="n">
        <v>112.9077108114958</v>
      </c>
      <c r="K1027" s="19" t="n">
        <v>27.61918704211712</v>
      </c>
      <c r="L1027" s="19" t="n">
        <v>80.92451439797878</v>
      </c>
      <c r="M1027" s="19" t="n">
        <v>112.9077108114958</v>
      </c>
      <c r="N1027" s="17" t="inlineStr">
        <is>
          <t>B</t>
        </is>
      </c>
      <c r="O1027" s="19" t="n">
        <v>58.82916476428508</v>
      </c>
      <c r="P1027" s="18" t="inlineStr">
        <is>
          <t>KHÔNG ĐỀ XUẤT TĂNG</t>
        </is>
      </c>
      <c r="Q1027" s="17" t="inlineStr">
        <is>
          <t>Có</t>
        </is>
      </c>
      <c r="R1027" s="20" t="n"/>
      <c r="S1027" s="20" t="n"/>
      <c r="T1027" s="21" t="n"/>
      <c r="U1027" s="21" t="n"/>
      <c r="V1027" s="22">
        <f>IF(U1027="A",K1027,IF(U1027="B",L1027,IF(U1027="C",M1027,IF(N1027="A",K1027,IF(N1027="B",L1027,M1027)))))</f>
        <v/>
      </c>
      <c r="W1027" s="22">
        <f>IF(R1027="",O1027,MAX(V1027-R1027-N(S1027),0))</f>
        <v/>
      </c>
      <c r="X1027" s="20" t="n"/>
      <c r="Y1027" s="23">
        <f>IF(OR(X1027="",W1027=0),"",X1027/W1027-1)</f>
        <v/>
      </c>
      <c r="Z1027" s="24" t="n"/>
      <c r="AA1027" s="21" t="n"/>
      <c r="AB1027" s="25" t="n"/>
      <c r="AC1027" s="26">
        <f>IF(T1027="","Chưa quyết định",IF(OR(Z1027="",AA1027=""),"⚠ Thiếu lý do/người duyệt",IF(AND(X1027&lt;&gt;"",N(X1027)+N(R1027)+N(S1027)&gt;M1027*1.001,R1027&lt;&gt;""),"⚠ Vượt mục tiêu P90",IF(AND(Y1027&lt;&gt;"",ABS(N(Y1027))&gt;0.3),"⚠ Lệch &gt; 30% so với nhu cầu",IF(Q1027="Có","ℹ Kiểm tra ngoại suy KM","✓ Hợp lệ")))))</f>
        <v/>
      </c>
    </row>
    <row r="1028">
      <c r="A1028" s="16" t="n">
        <v>1024</v>
      </c>
      <c r="B1028" s="17" t="inlineStr">
        <is>
          <t>DEC-S31-BOOKS</t>
        </is>
      </c>
      <c r="C1028" s="16" t="n">
        <v>31</v>
      </c>
      <c r="D1028" s="17" t="inlineStr">
        <is>
          <t>BOOKS</t>
        </is>
      </c>
      <c r="E1028" s="17" t="inlineStr">
        <is>
          <t>HIGH</t>
        </is>
      </c>
      <c r="F1028" s="17" t="inlineStr">
        <is>
          <t>TRUNG BÌNH</t>
        </is>
      </c>
      <c r="G1028" s="18" t="inlineStr">
        <is>
          <t>RISK_HIGH · PROMO_EXTRAPOLATION</t>
        </is>
      </c>
      <c r="H1028" s="19" t="n">
        <v>3.856201851367951</v>
      </c>
      <c r="I1028" s="19" t="n">
        <v>27.51228681579232</v>
      </c>
      <c r="J1028" s="19" t="n">
        <v>110.6717249013484</v>
      </c>
      <c r="K1028" s="19" t="n">
        <v>27.51228681579232</v>
      </c>
      <c r="L1028" s="19" t="n">
        <v>79.48693561926484</v>
      </c>
      <c r="M1028" s="19" t="n">
        <v>110.6717249013484</v>
      </c>
      <c r="N1028" s="17" t="inlineStr">
        <is>
          <t>B</t>
        </is>
      </c>
      <c r="O1028" s="19" t="n">
        <v>57.47710616663098</v>
      </c>
      <c r="P1028" s="18" t="inlineStr">
        <is>
          <t>KHÔNG ĐỀ XUẤT TĂNG</t>
        </is>
      </c>
      <c r="Q1028" s="17" t="inlineStr">
        <is>
          <t>Có</t>
        </is>
      </c>
      <c r="R1028" s="20" t="n"/>
      <c r="S1028" s="20" t="n"/>
      <c r="T1028" s="21" t="n"/>
      <c r="U1028" s="21" t="n"/>
      <c r="V1028" s="22">
        <f>IF(U1028="A",K1028,IF(U1028="B",L1028,IF(U1028="C",M1028,IF(N1028="A",K1028,IF(N1028="B",L1028,M1028)))))</f>
        <v/>
      </c>
      <c r="W1028" s="22">
        <f>IF(R1028="",O1028,MAX(V1028-R1028-N(S1028),0))</f>
        <v/>
      </c>
      <c r="X1028" s="20" t="n"/>
      <c r="Y1028" s="23">
        <f>IF(OR(X1028="",W1028=0),"",X1028/W1028-1)</f>
        <v/>
      </c>
      <c r="Z1028" s="24" t="n"/>
      <c r="AA1028" s="21" t="n"/>
      <c r="AB1028" s="25" t="n"/>
      <c r="AC1028" s="26">
        <f>IF(T1028="","Chưa quyết định",IF(OR(Z1028="",AA1028=""),"⚠ Thiếu lý do/người duyệt",IF(AND(X1028&lt;&gt;"",N(X1028)+N(R1028)+N(S1028)&gt;M1028*1.001,R1028&lt;&gt;""),"⚠ Vượt mục tiêu P90",IF(AND(Y1028&lt;&gt;"",ABS(N(Y1028))&gt;0.3),"⚠ Lệch &gt; 30% so với nhu cầu",IF(Q1028="Có","ℹ Kiểm tra ngoại suy KM","✓ Hợp lệ")))))</f>
        <v/>
      </c>
    </row>
    <row r="1029">
      <c r="A1029" s="16" t="n">
        <v>1025</v>
      </c>
      <c r="B1029" s="17" t="inlineStr">
        <is>
          <t>DEC-S02-HOME_APPLIANCES</t>
        </is>
      </c>
      <c r="C1029" s="16" t="n">
        <v>2</v>
      </c>
      <c r="D1029" s="17" t="inlineStr">
        <is>
          <t>HOME APPLIANCES</t>
        </is>
      </c>
      <c r="E1029" s="17" t="inlineStr">
        <is>
          <t>HIGH</t>
        </is>
      </c>
      <c r="F1029" s="17" t="inlineStr">
        <is>
          <t>TRUNG BÌNH</t>
        </is>
      </c>
      <c r="G1029" s="18" t="inlineStr">
        <is>
          <t>RISK_HIGH · PROMO_EXTRAPOLATION</t>
        </is>
      </c>
      <c r="H1029" s="19" t="n">
        <v>3.608228981494904</v>
      </c>
      <c r="I1029" s="19" t="n">
        <v>27.38620187714696</v>
      </c>
      <c r="J1029" s="19" t="n">
        <v>110.545639962703</v>
      </c>
      <c r="K1029" s="19" t="n">
        <v>27.38620187714696</v>
      </c>
      <c r="L1029" s="19" t="n">
        <v>79.36085068061948</v>
      </c>
      <c r="M1029" s="19" t="n">
        <v>110.545639962703</v>
      </c>
      <c r="N1029" s="17" t="inlineStr">
        <is>
          <t>B</t>
        </is>
      </c>
      <c r="O1029" s="19" t="n">
        <v>57.45188917890191</v>
      </c>
      <c r="P1029" s="18" t="inlineStr">
        <is>
          <t>KHÔNG ĐỀ XUẤT TĂNG</t>
        </is>
      </c>
      <c r="Q1029" s="17" t="inlineStr">
        <is>
          <t>Có</t>
        </is>
      </c>
      <c r="R1029" s="20" t="n"/>
      <c r="S1029" s="20" t="n"/>
      <c r="T1029" s="21" t="n"/>
      <c r="U1029" s="21" t="n"/>
      <c r="V1029" s="22">
        <f>IF(U1029="A",K1029,IF(U1029="B",L1029,IF(U1029="C",M1029,IF(N1029="A",K1029,IF(N1029="B",L1029,M1029)))))</f>
        <v/>
      </c>
      <c r="W1029" s="22">
        <f>IF(R1029="",O1029,MAX(V1029-R1029-N(S1029),0))</f>
        <v/>
      </c>
      <c r="X1029" s="20" t="n"/>
      <c r="Y1029" s="23">
        <f>IF(OR(X1029="",W1029=0),"",X1029/W1029-1)</f>
        <v/>
      </c>
      <c r="Z1029" s="24" t="n"/>
      <c r="AA1029" s="21" t="n"/>
      <c r="AB1029" s="25" t="n"/>
      <c r="AC1029" s="26">
        <f>IF(T1029="","Chưa quyết định",IF(OR(Z1029="",AA1029=""),"⚠ Thiếu lý do/người duyệt",IF(AND(X1029&lt;&gt;"",N(X1029)+N(R1029)+N(S1029)&gt;M1029*1.001,R1029&lt;&gt;""),"⚠ Vượt mục tiêu P90",IF(AND(Y1029&lt;&gt;"",ABS(N(Y1029))&gt;0.3),"⚠ Lệch &gt; 30% so với nhu cầu",IF(Q1029="Có","ℹ Kiểm tra ngoại suy KM","✓ Hợp lệ")))))</f>
        <v/>
      </c>
    </row>
    <row r="1030">
      <c r="A1030" s="16" t="n">
        <v>1026</v>
      </c>
      <c r="B1030" s="17" t="inlineStr">
        <is>
          <t>DEC-S40-LADIESWEAR</t>
        </is>
      </c>
      <c r="C1030" s="16" t="n">
        <v>40</v>
      </c>
      <c r="D1030" s="17" t="inlineStr">
        <is>
          <t>LADIESWEAR</t>
        </is>
      </c>
      <c r="E1030" s="17" t="inlineStr">
        <is>
          <t>HIGH</t>
        </is>
      </c>
      <c r="F1030" s="17" t="inlineStr">
        <is>
          <t>TRUNG BÌNH</t>
        </is>
      </c>
      <c r="G1030" s="18" t="inlineStr">
        <is>
          <t>RISK_HIGH · PROMO_EXTRAPOLATION</t>
        </is>
      </c>
      <c r="H1030" s="19" t="n">
        <v>3.074069958925248</v>
      </c>
      <c r="I1030" s="19" t="n">
        <v>27.37908972799778</v>
      </c>
      <c r="J1030" s="19" t="n">
        <v>112.6676134973764</v>
      </c>
      <c r="K1030" s="19" t="n">
        <v>27.37908972799778</v>
      </c>
      <c r="L1030" s="19" t="n">
        <v>80.68441708385944</v>
      </c>
      <c r="M1030" s="19" t="n">
        <v>112.6676134973764</v>
      </c>
      <c r="N1030" s="17" t="inlineStr">
        <is>
          <t>B</t>
        </is>
      </c>
      <c r="O1030" s="19" t="n">
        <v>58.78114530146122</v>
      </c>
      <c r="P1030" s="18" t="inlineStr">
        <is>
          <t>KHÔNG ĐỀ XUẤT TĂNG</t>
        </is>
      </c>
      <c r="Q1030" s="17" t="inlineStr">
        <is>
          <t>Có</t>
        </is>
      </c>
      <c r="R1030" s="20" t="n"/>
      <c r="S1030" s="20" t="n"/>
      <c r="T1030" s="21" t="n"/>
      <c r="U1030" s="21" t="n"/>
      <c r="V1030" s="22">
        <f>IF(U1030="A",K1030,IF(U1030="B",L1030,IF(U1030="C",M1030,IF(N1030="A",K1030,IF(N1030="B",L1030,M1030)))))</f>
        <v/>
      </c>
      <c r="W1030" s="22">
        <f>IF(R1030="",O1030,MAX(V1030-R1030-N(S1030),0))</f>
        <v/>
      </c>
      <c r="X1030" s="20" t="n"/>
      <c r="Y1030" s="23">
        <f>IF(OR(X1030="",W1030=0),"",X1030/W1030-1)</f>
        <v/>
      </c>
      <c r="Z1030" s="24" t="n"/>
      <c r="AA1030" s="21" t="n"/>
      <c r="AB1030" s="25" t="n"/>
      <c r="AC1030" s="26">
        <f>IF(T1030="","Chưa quyết định",IF(OR(Z1030="",AA1030=""),"⚠ Thiếu lý do/người duyệt",IF(AND(X1030&lt;&gt;"",N(X1030)+N(R1030)+N(S1030)&gt;M1030*1.001,R1030&lt;&gt;""),"⚠ Vượt mục tiêu P90",IF(AND(Y1030&lt;&gt;"",ABS(N(Y1030))&gt;0.3),"⚠ Lệch &gt; 30% so với nhu cầu",IF(Q1030="Có","ℹ Kiểm tra ngoại suy KM","✓ Hợp lệ")))))</f>
        <v/>
      </c>
    </row>
    <row r="1031">
      <c r="A1031" s="16" t="n">
        <v>1027</v>
      </c>
      <c r="B1031" s="17" t="inlineStr">
        <is>
          <t>DEC-S30-PET_SUPPLIES</t>
        </is>
      </c>
      <c r="C1031" s="16" t="n">
        <v>30</v>
      </c>
      <c r="D1031" s="17" t="inlineStr">
        <is>
          <t>PET SUPPLIES</t>
        </is>
      </c>
      <c r="E1031" s="17" t="inlineStr">
        <is>
          <t>HIGH</t>
        </is>
      </c>
      <c r="F1031" s="17" t="inlineStr">
        <is>
          <t>TRUNG BÌNH</t>
        </is>
      </c>
      <c r="G1031" s="18" t="inlineStr">
        <is>
          <t>RISK_HIGH · PROMO_EXTRAPOLATION</t>
        </is>
      </c>
      <c r="H1031" s="19" t="n">
        <v>4.3179643034935</v>
      </c>
      <c r="I1031" s="19" t="n">
        <v>27.21691574156284</v>
      </c>
      <c r="J1031" s="19" t="n">
        <v>110.3763538271189</v>
      </c>
      <c r="K1031" s="19" t="n">
        <v>27.21691574156284</v>
      </c>
      <c r="L1031" s="19" t="n">
        <v>79.19156454503536</v>
      </c>
      <c r="M1031" s="19" t="n">
        <v>110.3763538271189</v>
      </c>
      <c r="N1031" s="17" t="inlineStr">
        <is>
          <t>B</t>
        </is>
      </c>
      <c r="O1031" s="19" t="n">
        <v>57.41803195178508</v>
      </c>
      <c r="P1031" s="18" t="inlineStr">
        <is>
          <t>KHÔNG ĐỀ XUẤT TĂNG</t>
        </is>
      </c>
      <c r="Q1031" s="17" t="inlineStr">
        <is>
          <t>Có</t>
        </is>
      </c>
      <c r="R1031" s="20" t="n"/>
      <c r="S1031" s="20" t="n"/>
      <c r="T1031" s="21" t="n"/>
      <c r="U1031" s="21" t="n"/>
      <c r="V1031" s="22">
        <f>IF(U1031="A",K1031,IF(U1031="B",L1031,IF(U1031="C",M1031,IF(N1031="A",K1031,IF(N1031="B",L1031,M1031)))))</f>
        <v/>
      </c>
      <c r="W1031" s="22">
        <f>IF(R1031="",O1031,MAX(V1031-R1031-N(S1031),0))</f>
        <v/>
      </c>
      <c r="X1031" s="20" t="n"/>
      <c r="Y1031" s="23">
        <f>IF(OR(X1031="",W1031=0),"",X1031/W1031-1)</f>
        <v/>
      </c>
      <c r="Z1031" s="24" t="n"/>
      <c r="AA1031" s="21" t="n"/>
      <c r="AB1031" s="25" t="n"/>
      <c r="AC1031" s="26">
        <f>IF(T1031="","Chưa quyết định",IF(OR(Z1031="",AA1031=""),"⚠ Thiếu lý do/người duyệt",IF(AND(X1031&lt;&gt;"",N(X1031)+N(R1031)+N(S1031)&gt;M1031*1.001,R1031&lt;&gt;""),"⚠ Vượt mục tiêu P90",IF(AND(Y1031&lt;&gt;"",ABS(N(Y1031))&gt;0.3),"⚠ Lệch &gt; 30% so với nhu cầu",IF(Q1031="Có","ℹ Kiểm tra ngoại suy KM","✓ Hợp lệ")))))</f>
        <v/>
      </c>
    </row>
    <row r="1032">
      <c r="A1032" s="16" t="n">
        <v>1028</v>
      </c>
      <c r="B1032" s="17" t="inlineStr">
        <is>
          <t>DEC-S06-HARDWARE</t>
        </is>
      </c>
      <c r="C1032" s="16" t="n">
        <v>6</v>
      </c>
      <c r="D1032" s="17" t="inlineStr">
        <is>
          <t>HARDWARE</t>
        </is>
      </c>
      <c r="E1032" s="17" t="inlineStr">
        <is>
          <t>HIGH</t>
        </is>
      </c>
      <c r="F1032" s="17" t="inlineStr">
        <is>
          <t>TRUNG BÌNH</t>
        </is>
      </c>
      <c r="G1032" s="18" t="inlineStr">
        <is>
          <t>RISK_HIGH · PROMO_EXTRAPOLATION</t>
        </is>
      </c>
      <c r="H1032" s="19" t="n">
        <v>3.890390959382058</v>
      </c>
      <c r="I1032" s="19" t="n">
        <v>26.79596269130707</v>
      </c>
      <c r="J1032" s="19" t="n">
        <v>107.8263150930405</v>
      </c>
      <c r="K1032" s="19" t="n">
        <v>26.79596269130707</v>
      </c>
      <c r="L1032" s="19" t="n">
        <v>77.43993294239044</v>
      </c>
      <c r="M1032" s="19" t="n">
        <v>107.8263150930405</v>
      </c>
      <c r="N1032" s="17" t="inlineStr">
        <is>
          <t>B</t>
        </is>
      </c>
      <c r="O1032" s="19" t="n">
        <v>56.00316278934479</v>
      </c>
      <c r="P1032" s="18" t="inlineStr">
        <is>
          <t>KHÔNG ĐỀ XUẤT TĂNG</t>
        </is>
      </c>
      <c r="Q1032" s="17" t="inlineStr">
        <is>
          <t>Có</t>
        </is>
      </c>
      <c r="R1032" s="20" t="n"/>
      <c r="S1032" s="20" t="n"/>
      <c r="T1032" s="21" t="n"/>
      <c r="U1032" s="21" t="n"/>
      <c r="V1032" s="22">
        <f>IF(U1032="A",K1032,IF(U1032="B",L1032,IF(U1032="C",M1032,IF(N1032="A",K1032,IF(N1032="B",L1032,M1032)))))</f>
        <v/>
      </c>
      <c r="W1032" s="22">
        <f>IF(R1032="",O1032,MAX(V1032-R1032-N(S1032),0))</f>
        <v/>
      </c>
      <c r="X1032" s="20" t="n"/>
      <c r="Y1032" s="23">
        <f>IF(OR(X1032="",W1032=0),"",X1032/W1032-1)</f>
        <v/>
      </c>
      <c r="Z1032" s="24" t="n"/>
      <c r="AA1032" s="21" t="n"/>
      <c r="AB1032" s="25" t="n"/>
      <c r="AC1032" s="26">
        <f>IF(T1032="","Chưa quyết định",IF(OR(Z1032="",AA1032=""),"⚠ Thiếu lý do/người duyệt",IF(AND(X1032&lt;&gt;"",N(X1032)+N(R1032)+N(S1032)&gt;M1032*1.001,R1032&lt;&gt;""),"⚠ Vượt mục tiêu P90",IF(AND(Y1032&lt;&gt;"",ABS(N(Y1032))&gt;0.3),"⚠ Lệch &gt; 30% so với nhu cầu",IF(Q1032="Có","ℹ Kiểm tra ngoại suy KM","✓ Hợp lệ")))))</f>
        <v/>
      </c>
    </row>
    <row r="1033">
      <c r="A1033" s="16" t="n">
        <v>1029</v>
      </c>
      <c r="B1033" s="17" t="inlineStr">
        <is>
          <t>DEC-S17-LADIESWEAR</t>
        </is>
      </c>
      <c r="C1033" s="16" t="n">
        <v>17</v>
      </c>
      <c r="D1033" s="17" t="inlineStr">
        <is>
          <t>LADIESWEAR</t>
        </is>
      </c>
      <c r="E1033" s="17" t="inlineStr">
        <is>
          <t>HIGH</t>
        </is>
      </c>
      <c r="F1033" s="17" t="inlineStr">
        <is>
          <t>TRUNG BÌNH</t>
        </is>
      </c>
      <c r="G1033" s="18" t="inlineStr">
        <is>
          <t>RISK_HIGH · PROMO_EXTRAPOLATION</t>
        </is>
      </c>
      <c r="H1033" s="19" t="n">
        <v>5.069199258089066</v>
      </c>
      <c r="I1033" s="19" t="n">
        <v>26.60471218079329</v>
      </c>
      <c r="J1033" s="19" t="n">
        <v>107.6350645825267</v>
      </c>
      <c r="K1033" s="19" t="n">
        <v>26.60471218079329</v>
      </c>
      <c r="L1033" s="19" t="n">
        <v>77.24868243187666</v>
      </c>
      <c r="M1033" s="19" t="n">
        <v>107.6350645825267</v>
      </c>
      <c r="N1033" s="17" t="inlineStr">
        <is>
          <t>B</t>
        </is>
      </c>
      <c r="O1033" s="19" t="n">
        <v>55.96491268724203</v>
      </c>
      <c r="P1033" s="18" t="inlineStr">
        <is>
          <t>KHÔNG ĐỀ XUẤT TĂNG</t>
        </is>
      </c>
      <c r="Q1033" s="17" t="inlineStr">
        <is>
          <t>Có</t>
        </is>
      </c>
      <c r="R1033" s="20" t="n"/>
      <c r="S1033" s="20" t="n"/>
      <c r="T1033" s="21" t="n"/>
      <c r="U1033" s="21" t="n"/>
      <c r="V1033" s="22">
        <f>IF(U1033="A",K1033,IF(U1033="B",L1033,IF(U1033="C",M1033,IF(N1033="A",K1033,IF(N1033="B",L1033,M1033)))))</f>
        <v/>
      </c>
      <c r="W1033" s="22">
        <f>IF(R1033="",O1033,MAX(V1033-R1033-N(S1033),0))</f>
        <v/>
      </c>
      <c r="X1033" s="20" t="n"/>
      <c r="Y1033" s="23">
        <f>IF(OR(X1033="",W1033=0),"",X1033/W1033-1)</f>
        <v/>
      </c>
      <c r="Z1033" s="24" t="n"/>
      <c r="AA1033" s="21" t="n"/>
      <c r="AB1033" s="25" t="n"/>
      <c r="AC1033" s="26">
        <f>IF(T1033="","Chưa quyết định",IF(OR(Z1033="",AA1033=""),"⚠ Thiếu lý do/người duyệt",IF(AND(X1033&lt;&gt;"",N(X1033)+N(R1033)+N(S1033)&gt;M1033*1.001,R1033&lt;&gt;""),"⚠ Vượt mục tiêu P90",IF(AND(Y1033&lt;&gt;"",ABS(N(Y1033))&gt;0.3),"⚠ Lệch &gt; 30% so với nhu cầu",IF(Q1033="Có","ℹ Kiểm tra ngoại suy KM","✓ Hợp lệ")))))</f>
        <v/>
      </c>
    </row>
    <row r="1034">
      <c r="A1034" s="16" t="n">
        <v>1030</v>
      </c>
      <c r="B1034" s="17" t="inlineStr">
        <is>
          <t>DEC-S18-MAGAZINES</t>
        </is>
      </c>
      <c r="C1034" s="16" t="n">
        <v>18</v>
      </c>
      <c r="D1034" s="17" t="inlineStr">
        <is>
          <t>MAGAZINES</t>
        </is>
      </c>
      <c r="E1034" s="17" t="inlineStr">
        <is>
          <t>HIGH</t>
        </is>
      </c>
      <c r="F1034" s="17" t="inlineStr">
        <is>
          <t>TRUNG BÌNH</t>
        </is>
      </c>
      <c r="G1034" s="18" t="inlineStr">
        <is>
          <t>RISK_HIGH · PROMO_EXTRAPOLATION</t>
        </is>
      </c>
      <c r="H1034" s="19" t="n">
        <v>2.558300679922104</v>
      </c>
      <c r="I1034" s="19" t="n">
        <v>26.33318439498544</v>
      </c>
      <c r="J1034" s="19" t="n">
        <v>111.6217081643641</v>
      </c>
      <c r="K1034" s="19" t="n">
        <v>26.33318439498544</v>
      </c>
      <c r="L1034" s="19" t="n">
        <v>79.6385117508471</v>
      </c>
      <c r="M1034" s="19" t="n">
        <v>111.6217081643641</v>
      </c>
      <c r="N1034" s="17" t="inlineStr">
        <is>
          <t>B</t>
        </is>
      </c>
      <c r="O1034" s="19" t="n">
        <v>58.57196423485875</v>
      </c>
      <c r="P1034" s="18" t="inlineStr">
        <is>
          <t>KHÔNG ĐỀ XUẤT TĂNG</t>
        </is>
      </c>
      <c r="Q1034" s="17" t="inlineStr">
        <is>
          <t>Có</t>
        </is>
      </c>
      <c r="R1034" s="20" t="n"/>
      <c r="S1034" s="20" t="n"/>
      <c r="T1034" s="21" t="n"/>
      <c r="U1034" s="21" t="n"/>
      <c r="V1034" s="22">
        <f>IF(U1034="A",K1034,IF(U1034="B",L1034,IF(U1034="C",M1034,IF(N1034="A",K1034,IF(N1034="B",L1034,M1034)))))</f>
        <v/>
      </c>
      <c r="W1034" s="22">
        <f>IF(R1034="",O1034,MAX(V1034-R1034-N(S1034),0))</f>
        <v/>
      </c>
      <c r="X1034" s="20" t="n"/>
      <c r="Y1034" s="23">
        <f>IF(OR(X1034="",W1034=0),"",X1034/W1034-1)</f>
        <v/>
      </c>
      <c r="Z1034" s="24" t="n"/>
      <c r="AA1034" s="21" t="n"/>
      <c r="AB1034" s="25" t="n"/>
      <c r="AC1034" s="26">
        <f>IF(T1034="","Chưa quyết định",IF(OR(Z1034="",AA1034=""),"⚠ Thiếu lý do/người duyệt",IF(AND(X1034&lt;&gt;"",N(X1034)+N(R1034)+N(S1034)&gt;M1034*1.001,R1034&lt;&gt;""),"⚠ Vượt mục tiêu P90",IF(AND(Y1034&lt;&gt;"",ABS(N(Y1034))&gt;0.3),"⚠ Lệch &gt; 30% so với nhu cầu",IF(Q1034="Có","ℹ Kiểm tra ngoại suy KM","✓ Hợp lệ")))))</f>
        <v/>
      </c>
    </row>
    <row r="1035">
      <c r="A1035" s="16" t="n">
        <v>1031</v>
      </c>
      <c r="B1035" s="17" t="inlineStr">
        <is>
          <t>DEC-S04-BABY_CARE</t>
        </is>
      </c>
      <c r="C1035" s="16" t="n">
        <v>4</v>
      </c>
      <c r="D1035" s="17" t="inlineStr">
        <is>
          <t>BABY CARE</t>
        </is>
      </c>
      <c r="E1035" s="17" t="inlineStr">
        <is>
          <t>HIGH</t>
        </is>
      </c>
      <c r="F1035" s="17" t="inlineStr">
        <is>
          <t>TRUNG BÌNH</t>
        </is>
      </c>
      <c r="G1035" s="18" t="inlineStr">
        <is>
          <t>RISK_HIGH · PROMO_EXTRAPOLATION</t>
        </is>
      </c>
      <c r="H1035" s="19" t="n">
        <v>3.331639564037324</v>
      </c>
      <c r="I1035" s="19" t="n">
        <v>26.15229810029268</v>
      </c>
      <c r="J1035" s="19" t="n">
        <v>109.3117361858487</v>
      </c>
      <c r="K1035" s="19" t="n">
        <v>26.15229810029268</v>
      </c>
      <c r="L1035" s="19" t="n">
        <v>78.1269469037652</v>
      </c>
      <c r="M1035" s="19" t="n">
        <v>109.3117361858487</v>
      </c>
      <c r="N1035" s="17" t="inlineStr">
        <is>
          <t>B</t>
        </is>
      </c>
      <c r="O1035" s="19" t="n">
        <v>57.20510842353106</v>
      </c>
      <c r="P1035" s="18" t="inlineStr">
        <is>
          <t>KHÔNG ĐỀ XUẤT TĂNG</t>
        </is>
      </c>
      <c r="Q1035" s="17" t="inlineStr">
        <is>
          <t>Có</t>
        </is>
      </c>
      <c r="R1035" s="20" t="n"/>
      <c r="S1035" s="20" t="n"/>
      <c r="T1035" s="21" t="n"/>
      <c r="U1035" s="21" t="n"/>
      <c r="V1035" s="22">
        <f>IF(U1035="A",K1035,IF(U1035="B",L1035,IF(U1035="C",M1035,IF(N1035="A",K1035,IF(N1035="B",L1035,M1035)))))</f>
        <v/>
      </c>
      <c r="W1035" s="22">
        <f>IF(R1035="",O1035,MAX(V1035-R1035-N(S1035),0))</f>
        <v/>
      </c>
      <c r="X1035" s="20" t="n"/>
      <c r="Y1035" s="23">
        <f>IF(OR(X1035="",W1035=0),"",X1035/W1035-1)</f>
        <v/>
      </c>
      <c r="Z1035" s="24" t="n"/>
      <c r="AA1035" s="21" t="n"/>
      <c r="AB1035" s="25" t="n"/>
      <c r="AC1035" s="26">
        <f>IF(T1035="","Chưa quyết định",IF(OR(Z1035="",AA1035=""),"⚠ Thiếu lý do/người duyệt",IF(AND(X1035&lt;&gt;"",N(X1035)+N(R1035)+N(S1035)&gt;M1035*1.001,R1035&lt;&gt;""),"⚠ Vượt mục tiêu P90",IF(AND(Y1035&lt;&gt;"",ABS(N(Y1035))&gt;0.3),"⚠ Lệch &gt; 30% so với nhu cầu",IF(Q1035="Có","ℹ Kiểm tra ngoại suy KM","✓ Hợp lệ")))))</f>
        <v/>
      </c>
    </row>
    <row r="1036">
      <c r="A1036" s="16" t="n">
        <v>1032</v>
      </c>
      <c r="B1036" s="17" t="inlineStr">
        <is>
          <t>DEC-S17-BOOKS</t>
        </is>
      </c>
      <c r="C1036" s="16" t="n">
        <v>17</v>
      </c>
      <c r="D1036" s="17" t="inlineStr">
        <is>
          <t>BOOKS</t>
        </is>
      </c>
      <c r="E1036" s="17" t="inlineStr">
        <is>
          <t>HIGH</t>
        </is>
      </c>
      <c r="F1036" s="17" t="inlineStr">
        <is>
          <t>TRUNG BÌNH</t>
        </is>
      </c>
      <c r="G1036" s="18" t="inlineStr">
        <is>
          <t>RISK_HIGH · PROMO_EXTRAPOLATION</t>
        </is>
      </c>
      <c r="H1036" s="19" t="n">
        <v>3.561989271640778</v>
      </c>
      <c r="I1036" s="19" t="n">
        <v>26.06114283204079</v>
      </c>
      <c r="J1036" s="19" t="n">
        <v>109.2205809175968</v>
      </c>
      <c r="K1036" s="19" t="n">
        <v>26.06114283204079</v>
      </c>
      <c r="L1036" s="19" t="n">
        <v>78.03579163551331</v>
      </c>
      <c r="M1036" s="19" t="n">
        <v>109.2205809175968</v>
      </c>
      <c r="N1036" s="17" t="inlineStr">
        <is>
          <t>B</t>
        </is>
      </c>
      <c r="O1036" s="19" t="n">
        <v>57.18687736988068</v>
      </c>
      <c r="P1036" s="18" t="inlineStr">
        <is>
          <t>KHÔNG ĐỀ XUẤT TĂNG</t>
        </is>
      </c>
      <c r="Q1036" s="17" t="inlineStr">
        <is>
          <t>Có</t>
        </is>
      </c>
      <c r="R1036" s="20" t="n"/>
      <c r="S1036" s="20" t="n"/>
      <c r="T1036" s="21" t="n"/>
      <c r="U1036" s="21" t="n"/>
      <c r="V1036" s="22">
        <f>IF(U1036="A",K1036,IF(U1036="B",L1036,IF(U1036="C",M1036,IF(N1036="A",K1036,IF(N1036="B",L1036,M1036)))))</f>
        <v/>
      </c>
      <c r="W1036" s="22">
        <f>IF(R1036="",O1036,MAX(V1036-R1036-N(S1036),0))</f>
        <v/>
      </c>
      <c r="X1036" s="20" t="n"/>
      <c r="Y1036" s="23">
        <f>IF(OR(X1036="",W1036=0),"",X1036/W1036-1)</f>
        <v/>
      </c>
      <c r="Z1036" s="24" t="n"/>
      <c r="AA1036" s="21" t="n"/>
      <c r="AB1036" s="25" t="n"/>
      <c r="AC1036" s="26">
        <f>IF(T1036="","Chưa quyết định",IF(OR(Z1036="",AA1036=""),"⚠ Thiếu lý do/người duyệt",IF(AND(X1036&lt;&gt;"",N(X1036)+N(R1036)+N(S1036)&gt;M1036*1.001,R1036&lt;&gt;""),"⚠ Vượt mục tiêu P90",IF(AND(Y1036&lt;&gt;"",ABS(N(Y1036))&gt;0.3),"⚠ Lệch &gt; 30% so với nhu cầu",IF(Q1036="Có","ℹ Kiểm tra ngoại suy KM","✓ Hợp lệ")))))</f>
        <v/>
      </c>
    </row>
    <row r="1037">
      <c r="A1037" s="16" t="n">
        <v>1033</v>
      </c>
      <c r="B1037" s="17" t="inlineStr">
        <is>
          <t>DEC-S47-BOOKS</t>
        </is>
      </c>
      <c r="C1037" s="16" t="n">
        <v>47</v>
      </c>
      <c r="D1037" s="17" t="inlineStr">
        <is>
          <t>BOOKS</t>
        </is>
      </c>
      <c r="E1037" s="17" t="inlineStr">
        <is>
          <t>HIGH</t>
        </is>
      </c>
      <c r="F1037" s="17" t="inlineStr">
        <is>
          <t>TRUNG BÌNH</t>
        </is>
      </c>
      <c r="G1037" s="18" t="inlineStr">
        <is>
          <t>RISK_HIGH · PROMO_EXTRAPOLATION</t>
        </is>
      </c>
      <c r="H1037" s="19" t="n">
        <v>3.890651917457581</v>
      </c>
      <c r="I1037" s="19" t="n">
        <v>26.05408746004105</v>
      </c>
      <c r="J1037" s="19" t="n">
        <v>109.2135255455971</v>
      </c>
      <c r="K1037" s="19" t="n">
        <v>26.05408746004105</v>
      </c>
      <c r="L1037" s="19" t="n">
        <v>78.02873626351357</v>
      </c>
      <c r="M1037" s="19" t="n">
        <v>109.2135255455971</v>
      </c>
      <c r="N1037" s="17" t="inlineStr">
        <is>
          <t>B</t>
        </is>
      </c>
      <c r="O1037" s="19" t="n">
        <v>57.18546629548072</v>
      </c>
      <c r="P1037" s="18" t="inlineStr">
        <is>
          <t>KHÔNG ĐỀ XUẤT TĂNG</t>
        </is>
      </c>
      <c r="Q1037" s="17" t="inlineStr">
        <is>
          <t>Có</t>
        </is>
      </c>
      <c r="R1037" s="20" t="n"/>
      <c r="S1037" s="20" t="n"/>
      <c r="T1037" s="21" t="n"/>
      <c r="U1037" s="21" t="n"/>
      <c r="V1037" s="22">
        <f>IF(U1037="A",K1037,IF(U1037="B",L1037,IF(U1037="C",M1037,IF(N1037="A",K1037,IF(N1037="B",L1037,M1037)))))</f>
        <v/>
      </c>
      <c r="W1037" s="22">
        <f>IF(R1037="",O1037,MAX(V1037-R1037-N(S1037),0))</f>
        <v/>
      </c>
      <c r="X1037" s="20" t="n"/>
      <c r="Y1037" s="23">
        <f>IF(OR(X1037="",W1037=0),"",X1037/W1037-1)</f>
        <v/>
      </c>
      <c r="Z1037" s="24" t="n"/>
      <c r="AA1037" s="21" t="n"/>
      <c r="AB1037" s="25" t="n"/>
      <c r="AC1037" s="26">
        <f>IF(T1037="","Chưa quyết định",IF(OR(Z1037="",AA1037=""),"⚠ Thiếu lý do/người duyệt",IF(AND(X1037&lt;&gt;"",N(X1037)+N(R1037)+N(S1037)&gt;M1037*1.001,R1037&lt;&gt;""),"⚠ Vượt mục tiêu P90",IF(AND(Y1037&lt;&gt;"",ABS(N(Y1037))&gt;0.3),"⚠ Lệch &gt; 30% so với nhu cầu",IF(Q1037="Có","ℹ Kiểm tra ngoại suy KM","✓ Hợp lệ")))))</f>
        <v/>
      </c>
    </row>
    <row r="1038">
      <c r="A1038" s="16" t="n">
        <v>1034</v>
      </c>
      <c r="B1038" s="17" t="inlineStr">
        <is>
          <t>DEC-S14-LADIESWEAR</t>
        </is>
      </c>
      <c r="C1038" s="16" t="n">
        <v>14</v>
      </c>
      <c r="D1038" s="17" t="inlineStr">
        <is>
          <t>LADIESWEAR</t>
        </is>
      </c>
      <c r="E1038" s="17" t="inlineStr">
        <is>
          <t>HIGH</t>
        </is>
      </c>
      <c r="F1038" s="17" t="inlineStr">
        <is>
          <t>TRUNG BÌNH</t>
        </is>
      </c>
      <c r="G1038" s="18" t="inlineStr">
        <is>
          <t>RISK_HIGH · PROMO_EXTRAPOLATION</t>
        </is>
      </c>
      <c r="H1038" s="19" t="n">
        <v>2.917305934429169</v>
      </c>
      <c r="I1038" s="19" t="n">
        <v>25.90736910700798</v>
      </c>
      <c r="J1038" s="19" t="n">
        <v>109.066807192564</v>
      </c>
      <c r="K1038" s="19" t="n">
        <v>25.90736910700798</v>
      </c>
      <c r="L1038" s="19" t="n">
        <v>77.8820179104805</v>
      </c>
      <c r="M1038" s="19" t="n">
        <v>109.066807192564</v>
      </c>
      <c r="N1038" s="17" t="inlineStr">
        <is>
          <t>B</t>
        </is>
      </c>
      <c r="O1038" s="19" t="n">
        <v>57.15612262487412</v>
      </c>
      <c r="P1038" s="18" t="inlineStr">
        <is>
          <t>KHÔNG ĐỀ XUẤT TĂNG</t>
        </is>
      </c>
      <c r="Q1038" s="17" t="inlineStr">
        <is>
          <t>Có</t>
        </is>
      </c>
      <c r="R1038" s="20" t="n"/>
      <c r="S1038" s="20" t="n"/>
      <c r="T1038" s="21" t="n"/>
      <c r="U1038" s="21" t="n"/>
      <c r="V1038" s="22">
        <f>IF(U1038="A",K1038,IF(U1038="B",L1038,IF(U1038="C",M1038,IF(N1038="A",K1038,IF(N1038="B",L1038,M1038)))))</f>
        <v/>
      </c>
      <c r="W1038" s="22">
        <f>IF(R1038="",O1038,MAX(V1038-R1038-N(S1038),0))</f>
        <v/>
      </c>
      <c r="X1038" s="20" t="n"/>
      <c r="Y1038" s="23">
        <f>IF(OR(X1038="",W1038=0),"",X1038/W1038-1)</f>
        <v/>
      </c>
      <c r="Z1038" s="24" t="n"/>
      <c r="AA1038" s="21" t="n"/>
      <c r="AB1038" s="25" t="n"/>
      <c r="AC1038" s="26">
        <f>IF(T1038="","Chưa quyết định",IF(OR(Z1038="",AA1038=""),"⚠ Thiếu lý do/người duyệt",IF(AND(X1038&lt;&gt;"",N(X1038)+N(R1038)+N(S1038)&gt;M1038*1.001,R1038&lt;&gt;""),"⚠ Vượt mục tiêu P90",IF(AND(Y1038&lt;&gt;"",ABS(N(Y1038))&gt;0.3),"⚠ Lệch &gt; 30% so với nhu cầu",IF(Q1038="Có","ℹ Kiểm tra ngoại suy KM","✓ Hợp lệ")))))</f>
        <v/>
      </c>
    </row>
    <row r="1039">
      <c r="A1039" s="16" t="n">
        <v>1035</v>
      </c>
      <c r="B1039" s="17" t="inlineStr">
        <is>
          <t>DEC-S47-BABY_CARE</t>
        </is>
      </c>
      <c r="C1039" s="16" t="n">
        <v>47</v>
      </c>
      <c r="D1039" s="17" t="inlineStr">
        <is>
          <t>BABY CARE</t>
        </is>
      </c>
      <c r="E1039" s="17" t="inlineStr">
        <is>
          <t>HIGH</t>
        </is>
      </c>
      <c r="F1039" s="17" t="inlineStr">
        <is>
          <t>TRUNG BÌNH</t>
        </is>
      </c>
      <c r="G1039" s="18" t="inlineStr">
        <is>
          <t>RISK_HIGH · PROMO_EXTRAPOLATION</t>
        </is>
      </c>
      <c r="H1039" s="19" t="n">
        <v>3.890651917457581</v>
      </c>
      <c r="I1039" s="19" t="n">
        <v>25.90034538507461</v>
      </c>
      <c r="J1039" s="19" t="n">
        <v>109.0597834706306</v>
      </c>
      <c r="K1039" s="19" t="n">
        <v>25.90034538507461</v>
      </c>
      <c r="L1039" s="19" t="n">
        <v>77.87499418854712</v>
      </c>
      <c r="M1039" s="19" t="n">
        <v>109.0597834706306</v>
      </c>
      <c r="N1039" s="17" t="inlineStr">
        <is>
          <t>B</t>
        </is>
      </c>
      <c r="O1039" s="19" t="n">
        <v>57.15471788048743</v>
      </c>
      <c r="P1039" s="18" t="inlineStr">
        <is>
          <t>KHÔNG ĐỀ XUẤT TĂNG</t>
        </is>
      </c>
      <c r="Q1039" s="17" t="inlineStr">
        <is>
          <t>Có</t>
        </is>
      </c>
      <c r="R1039" s="20" t="n"/>
      <c r="S1039" s="20" t="n"/>
      <c r="T1039" s="21" t="n"/>
      <c r="U1039" s="21" t="n"/>
      <c r="V1039" s="22">
        <f>IF(U1039="A",K1039,IF(U1039="B",L1039,IF(U1039="C",M1039,IF(N1039="A",K1039,IF(N1039="B",L1039,M1039)))))</f>
        <v/>
      </c>
      <c r="W1039" s="22">
        <f>IF(R1039="",O1039,MAX(V1039-R1039-N(S1039),0))</f>
        <v/>
      </c>
      <c r="X1039" s="20" t="n"/>
      <c r="Y1039" s="23">
        <f>IF(OR(X1039="",W1039=0),"",X1039/W1039-1)</f>
        <v/>
      </c>
      <c r="Z1039" s="24" t="n"/>
      <c r="AA1039" s="21" t="n"/>
      <c r="AB1039" s="25" t="n"/>
      <c r="AC1039" s="26">
        <f>IF(T1039="","Chưa quyết định",IF(OR(Z1039="",AA1039=""),"⚠ Thiếu lý do/người duyệt",IF(AND(X1039&lt;&gt;"",N(X1039)+N(R1039)+N(S1039)&gt;M1039*1.001,R1039&lt;&gt;""),"⚠ Vượt mục tiêu P90",IF(AND(Y1039&lt;&gt;"",ABS(N(Y1039))&gt;0.3),"⚠ Lệch &gt; 30% so với nhu cầu",IF(Q1039="Có","ℹ Kiểm tra ngoại suy KM","✓ Hợp lệ")))))</f>
        <v/>
      </c>
    </row>
    <row r="1040">
      <c r="A1040" s="16" t="n">
        <v>1036</v>
      </c>
      <c r="B1040" s="17" t="inlineStr">
        <is>
          <t>DEC-S28-LADIESWEAR</t>
        </is>
      </c>
      <c r="C1040" s="16" t="n">
        <v>28</v>
      </c>
      <c r="D1040" s="17" t="inlineStr">
        <is>
          <t>LADIESWEAR</t>
        </is>
      </c>
      <c r="E1040" s="17" t="inlineStr">
        <is>
          <t>HIGH</t>
        </is>
      </c>
      <c r="F1040" s="17" t="inlineStr">
        <is>
          <t>TRUNG BÌNH</t>
        </is>
      </c>
      <c r="G1040" s="18" t="inlineStr">
        <is>
          <t>RISK_HIGH · PROMO_EXTRAPOLATION</t>
        </is>
      </c>
      <c r="H1040" s="19" t="n">
        <v>4.87054255604744</v>
      </c>
      <c r="I1040" s="19" t="n">
        <v>25.83362660184502</v>
      </c>
      <c r="J1040" s="19" t="n">
        <v>106.8639790035784</v>
      </c>
      <c r="K1040" s="19" t="n">
        <v>25.83362660184502</v>
      </c>
      <c r="L1040" s="19" t="n">
        <v>76.47759685292839</v>
      </c>
      <c r="M1040" s="19" t="n">
        <v>106.8639790035784</v>
      </c>
      <c r="N1040" s="17" t="inlineStr">
        <is>
          <t>B</t>
        </is>
      </c>
      <c r="O1040" s="19" t="n">
        <v>55.81069557145237</v>
      </c>
      <c r="P1040" s="18" t="inlineStr">
        <is>
          <t>KHÔNG ĐỀ XUẤT TĂNG</t>
        </is>
      </c>
      <c r="Q1040" s="17" t="inlineStr">
        <is>
          <t>Có</t>
        </is>
      </c>
      <c r="R1040" s="20" t="n"/>
      <c r="S1040" s="20" t="n"/>
      <c r="T1040" s="21" t="n"/>
      <c r="U1040" s="21" t="n"/>
      <c r="V1040" s="22">
        <f>IF(U1040="A",K1040,IF(U1040="B",L1040,IF(U1040="C",M1040,IF(N1040="A",K1040,IF(N1040="B",L1040,M1040)))))</f>
        <v/>
      </c>
      <c r="W1040" s="22">
        <f>IF(R1040="",O1040,MAX(V1040-R1040-N(S1040),0))</f>
        <v/>
      </c>
      <c r="X1040" s="20" t="n"/>
      <c r="Y1040" s="23">
        <f>IF(OR(X1040="",W1040=0),"",X1040/W1040-1)</f>
        <v/>
      </c>
      <c r="Z1040" s="24" t="n"/>
      <c r="AA1040" s="21" t="n"/>
      <c r="AB1040" s="25" t="n"/>
      <c r="AC1040" s="26">
        <f>IF(T1040="","Chưa quyết định",IF(OR(Z1040="",AA1040=""),"⚠ Thiếu lý do/người duyệt",IF(AND(X1040&lt;&gt;"",N(X1040)+N(R1040)+N(S1040)&gt;M1040*1.001,R1040&lt;&gt;""),"⚠ Vượt mục tiêu P90",IF(AND(Y1040&lt;&gt;"",ABS(N(Y1040))&gt;0.3),"⚠ Lệch &gt; 30% so với nhu cầu",IF(Q1040="Có","ℹ Kiểm tra ngoại suy KM","✓ Hợp lệ")))))</f>
        <v/>
      </c>
    </row>
    <row r="1041">
      <c r="A1041" s="16" t="n">
        <v>1037</v>
      </c>
      <c r="B1041" s="17" t="inlineStr">
        <is>
          <t>DEC-S29-HOME_APPLIANCES</t>
        </is>
      </c>
      <c r="C1041" s="16" t="n">
        <v>29</v>
      </c>
      <c r="D1041" s="17" t="inlineStr">
        <is>
          <t>HOME APPLIANCES</t>
        </is>
      </c>
      <c r="E1041" s="17" t="inlineStr">
        <is>
          <t>HIGH</t>
        </is>
      </c>
      <c r="F1041" s="17" t="inlineStr">
        <is>
          <t>TRUNG BÌNH</t>
        </is>
      </c>
      <c r="G1041" s="18" t="inlineStr">
        <is>
          <t>RISK_HIGH · PROMO_EXTRAPOLATION</t>
        </is>
      </c>
      <c r="H1041" s="19" t="n">
        <v>3.439253705739975</v>
      </c>
      <c r="I1041" s="19" t="n">
        <v>25.59460506588221</v>
      </c>
      <c r="J1041" s="19" t="n">
        <v>108.7540431514382</v>
      </c>
      <c r="K1041" s="19" t="n">
        <v>25.59460506588221</v>
      </c>
      <c r="L1041" s="19" t="n">
        <v>77.56925386935472</v>
      </c>
      <c r="M1041" s="19" t="n">
        <v>108.7540431514382</v>
      </c>
      <c r="N1041" s="17" t="inlineStr">
        <is>
          <t>B</t>
        </is>
      </c>
      <c r="O1041" s="19" t="n">
        <v>57.09356981664895</v>
      </c>
      <c r="P1041" s="18" t="inlineStr">
        <is>
          <t>KHÔNG ĐỀ XUẤT TĂNG</t>
        </is>
      </c>
      <c r="Q1041" s="17" t="inlineStr">
        <is>
          <t>Có</t>
        </is>
      </c>
      <c r="R1041" s="20" t="n"/>
      <c r="S1041" s="20" t="n"/>
      <c r="T1041" s="21" t="n"/>
      <c r="U1041" s="21" t="n"/>
      <c r="V1041" s="22">
        <f>IF(U1041="A",K1041,IF(U1041="B",L1041,IF(U1041="C",M1041,IF(N1041="A",K1041,IF(N1041="B",L1041,M1041)))))</f>
        <v/>
      </c>
      <c r="W1041" s="22">
        <f>IF(R1041="",O1041,MAX(V1041-R1041-N(S1041),0))</f>
        <v/>
      </c>
      <c r="X1041" s="20" t="n"/>
      <c r="Y1041" s="23">
        <f>IF(OR(X1041="",W1041=0),"",X1041/W1041-1)</f>
        <v/>
      </c>
      <c r="Z1041" s="24" t="n"/>
      <c r="AA1041" s="21" t="n"/>
      <c r="AB1041" s="25" t="n"/>
      <c r="AC1041" s="26">
        <f>IF(T1041="","Chưa quyết định",IF(OR(Z1041="",AA1041=""),"⚠ Thiếu lý do/người duyệt",IF(AND(X1041&lt;&gt;"",N(X1041)+N(R1041)+N(S1041)&gt;M1041*1.001,R1041&lt;&gt;""),"⚠ Vượt mục tiêu P90",IF(AND(Y1041&lt;&gt;"",ABS(N(Y1041))&gt;0.3),"⚠ Lệch &gt; 30% so với nhu cầu",IF(Q1041="Có","ℹ Kiểm tra ngoại suy KM","✓ Hợp lệ")))))</f>
        <v/>
      </c>
    </row>
    <row r="1042">
      <c r="A1042" s="16" t="n">
        <v>1038</v>
      </c>
      <c r="B1042" s="17" t="inlineStr">
        <is>
          <t>DEC-S22-MAGAZINES</t>
        </is>
      </c>
      <c r="C1042" s="16" t="n">
        <v>22</v>
      </c>
      <c r="D1042" s="17" t="inlineStr">
        <is>
          <t>MAGAZINES</t>
        </is>
      </c>
      <c r="E1042" s="17" t="inlineStr">
        <is>
          <t>HIGH</t>
        </is>
      </c>
      <c r="F1042" s="17" t="inlineStr">
        <is>
          <t>TRUNG BÌNH</t>
        </is>
      </c>
      <c r="G1042" s="18" t="inlineStr">
        <is>
          <t>RISK_HIGH · PROMO_EXTRAPOLATION</t>
        </is>
      </c>
      <c r="H1042" s="19" t="n">
        <v>3.687051737308503</v>
      </c>
      <c r="I1042" s="19" t="n">
        <v>25.31949967890978</v>
      </c>
      <c r="J1042" s="19" t="n">
        <v>106.609718413651</v>
      </c>
      <c r="K1042" s="19" t="n">
        <v>25.31949967890978</v>
      </c>
      <c r="L1042" s="19" t="n">
        <v>76.12588638812304</v>
      </c>
      <c r="M1042" s="19" t="n">
        <v>106.609718413651</v>
      </c>
      <c r="N1042" s="17" t="inlineStr">
        <is>
          <t>B</t>
        </is>
      </c>
      <c r="O1042" s="19" t="n">
        <v>55.87028664499521</v>
      </c>
      <c r="P1042" s="18" t="inlineStr">
        <is>
          <t>KHÔNG ĐỀ XUẤT TĂNG</t>
        </is>
      </c>
      <c r="Q1042" s="17" t="inlineStr">
        <is>
          <t>Có</t>
        </is>
      </c>
      <c r="R1042" s="20" t="n"/>
      <c r="S1042" s="20" t="n"/>
      <c r="T1042" s="21" t="n"/>
      <c r="U1042" s="21" t="n"/>
      <c r="V1042" s="22">
        <f>IF(U1042="A",K1042,IF(U1042="B",L1042,IF(U1042="C",M1042,IF(N1042="A",K1042,IF(N1042="B",L1042,M1042)))))</f>
        <v/>
      </c>
      <c r="W1042" s="22">
        <f>IF(R1042="",O1042,MAX(V1042-R1042-N(S1042),0))</f>
        <v/>
      </c>
      <c r="X1042" s="20" t="n"/>
      <c r="Y1042" s="23">
        <f>IF(OR(X1042="",W1042=0),"",X1042/W1042-1)</f>
        <v/>
      </c>
      <c r="Z1042" s="24" t="n"/>
      <c r="AA1042" s="21" t="n"/>
      <c r="AB1042" s="25" t="n"/>
      <c r="AC1042" s="26">
        <f>IF(T1042="","Chưa quyết định",IF(OR(Z1042="",AA1042=""),"⚠ Thiếu lý do/người duyệt",IF(AND(X1042&lt;&gt;"",N(X1042)+N(R1042)+N(S1042)&gt;M1042*1.001,R1042&lt;&gt;""),"⚠ Vượt mục tiêu P90",IF(AND(Y1042&lt;&gt;"",ABS(N(Y1042))&gt;0.3),"⚠ Lệch &gt; 30% so với nhu cầu",IF(Q1042="Có","ℹ Kiểm tra ngoại suy KM","✓ Hợp lệ")))))</f>
        <v/>
      </c>
    </row>
    <row r="1043">
      <c r="A1043" s="16" t="n">
        <v>1039</v>
      </c>
      <c r="B1043" s="17" t="inlineStr">
        <is>
          <t>DEC-S36-SEAFOOD</t>
        </is>
      </c>
      <c r="C1043" s="16" t="n">
        <v>36</v>
      </c>
      <c r="D1043" s="17" t="inlineStr">
        <is>
          <t>SEAFOOD</t>
        </is>
      </c>
      <c r="E1043" s="17" t="inlineStr">
        <is>
          <t>HIGH</t>
        </is>
      </c>
      <c r="F1043" s="17" t="inlineStr">
        <is>
          <t>TRUNG BÌNH</t>
        </is>
      </c>
      <c r="G1043" s="18" t="inlineStr">
        <is>
          <t>RISK_HIGH · PROMO_EXTRAPOLATION</t>
        </is>
      </c>
      <c r="H1043" s="19" t="n">
        <v>1.553977966308594</v>
      </c>
      <c r="I1043" s="19" t="n">
        <v>25.19228076934814</v>
      </c>
      <c r="J1043" s="19" t="n">
        <v>114.5736946105957</v>
      </c>
      <c r="K1043" s="19" t="n">
        <v>25.19228076934814</v>
      </c>
      <c r="L1043" s="19" t="n">
        <v>81.05566442012787</v>
      </c>
      <c r="M1043" s="19" t="n">
        <v>114.5736946105957</v>
      </c>
      <c r="N1043" s="17" t="inlineStr">
        <is>
          <t>B</t>
        </is>
      </c>
      <c r="O1043" s="19" t="n">
        <v>60.90183980464935</v>
      </c>
      <c r="P1043" s="18" t="inlineStr">
        <is>
          <t>KHÔNG ĐỀ XUẤT TĂNG</t>
        </is>
      </c>
      <c r="Q1043" s="17" t="inlineStr">
        <is>
          <t>Có</t>
        </is>
      </c>
      <c r="R1043" s="20" t="n"/>
      <c r="S1043" s="20" t="n"/>
      <c r="T1043" s="21" t="n"/>
      <c r="U1043" s="21" t="n"/>
      <c r="V1043" s="22">
        <f>IF(U1043="A",K1043,IF(U1043="B",L1043,IF(U1043="C",M1043,IF(N1043="A",K1043,IF(N1043="B",L1043,M1043)))))</f>
        <v/>
      </c>
      <c r="W1043" s="22">
        <f>IF(R1043="",O1043,MAX(V1043-R1043-N(S1043),0))</f>
        <v/>
      </c>
      <c r="X1043" s="20" t="n"/>
      <c r="Y1043" s="23">
        <f>IF(OR(X1043="",W1043=0),"",X1043/W1043-1)</f>
        <v/>
      </c>
      <c r="Z1043" s="24" t="n"/>
      <c r="AA1043" s="21" t="n"/>
      <c r="AB1043" s="25" t="n"/>
      <c r="AC1043" s="26">
        <f>IF(T1043="","Chưa quyết định",IF(OR(Z1043="",AA1043=""),"⚠ Thiếu lý do/người duyệt",IF(AND(X1043&lt;&gt;"",N(X1043)+N(R1043)+N(S1043)&gt;M1043*1.001,R1043&lt;&gt;""),"⚠ Vượt mục tiêu P90",IF(AND(Y1043&lt;&gt;"",ABS(N(Y1043))&gt;0.3),"⚠ Lệch &gt; 30% so với nhu cầu",IF(Q1043="Có","ℹ Kiểm tra ngoại suy KM","✓ Hợp lệ")))))</f>
        <v/>
      </c>
    </row>
    <row r="1044">
      <c r="A1044" s="16" t="n">
        <v>1040</v>
      </c>
      <c r="B1044" s="17" t="inlineStr">
        <is>
          <t>DEC-S30-SEAFOOD</t>
        </is>
      </c>
      <c r="C1044" s="16" t="n">
        <v>30</v>
      </c>
      <c r="D1044" s="17" t="inlineStr">
        <is>
          <t>SEAFOOD</t>
        </is>
      </c>
      <c r="E1044" s="17" t="inlineStr">
        <is>
          <t>HIGH</t>
        </is>
      </c>
      <c r="F1044" s="17" t="inlineStr">
        <is>
          <t>TRUNG BÌNH</t>
        </is>
      </c>
      <c r="G1044" s="18" t="inlineStr">
        <is>
          <t>RISK_HIGH · PROMO_EXTRAPOLATION</t>
        </is>
      </c>
      <c r="H1044" s="19" t="n">
        <v>7.345807075500488</v>
      </c>
      <c r="I1044" s="19" t="n">
        <v>25.04965478926897</v>
      </c>
      <c r="J1044" s="19" t="n">
        <v>106.257232876122</v>
      </c>
      <c r="K1044" s="19" t="n">
        <v>25.04965478926897</v>
      </c>
      <c r="L1044" s="19" t="n">
        <v>75.80439109355211</v>
      </c>
      <c r="M1044" s="19" t="n">
        <v>106.257232876122</v>
      </c>
      <c r="N1044" s="17" t="inlineStr">
        <is>
          <t>B</t>
        </is>
      </c>
      <c r="O1044" s="19" t="n">
        <v>55.76466726213694</v>
      </c>
      <c r="P1044" s="18" t="inlineStr">
        <is>
          <t>KHÔNG ĐỀ XUẤT TĂNG</t>
        </is>
      </c>
      <c r="Q1044" s="17" t="inlineStr">
        <is>
          <t>Có</t>
        </is>
      </c>
      <c r="R1044" s="20" t="n"/>
      <c r="S1044" s="20" t="n"/>
      <c r="T1044" s="21" t="n"/>
      <c r="U1044" s="21" t="n"/>
      <c r="V1044" s="22">
        <f>IF(U1044="A",K1044,IF(U1044="B",L1044,IF(U1044="C",M1044,IF(N1044="A",K1044,IF(N1044="B",L1044,M1044)))))</f>
        <v/>
      </c>
      <c r="W1044" s="22">
        <f>IF(R1044="",O1044,MAX(V1044-R1044-N(S1044),0))</f>
        <v/>
      </c>
      <c r="X1044" s="20" t="n"/>
      <c r="Y1044" s="23">
        <f>IF(OR(X1044="",W1044=0),"",X1044/W1044-1)</f>
        <v/>
      </c>
      <c r="Z1044" s="24" t="n"/>
      <c r="AA1044" s="21" t="n"/>
      <c r="AB1044" s="25" t="n"/>
      <c r="AC1044" s="26">
        <f>IF(T1044="","Chưa quyết định",IF(OR(Z1044="",AA1044=""),"⚠ Thiếu lý do/người duyệt",IF(AND(X1044&lt;&gt;"",N(X1044)+N(R1044)+N(S1044)&gt;M1044*1.001,R1044&lt;&gt;""),"⚠ Vượt mục tiêu P90",IF(AND(Y1044&lt;&gt;"",ABS(N(Y1044))&gt;0.3),"⚠ Lệch &gt; 30% so với nhu cầu",IF(Q1044="Có","ℹ Kiểm tra ngoại suy KM","✓ Hợp lệ")))))</f>
        <v/>
      </c>
    </row>
    <row r="1045">
      <c r="A1045" s="16" t="n">
        <v>1041</v>
      </c>
      <c r="B1045" s="17" t="inlineStr">
        <is>
          <t>DEC-S15-MAGAZINES</t>
        </is>
      </c>
      <c r="C1045" s="16" t="n">
        <v>15</v>
      </c>
      <c r="D1045" s="17" t="inlineStr">
        <is>
          <t>MAGAZINES</t>
        </is>
      </c>
      <c r="E1045" s="17" t="inlineStr">
        <is>
          <t>HIGH</t>
        </is>
      </c>
      <c r="F1045" s="17" t="inlineStr">
        <is>
          <t>TRUNG BÌNH</t>
        </is>
      </c>
      <c r="G1045" s="18" t="inlineStr">
        <is>
          <t>RISK_HIGH · PROMO_EXTRAPOLATION</t>
        </is>
      </c>
      <c r="H1045" s="19" t="n">
        <v>4.719755411148071</v>
      </c>
      <c r="I1045" s="19" t="n">
        <v>24.90582829713821</v>
      </c>
      <c r="J1045" s="19" t="n">
        <v>105.9361806988716</v>
      </c>
      <c r="K1045" s="19" t="n">
        <v>24.90582829713821</v>
      </c>
      <c r="L1045" s="19" t="n">
        <v>75.54979854822157</v>
      </c>
      <c r="M1045" s="19" t="n">
        <v>105.9361806988716</v>
      </c>
      <c r="N1045" s="17" t="inlineStr">
        <is>
          <t>B</t>
        </is>
      </c>
      <c r="O1045" s="19" t="n">
        <v>55.62513591051101</v>
      </c>
      <c r="P1045" s="18" t="inlineStr">
        <is>
          <t>KHÔNG ĐỀ XUẤT TĂNG</t>
        </is>
      </c>
      <c r="Q1045" s="17" t="inlineStr">
        <is>
          <t>Có</t>
        </is>
      </c>
      <c r="R1045" s="20" t="n"/>
      <c r="S1045" s="20" t="n"/>
      <c r="T1045" s="21" t="n"/>
      <c r="U1045" s="21" t="n"/>
      <c r="V1045" s="22">
        <f>IF(U1045="A",K1045,IF(U1045="B",L1045,IF(U1045="C",M1045,IF(N1045="A",K1045,IF(N1045="B",L1045,M1045)))))</f>
        <v/>
      </c>
      <c r="W1045" s="22">
        <f>IF(R1045="",O1045,MAX(V1045-R1045-N(S1045),0))</f>
        <v/>
      </c>
      <c r="X1045" s="20" t="n"/>
      <c r="Y1045" s="23">
        <f>IF(OR(X1045="",W1045=0),"",X1045/W1045-1)</f>
        <v/>
      </c>
      <c r="Z1045" s="24" t="n"/>
      <c r="AA1045" s="21" t="n"/>
      <c r="AB1045" s="25" t="n"/>
      <c r="AC1045" s="26">
        <f>IF(T1045="","Chưa quyết định",IF(OR(Z1045="",AA1045=""),"⚠ Thiếu lý do/người duyệt",IF(AND(X1045&lt;&gt;"",N(X1045)+N(R1045)+N(S1045)&gt;M1045*1.001,R1045&lt;&gt;""),"⚠ Vượt mục tiêu P90",IF(AND(Y1045&lt;&gt;"",ABS(N(Y1045))&gt;0.3),"⚠ Lệch &gt; 30% so với nhu cầu",IF(Q1045="Có","ℹ Kiểm tra ngoại suy KM","✓ Hợp lệ")))))</f>
        <v/>
      </c>
    </row>
    <row r="1046">
      <c r="A1046" s="16" t="n">
        <v>1042</v>
      </c>
      <c r="B1046" s="17" t="inlineStr">
        <is>
          <t>DEC-S32-CELEBRATION</t>
        </is>
      </c>
      <c r="C1046" s="16" t="n">
        <v>32</v>
      </c>
      <c r="D1046" s="17" t="inlineStr">
        <is>
          <t>CELEBRATION</t>
        </is>
      </c>
      <c r="E1046" s="17" t="inlineStr">
        <is>
          <t>HIGH</t>
        </is>
      </c>
      <c r="F1046" s="17" t="inlineStr">
        <is>
          <t>TRUNG BÌNH</t>
        </is>
      </c>
      <c r="G1046" s="18" t="inlineStr">
        <is>
          <t>RISK_HIGH · PROMO_EXTRAPOLATION</t>
        </is>
      </c>
      <c r="H1046" s="19" t="n">
        <v>4.307339632511139</v>
      </c>
      <c r="I1046" s="19" t="n">
        <v>24.74555224180222</v>
      </c>
      <c r="J1046" s="19" t="n">
        <v>107.9049903273582</v>
      </c>
      <c r="K1046" s="19" t="n">
        <v>24.74555224180222</v>
      </c>
      <c r="L1046" s="19" t="n">
        <v>76.72020104527473</v>
      </c>
      <c r="M1046" s="19" t="n">
        <v>107.9049903273582</v>
      </c>
      <c r="N1046" s="17" t="inlineStr">
        <is>
          <t>B</t>
        </is>
      </c>
      <c r="O1046" s="19" t="n">
        <v>56.92375925183296</v>
      </c>
      <c r="P1046" s="18" t="inlineStr">
        <is>
          <t>KHÔNG ĐỀ XUẤT TĂNG</t>
        </is>
      </c>
      <c r="Q1046" s="17" t="inlineStr">
        <is>
          <t>Có</t>
        </is>
      </c>
      <c r="R1046" s="20" t="n"/>
      <c r="S1046" s="20" t="n"/>
      <c r="T1046" s="21" t="n"/>
      <c r="U1046" s="21" t="n"/>
      <c r="V1046" s="22">
        <f>IF(U1046="A",K1046,IF(U1046="B",L1046,IF(U1046="C",M1046,IF(N1046="A",K1046,IF(N1046="B",L1046,M1046)))))</f>
        <v/>
      </c>
      <c r="W1046" s="22">
        <f>IF(R1046="",O1046,MAX(V1046-R1046-N(S1046),0))</f>
        <v/>
      </c>
      <c r="X1046" s="20" t="n"/>
      <c r="Y1046" s="23">
        <f>IF(OR(X1046="",W1046=0),"",X1046/W1046-1)</f>
        <v/>
      </c>
      <c r="Z1046" s="24" t="n"/>
      <c r="AA1046" s="21" t="n"/>
      <c r="AB1046" s="25" t="n"/>
      <c r="AC1046" s="26">
        <f>IF(T1046="","Chưa quyết định",IF(OR(Z1046="",AA1046=""),"⚠ Thiếu lý do/người duyệt",IF(AND(X1046&lt;&gt;"",N(X1046)+N(R1046)+N(S1046)&gt;M1046*1.001,R1046&lt;&gt;""),"⚠ Vượt mục tiêu P90",IF(AND(Y1046&lt;&gt;"",ABS(N(Y1046))&gt;0.3),"⚠ Lệch &gt; 30% so với nhu cầu",IF(Q1046="Có","ℹ Kiểm tra ngoại suy KM","✓ Hợp lệ")))))</f>
        <v/>
      </c>
    </row>
    <row r="1047">
      <c r="A1047" s="16" t="n">
        <v>1043</v>
      </c>
      <c r="B1047" s="17" t="inlineStr">
        <is>
          <t>DEC-S22-LADIESWEAR</t>
        </is>
      </c>
      <c r="C1047" s="16" t="n">
        <v>22</v>
      </c>
      <c r="D1047" s="17" t="inlineStr">
        <is>
          <t>LADIESWEAR</t>
        </is>
      </c>
      <c r="E1047" s="17" t="inlineStr">
        <is>
          <t>HIGH</t>
        </is>
      </c>
      <c r="F1047" s="17" t="inlineStr">
        <is>
          <t>TRUNG BÌNH</t>
        </is>
      </c>
      <c r="G1047" s="18" t="inlineStr">
        <is>
          <t>RISK_HIGH · PROMO_EXTRAPOLATION</t>
        </is>
      </c>
      <c r="H1047" s="19" t="n">
        <v>5.559713929891586</v>
      </c>
      <c r="I1047" s="19" t="n">
        <v>24.45120643079281</v>
      </c>
      <c r="J1047" s="19" t="n">
        <v>103.3524731487036</v>
      </c>
      <c r="K1047" s="19" t="n">
        <v>24.45120643079281</v>
      </c>
      <c r="L1047" s="19" t="n">
        <v>73.76449812948704</v>
      </c>
      <c r="M1047" s="19" t="n">
        <v>103.3524731487036</v>
      </c>
      <c r="N1047" s="17" t="inlineStr">
        <is>
          <t>B</t>
        </is>
      </c>
      <c r="O1047" s="19" t="n">
        <v>54.20353298485279</v>
      </c>
      <c r="P1047" s="18" t="inlineStr">
        <is>
          <t>KHÔNG ĐỀ XUẤT TĂNG</t>
        </is>
      </c>
      <c r="Q1047" s="17" t="inlineStr">
        <is>
          <t>Có</t>
        </is>
      </c>
      <c r="R1047" s="20" t="n"/>
      <c r="S1047" s="20" t="n"/>
      <c r="T1047" s="21" t="n"/>
      <c r="U1047" s="21" t="n"/>
      <c r="V1047" s="22">
        <f>IF(U1047="A",K1047,IF(U1047="B",L1047,IF(U1047="C",M1047,IF(N1047="A",K1047,IF(N1047="B",L1047,M1047)))))</f>
        <v/>
      </c>
      <c r="W1047" s="22">
        <f>IF(R1047="",O1047,MAX(V1047-R1047-N(S1047),0))</f>
        <v/>
      </c>
      <c r="X1047" s="20" t="n"/>
      <c r="Y1047" s="23">
        <f>IF(OR(X1047="",W1047=0),"",X1047/W1047-1)</f>
        <v/>
      </c>
      <c r="Z1047" s="24" t="n"/>
      <c r="AA1047" s="21" t="n"/>
      <c r="AB1047" s="25" t="n"/>
      <c r="AC1047" s="26">
        <f>IF(T1047="","Chưa quyết định",IF(OR(Z1047="",AA1047=""),"⚠ Thiếu lý do/người duyệt",IF(AND(X1047&lt;&gt;"",N(X1047)+N(R1047)+N(S1047)&gt;M1047*1.001,R1047&lt;&gt;""),"⚠ Vượt mục tiêu P90",IF(AND(Y1047&lt;&gt;"",ABS(N(Y1047))&gt;0.3),"⚠ Lệch &gt; 30% so với nhu cầu",IF(Q1047="Có","ℹ Kiểm tra ngoại suy KM","✓ Hợp lệ")))))</f>
        <v/>
      </c>
    </row>
    <row r="1048">
      <c r="A1048" s="16" t="n">
        <v>1044</v>
      </c>
      <c r="B1048" s="17" t="inlineStr">
        <is>
          <t>DEC-S36-HARDWARE</t>
        </is>
      </c>
      <c r="C1048" s="16" t="n">
        <v>36</v>
      </c>
      <c r="D1048" s="17" t="inlineStr">
        <is>
          <t>HARDWARE</t>
        </is>
      </c>
      <c r="E1048" s="17" t="inlineStr">
        <is>
          <t>HIGH</t>
        </is>
      </c>
      <c r="F1048" s="17" t="inlineStr">
        <is>
          <t>TRUNG BÌNH</t>
        </is>
      </c>
      <c r="G1048" s="18" t="inlineStr">
        <is>
          <t>RISK_HIGH · PROMO_EXTRAPOLATION</t>
        </is>
      </c>
      <c r="H1048" s="19" t="n">
        <v>5.84957058429718</v>
      </c>
      <c r="I1048" s="19" t="n">
        <v>24.32391184568405</v>
      </c>
      <c r="J1048" s="19" t="n">
        <v>103.2251785635948</v>
      </c>
      <c r="K1048" s="19" t="n">
        <v>24.32391184568405</v>
      </c>
      <c r="L1048" s="19" t="n">
        <v>73.63720354437827</v>
      </c>
      <c r="M1048" s="19" t="n">
        <v>103.2251785635948</v>
      </c>
      <c r="N1048" s="17" t="inlineStr">
        <is>
          <t>B</t>
        </is>
      </c>
      <c r="O1048" s="19" t="n">
        <v>54.17807406783102</v>
      </c>
      <c r="P1048" s="18" t="inlineStr">
        <is>
          <t>KHÔNG ĐỀ XUẤT TĂNG</t>
        </is>
      </c>
      <c r="Q1048" s="17" t="inlineStr">
        <is>
          <t>Có</t>
        </is>
      </c>
      <c r="R1048" s="20" t="n"/>
      <c r="S1048" s="20" t="n"/>
      <c r="T1048" s="21" t="n"/>
      <c r="U1048" s="21" t="n"/>
      <c r="V1048" s="22">
        <f>IF(U1048="A",K1048,IF(U1048="B",L1048,IF(U1048="C",M1048,IF(N1048="A",K1048,IF(N1048="B",L1048,M1048)))))</f>
        <v/>
      </c>
      <c r="W1048" s="22">
        <f>IF(R1048="",O1048,MAX(V1048-R1048-N(S1048),0))</f>
        <v/>
      </c>
      <c r="X1048" s="20" t="n"/>
      <c r="Y1048" s="23">
        <f>IF(OR(X1048="",W1048=0),"",X1048/W1048-1)</f>
        <v/>
      </c>
      <c r="Z1048" s="24" t="n"/>
      <c r="AA1048" s="21" t="n"/>
      <c r="AB1048" s="25" t="n"/>
      <c r="AC1048" s="26">
        <f>IF(T1048="","Chưa quyết định",IF(OR(Z1048="",AA1048=""),"⚠ Thiếu lý do/người duyệt",IF(AND(X1048&lt;&gt;"",N(X1048)+N(R1048)+N(S1048)&gt;M1048*1.001,R1048&lt;&gt;""),"⚠ Vượt mục tiêu P90",IF(AND(Y1048&lt;&gt;"",ABS(N(Y1048))&gt;0.3),"⚠ Lệch &gt; 30% so với nhu cầu",IF(Q1048="Có","ℹ Kiểm tra ngoại suy KM","✓ Hợp lệ")))))</f>
        <v/>
      </c>
    </row>
    <row r="1049">
      <c r="A1049" s="16" t="n">
        <v>1045</v>
      </c>
      <c r="B1049" s="17" t="inlineStr">
        <is>
          <t>DEC-S32-SEAFOOD</t>
        </is>
      </c>
      <c r="C1049" s="16" t="n">
        <v>32</v>
      </c>
      <c r="D1049" s="17" t="inlineStr">
        <is>
          <t>SEAFOOD</t>
        </is>
      </c>
      <c r="E1049" s="17" t="inlineStr">
        <is>
          <t>HIGH</t>
        </is>
      </c>
      <c r="F1049" s="17" t="inlineStr">
        <is>
          <t>TRUNG BÌNH</t>
        </is>
      </c>
      <c r="G1049" s="18" t="inlineStr">
        <is>
          <t>RISK_HIGH · PROMO_EXTRAPOLATION</t>
        </is>
      </c>
      <c r="H1049" s="19" t="n">
        <v>7.627864837646484</v>
      </c>
      <c r="I1049" s="19" t="n">
        <v>24.2773666381836</v>
      </c>
      <c r="J1049" s="19" t="n">
        <v>105.4849447250366</v>
      </c>
      <c r="K1049" s="19" t="n">
        <v>24.2773666381836</v>
      </c>
      <c r="L1049" s="19" t="n">
        <v>75.03210294246675</v>
      </c>
      <c r="M1049" s="19" t="n">
        <v>105.4849447250366</v>
      </c>
      <c r="N1049" s="17" t="inlineStr">
        <is>
          <t>B</t>
        </is>
      </c>
      <c r="O1049" s="19" t="n">
        <v>55.61020963191987</v>
      </c>
      <c r="P1049" s="18" t="inlineStr">
        <is>
          <t>KHÔNG ĐỀ XUẤT TĂNG</t>
        </is>
      </c>
      <c r="Q1049" s="17" t="inlineStr">
        <is>
          <t>Có</t>
        </is>
      </c>
      <c r="R1049" s="20" t="n"/>
      <c r="S1049" s="20" t="n"/>
      <c r="T1049" s="21" t="n"/>
      <c r="U1049" s="21" t="n"/>
      <c r="V1049" s="22">
        <f>IF(U1049="A",K1049,IF(U1049="B",L1049,IF(U1049="C",M1049,IF(N1049="A",K1049,IF(N1049="B",L1049,M1049)))))</f>
        <v/>
      </c>
      <c r="W1049" s="22">
        <f>IF(R1049="",O1049,MAX(V1049-R1049-N(S1049),0))</f>
        <v/>
      </c>
      <c r="X1049" s="20" t="n"/>
      <c r="Y1049" s="23">
        <f>IF(OR(X1049="",W1049=0),"",X1049/W1049-1)</f>
        <v/>
      </c>
      <c r="Z1049" s="24" t="n"/>
      <c r="AA1049" s="21" t="n"/>
      <c r="AB1049" s="25" t="n"/>
      <c r="AC1049" s="26">
        <f>IF(T1049="","Chưa quyết định",IF(OR(Z1049="",AA1049=""),"⚠ Thiếu lý do/người duyệt",IF(AND(X1049&lt;&gt;"",N(X1049)+N(R1049)+N(S1049)&gt;M1049*1.001,R1049&lt;&gt;""),"⚠ Vượt mục tiêu P90",IF(AND(Y1049&lt;&gt;"",ABS(N(Y1049))&gt;0.3),"⚠ Lệch &gt; 30% so với nhu cầu",IF(Q1049="Có","ℹ Kiểm tra ngoại suy KM","✓ Hợp lệ")))))</f>
        <v/>
      </c>
    </row>
    <row r="1050">
      <c r="A1050" s="16" t="n">
        <v>1046</v>
      </c>
      <c r="B1050" s="17" t="inlineStr">
        <is>
          <t>DEC-S51-BOOKS</t>
        </is>
      </c>
      <c r="C1050" s="16" t="n">
        <v>51</v>
      </c>
      <c r="D1050" s="17" t="inlineStr">
        <is>
          <t>BOOKS</t>
        </is>
      </c>
      <c r="E1050" s="17" t="inlineStr">
        <is>
          <t>HIGH</t>
        </is>
      </c>
      <c r="F1050" s="17" t="inlineStr">
        <is>
          <t>TRUNG BÌNH</t>
        </is>
      </c>
      <c r="G1050" s="18" t="inlineStr">
        <is>
          <t>RISK_HIGH · PROMO_EXTRAPOLATION</t>
        </is>
      </c>
      <c r="H1050" s="19" t="n">
        <v>3.750783687829972</v>
      </c>
      <c r="I1050" s="19" t="n">
        <v>24.17808447033167</v>
      </c>
      <c r="J1050" s="19" t="n">
        <v>105.2084368720651</v>
      </c>
      <c r="K1050" s="19" t="n">
        <v>24.17808447033167</v>
      </c>
      <c r="L1050" s="19" t="n">
        <v>74.82205472141504</v>
      </c>
      <c r="M1050" s="19" t="n">
        <v>105.2084368720651</v>
      </c>
      <c r="N1050" s="17" t="inlineStr">
        <is>
          <t>B</t>
        </is>
      </c>
      <c r="O1050" s="19" t="n">
        <v>55.47958714514971</v>
      </c>
      <c r="P1050" s="18" t="inlineStr">
        <is>
          <t>KHÔNG ĐỀ XUẤT TĂNG</t>
        </is>
      </c>
      <c r="Q1050" s="17" t="inlineStr">
        <is>
          <t>Có</t>
        </is>
      </c>
      <c r="R1050" s="20" t="n"/>
      <c r="S1050" s="20" t="n"/>
      <c r="T1050" s="21" t="n"/>
      <c r="U1050" s="21" t="n"/>
      <c r="V1050" s="22">
        <f>IF(U1050="A",K1050,IF(U1050="B",L1050,IF(U1050="C",M1050,IF(N1050="A",K1050,IF(N1050="B",L1050,M1050)))))</f>
        <v/>
      </c>
      <c r="W1050" s="22">
        <f>IF(R1050="",O1050,MAX(V1050-R1050-N(S1050),0))</f>
        <v/>
      </c>
      <c r="X1050" s="20" t="n"/>
      <c r="Y1050" s="23">
        <f>IF(OR(X1050="",W1050=0),"",X1050/W1050-1)</f>
        <v/>
      </c>
      <c r="Z1050" s="24" t="n"/>
      <c r="AA1050" s="21" t="n"/>
      <c r="AB1050" s="25" t="n"/>
      <c r="AC1050" s="26">
        <f>IF(T1050="","Chưa quyết định",IF(OR(Z1050="",AA1050=""),"⚠ Thiếu lý do/người duyệt",IF(AND(X1050&lt;&gt;"",N(X1050)+N(R1050)+N(S1050)&gt;M1050*1.001,R1050&lt;&gt;""),"⚠ Vượt mục tiêu P90",IF(AND(Y1050&lt;&gt;"",ABS(N(Y1050))&gt;0.3),"⚠ Lệch &gt; 30% so với nhu cầu",IF(Q1050="Có","ℹ Kiểm tra ngoại suy KM","✓ Hợp lệ")))))</f>
        <v/>
      </c>
    </row>
    <row r="1051">
      <c r="A1051" s="16" t="n">
        <v>1047</v>
      </c>
      <c r="B1051" s="17" t="inlineStr">
        <is>
          <t>DEC-S51-BABY_CARE</t>
        </is>
      </c>
      <c r="C1051" s="16" t="n">
        <v>51</v>
      </c>
      <c r="D1051" s="17" t="inlineStr">
        <is>
          <t>BABY CARE</t>
        </is>
      </c>
      <c r="E1051" s="17" t="inlineStr">
        <is>
          <t>HIGH</t>
        </is>
      </c>
      <c r="F1051" s="17" t="inlineStr">
        <is>
          <t>TRUNG BÌNH</t>
        </is>
      </c>
      <c r="G1051" s="18" t="inlineStr">
        <is>
          <t>RISK_HIGH · PROMO_EXTRAPOLATION</t>
        </is>
      </c>
      <c r="H1051" s="19" t="n">
        <v>3.338499426841736</v>
      </c>
      <c r="I1051" s="19" t="n">
        <v>23.39171601086855</v>
      </c>
      <c r="J1051" s="19" t="n">
        <v>104.4220684126019</v>
      </c>
      <c r="K1051" s="19" t="n">
        <v>23.39171601086855</v>
      </c>
      <c r="L1051" s="19" t="n">
        <v>74.03568626195192</v>
      </c>
      <c r="M1051" s="19" t="n">
        <v>104.4220684126019</v>
      </c>
      <c r="N1051" s="17" t="inlineStr">
        <is>
          <t>B</t>
        </is>
      </c>
      <c r="O1051" s="19" t="n">
        <v>55.32231345325708</v>
      </c>
      <c r="P1051" s="18" t="inlineStr">
        <is>
          <t>KHÔNG ĐỀ XUẤT TĂNG</t>
        </is>
      </c>
      <c r="Q1051" s="17" t="inlineStr">
        <is>
          <t>Có</t>
        </is>
      </c>
      <c r="R1051" s="20" t="n"/>
      <c r="S1051" s="20" t="n"/>
      <c r="T1051" s="21" t="n"/>
      <c r="U1051" s="21" t="n"/>
      <c r="V1051" s="22">
        <f>IF(U1051="A",K1051,IF(U1051="B",L1051,IF(U1051="C",M1051,IF(N1051="A",K1051,IF(N1051="B",L1051,M1051)))))</f>
        <v/>
      </c>
      <c r="W1051" s="22">
        <f>IF(R1051="",O1051,MAX(V1051-R1051-N(S1051),0))</f>
        <v/>
      </c>
      <c r="X1051" s="20" t="n"/>
      <c r="Y1051" s="23">
        <f>IF(OR(X1051="",W1051=0),"",X1051/W1051-1)</f>
        <v/>
      </c>
      <c r="Z1051" s="24" t="n"/>
      <c r="AA1051" s="21" t="n"/>
      <c r="AB1051" s="25" t="n"/>
      <c r="AC1051" s="26">
        <f>IF(T1051="","Chưa quyết định",IF(OR(Z1051="",AA1051=""),"⚠ Thiếu lý do/người duyệt",IF(AND(X1051&lt;&gt;"",N(X1051)+N(R1051)+N(S1051)&gt;M1051*1.001,R1051&lt;&gt;""),"⚠ Vượt mục tiêu P90",IF(AND(Y1051&lt;&gt;"",ABS(N(Y1051))&gt;0.3),"⚠ Lệch &gt; 30% so với nhu cầu",IF(Q1051="Có","ℹ Kiểm tra ngoại suy KM","✓ Hợp lệ")))))</f>
        <v/>
      </c>
    </row>
    <row r="1052">
      <c r="A1052" s="16" t="n">
        <v>1048</v>
      </c>
      <c r="B1052" s="17" t="inlineStr">
        <is>
          <t>DEC-S29-BABY_CARE</t>
        </is>
      </c>
      <c r="C1052" s="16" t="n">
        <v>29</v>
      </c>
      <c r="D1052" s="17" t="inlineStr">
        <is>
          <t>BABY CARE</t>
        </is>
      </c>
      <c r="E1052" s="17" t="inlineStr">
        <is>
          <t>HIGH</t>
        </is>
      </c>
      <c r="F1052" s="17" t="inlineStr">
        <is>
          <t>TRUNG BÌNH</t>
        </is>
      </c>
      <c r="G1052" s="18" t="inlineStr">
        <is>
          <t>RISK_HIGH · PROMO_EXTRAPOLATION</t>
        </is>
      </c>
      <c r="H1052" s="19" t="n">
        <v>3.359562635421753</v>
      </c>
      <c r="I1052" s="19" t="n">
        <v>23.32513327896595</v>
      </c>
      <c r="J1052" s="19" t="n">
        <v>104.3554856806994</v>
      </c>
      <c r="K1052" s="19" t="n">
        <v>23.32513327896595</v>
      </c>
      <c r="L1052" s="19" t="n">
        <v>73.96910353004932</v>
      </c>
      <c r="M1052" s="19" t="n">
        <v>104.3554856806994</v>
      </c>
      <c r="N1052" s="17" t="inlineStr">
        <is>
          <t>B</t>
        </is>
      </c>
      <c r="O1052" s="19" t="n">
        <v>55.30899690687657</v>
      </c>
      <c r="P1052" s="18" t="inlineStr">
        <is>
          <t>KHÔNG ĐỀ XUẤT TĂNG</t>
        </is>
      </c>
      <c r="Q1052" s="17" t="inlineStr">
        <is>
          <t>Có</t>
        </is>
      </c>
      <c r="R1052" s="20" t="n"/>
      <c r="S1052" s="20" t="n"/>
      <c r="T1052" s="21" t="n"/>
      <c r="U1052" s="21" t="n"/>
      <c r="V1052" s="22">
        <f>IF(U1052="A",K1052,IF(U1052="B",L1052,IF(U1052="C",M1052,IF(N1052="A",K1052,IF(N1052="B",L1052,M1052)))))</f>
        <v/>
      </c>
      <c r="W1052" s="22">
        <f>IF(R1052="",O1052,MAX(V1052-R1052-N(S1052),0))</f>
        <v/>
      </c>
      <c r="X1052" s="20" t="n"/>
      <c r="Y1052" s="23">
        <f>IF(OR(X1052="",W1052=0),"",X1052/W1052-1)</f>
        <v/>
      </c>
      <c r="Z1052" s="24" t="n"/>
      <c r="AA1052" s="21" t="n"/>
      <c r="AB1052" s="25" t="n"/>
      <c r="AC1052" s="26">
        <f>IF(T1052="","Chưa quyết định",IF(OR(Z1052="",AA1052=""),"⚠ Thiếu lý do/người duyệt",IF(AND(X1052&lt;&gt;"",N(X1052)+N(R1052)+N(S1052)&gt;M1052*1.001,R1052&lt;&gt;""),"⚠ Vượt mục tiêu P90",IF(AND(Y1052&lt;&gt;"",ABS(N(Y1052))&gt;0.3),"⚠ Lệch &gt; 30% so với nhu cầu",IF(Q1052="Có","ℹ Kiểm tra ngoại suy KM","✓ Hợp lệ")))))</f>
        <v/>
      </c>
    </row>
    <row r="1053">
      <c r="A1053" s="16" t="n">
        <v>1049</v>
      </c>
      <c r="B1053" s="17" t="inlineStr">
        <is>
          <t>DEC-S16-PET_SUPPLIES</t>
        </is>
      </c>
      <c r="C1053" s="16" t="n">
        <v>16</v>
      </c>
      <c r="D1053" s="17" t="inlineStr">
        <is>
          <t>PET SUPPLIES</t>
        </is>
      </c>
      <c r="E1053" s="17" t="inlineStr">
        <is>
          <t>HIGH</t>
        </is>
      </c>
      <c r="F1053" s="17" t="inlineStr">
        <is>
          <t>TRUNG BÌNH</t>
        </is>
      </c>
      <c r="G1053" s="18" t="inlineStr">
        <is>
          <t>RISK_HIGH · PROMO_EXTRAPOLATION</t>
        </is>
      </c>
      <c r="H1053" s="19" t="n">
        <v>2.059615629911423</v>
      </c>
      <c r="I1053" s="19" t="n">
        <v>23.28366902470589</v>
      </c>
      <c r="J1053" s="19" t="n">
        <v>106.4431071102619</v>
      </c>
      <c r="K1053" s="19" t="n">
        <v>23.28366902470589</v>
      </c>
      <c r="L1053" s="19" t="n">
        <v>75.25831782817841</v>
      </c>
      <c r="M1053" s="19" t="n">
        <v>106.4431071102619</v>
      </c>
      <c r="N1053" s="17" t="inlineStr">
        <is>
          <t>B</t>
        </is>
      </c>
      <c r="O1053" s="19" t="n">
        <v>56.63138260841369</v>
      </c>
      <c r="P1053" s="18" t="inlineStr">
        <is>
          <t>KHÔNG ĐỀ XUẤT TĂNG</t>
        </is>
      </c>
      <c r="Q1053" s="17" t="inlineStr">
        <is>
          <t>Có</t>
        </is>
      </c>
      <c r="R1053" s="20" t="n"/>
      <c r="S1053" s="20" t="n"/>
      <c r="T1053" s="21" t="n"/>
      <c r="U1053" s="21" t="n"/>
      <c r="V1053" s="22">
        <f>IF(U1053="A",K1053,IF(U1053="B",L1053,IF(U1053="C",M1053,IF(N1053="A",K1053,IF(N1053="B",L1053,M1053)))))</f>
        <v/>
      </c>
      <c r="W1053" s="22">
        <f>IF(R1053="",O1053,MAX(V1053-R1053-N(S1053),0))</f>
        <v/>
      </c>
      <c r="X1053" s="20" t="n"/>
      <c r="Y1053" s="23">
        <f>IF(OR(X1053="",W1053=0),"",X1053/W1053-1)</f>
        <v/>
      </c>
      <c r="Z1053" s="24" t="n"/>
      <c r="AA1053" s="21" t="n"/>
      <c r="AB1053" s="25" t="n"/>
      <c r="AC1053" s="26">
        <f>IF(T1053="","Chưa quyết định",IF(OR(Z1053="",AA1053=""),"⚠ Thiếu lý do/người duyệt",IF(AND(X1053&lt;&gt;"",N(X1053)+N(R1053)+N(S1053)&gt;M1053*1.001,R1053&lt;&gt;""),"⚠ Vượt mục tiêu P90",IF(AND(Y1053&lt;&gt;"",ABS(N(Y1053))&gt;0.3),"⚠ Lệch &gt; 30% so với nhu cầu",IF(Q1053="Có","ℹ Kiểm tra ngoại suy KM","✓ Hợp lệ")))))</f>
        <v/>
      </c>
    </row>
    <row r="1054">
      <c r="A1054" s="16" t="n">
        <v>1050</v>
      </c>
      <c r="B1054" s="17" t="inlineStr">
        <is>
          <t>DEC-S17-LAWN_AND_GARDEN</t>
        </is>
      </c>
      <c r="C1054" s="16" t="n">
        <v>17</v>
      </c>
      <c r="D1054" s="17" t="inlineStr">
        <is>
          <t>LAWN AND GARDEN</t>
        </is>
      </c>
      <c r="E1054" s="17" t="inlineStr">
        <is>
          <t>HIGH</t>
        </is>
      </c>
      <c r="F1054" s="17" t="inlineStr">
        <is>
          <t>TRUNG BÌNH</t>
        </is>
      </c>
      <c r="G1054" s="18" t="inlineStr">
        <is>
          <t>RISK_HIGH · PROMO_EXTRAPOLATION</t>
        </is>
      </c>
      <c r="H1054" s="19" t="n">
        <v>3.570380860567093</v>
      </c>
      <c r="I1054" s="19" t="n">
        <v>23.20434994995594</v>
      </c>
      <c r="J1054" s="19" t="n">
        <v>104.2347023516893</v>
      </c>
      <c r="K1054" s="19" t="n">
        <v>23.20434994995594</v>
      </c>
      <c r="L1054" s="19" t="n">
        <v>73.84832020103931</v>
      </c>
      <c r="M1054" s="19" t="n">
        <v>104.2347023516893</v>
      </c>
      <c r="N1054" s="17" t="inlineStr">
        <is>
          <t>B</t>
        </is>
      </c>
      <c r="O1054" s="19" t="n">
        <v>55.28484024107456</v>
      </c>
      <c r="P1054" s="18" t="inlineStr">
        <is>
          <t>KHÔNG ĐỀ XUẤT TĂNG</t>
        </is>
      </c>
      <c r="Q1054" s="17" t="inlineStr">
        <is>
          <t>Có</t>
        </is>
      </c>
      <c r="R1054" s="20" t="n"/>
      <c r="S1054" s="20" t="n"/>
      <c r="T1054" s="21" t="n"/>
      <c r="U1054" s="21" t="n"/>
      <c r="V1054" s="22">
        <f>IF(U1054="A",K1054,IF(U1054="B",L1054,IF(U1054="C",M1054,IF(N1054="A",K1054,IF(N1054="B",L1054,M1054)))))</f>
        <v/>
      </c>
      <c r="W1054" s="22">
        <f>IF(R1054="",O1054,MAX(V1054-R1054-N(S1054),0))</f>
        <v/>
      </c>
      <c r="X1054" s="20" t="n"/>
      <c r="Y1054" s="23">
        <f>IF(OR(X1054="",W1054=0),"",X1054/W1054-1)</f>
        <v/>
      </c>
      <c r="Z1054" s="24" t="n"/>
      <c r="AA1054" s="21" t="n"/>
      <c r="AB1054" s="25" t="n"/>
      <c r="AC1054" s="26">
        <f>IF(T1054="","Chưa quyết định",IF(OR(Z1054="",AA1054=""),"⚠ Thiếu lý do/người duyệt",IF(AND(X1054&lt;&gt;"",N(X1054)+N(R1054)+N(S1054)&gt;M1054*1.001,R1054&lt;&gt;""),"⚠ Vượt mục tiêu P90",IF(AND(Y1054&lt;&gt;"",ABS(N(Y1054))&gt;0.3),"⚠ Lệch &gt; 30% so với nhu cầu",IF(Q1054="Có","ℹ Kiểm tra ngoại suy KM","✓ Hợp lệ")))))</f>
        <v/>
      </c>
    </row>
    <row r="1055">
      <c r="A1055" s="16" t="n">
        <v>1051</v>
      </c>
      <c r="B1055" s="17" t="inlineStr">
        <is>
          <t>DEC-S33-MAGAZINES</t>
        </is>
      </c>
      <c r="C1055" s="16" t="n">
        <v>33</v>
      </c>
      <c r="D1055" s="17" t="inlineStr">
        <is>
          <t>MAGAZINES</t>
        </is>
      </c>
      <c r="E1055" s="17" t="inlineStr">
        <is>
          <t>HIGH</t>
        </is>
      </c>
      <c r="F1055" s="17" t="inlineStr">
        <is>
          <t>TRUNG BÌNH</t>
        </is>
      </c>
      <c r="G1055" s="18" t="inlineStr">
        <is>
          <t>RISK_HIGH · PROMO_EXTRAPOLATION</t>
        </is>
      </c>
      <c r="H1055" s="19" t="n">
        <v>4.67398945093155</v>
      </c>
      <c r="I1055" s="19" t="n">
        <v>23.11262434720993</v>
      </c>
      <c r="J1055" s="19" t="n">
        <v>102.0138910651207</v>
      </c>
      <c r="K1055" s="19" t="n">
        <v>23.11262434720993</v>
      </c>
      <c r="L1055" s="19" t="n">
        <v>72.42591604590416</v>
      </c>
      <c r="M1055" s="19" t="n">
        <v>102.0138910651207</v>
      </c>
      <c r="N1055" s="17" t="inlineStr">
        <is>
          <t>B</t>
        </is>
      </c>
      <c r="O1055" s="19" t="n">
        <v>53.93581656813622</v>
      </c>
      <c r="P1055" s="18" t="inlineStr">
        <is>
          <t>KHÔNG ĐỀ XUẤT TĂNG</t>
        </is>
      </c>
      <c r="Q1055" s="17" t="inlineStr">
        <is>
          <t>Có</t>
        </is>
      </c>
      <c r="R1055" s="20" t="n"/>
      <c r="S1055" s="20" t="n"/>
      <c r="T1055" s="21" t="n"/>
      <c r="U1055" s="21" t="n"/>
      <c r="V1055" s="22">
        <f>IF(U1055="A",K1055,IF(U1055="B",L1055,IF(U1055="C",M1055,IF(N1055="A",K1055,IF(N1055="B",L1055,M1055)))))</f>
        <v/>
      </c>
      <c r="W1055" s="22">
        <f>IF(R1055="",O1055,MAX(V1055-R1055-N(S1055),0))</f>
        <v/>
      </c>
      <c r="X1055" s="20" t="n"/>
      <c r="Y1055" s="23">
        <f>IF(OR(X1055="",W1055=0),"",X1055/W1055-1)</f>
        <v/>
      </c>
      <c r="Z1055" s="24" t="n"/>
      <c r="AA1055" s="21" t="n"/>
      <c r="AB1055" s="25" t="n"/>
      <c r="AC1055" s="26">
        <f>IF(T1055="","Chưa quyết định",IF(OR(Z1055="",AA1055=""),"⚠ Thiếu lý do/người duyệt",IF(AND(X1055&lt;&gt;"",N(X1055)+N(R1055)+N(S1055)&gt;M1055*1.001,R1055&lt;&gt;""),"⚠ Vượt mục tiêu P90",IF(AND(Y1055&lt;&gt;"",ABS(N(Y1055))&gt;0.3),"⚠ Lệch &gt; 30% so với nhu cầu",IF(Q1055="Có","ℹ Kiểm tra ngoại suy KM","✓ Hợp lệ")))))</f>
        <v/>
      </c>
    </row>
    <row r="1056">
      <c r="A1056" s="16" t="n">
        <v>1052</v>
      </c>
      <c r="B1056" s="17" t="inlineStr">
        <is>
          <t>DEC-S14-SEAFOOD</t>
        </is>
      </c>
      <c r="C1056" s="16" t="n">
        <v>14</v>
      </c>
      <c r="D1056" s="17" t="inlineStr">
        <is>
          <t>SEAFOOD</t>
        </is>
      </c>
      <c r="E1056" s="17" t="inlineStr">
        <is>
          <t>HIGH</t>
        </is>
      </c>
      <c r="F1056" s="17" t="inlineStr">
        <is>
          <t>TRUNG BÌNH</t>
        </is>
      </c>
      <c r="G1056" s="18" t="inlineStr">
        <is>
          <t>RISK_HIGH · PROMO_EXTRAPOLATION</t>
        </is>
      </c>
      <c r="H1056" s="19" t="n">
        <v>0.1930549800395966</v>
      </c>
      <c r="I1056" s="19" t="n">
        <v>23.08795550465584</v>
      </c>
      <c r="J1056" s="19" t="n">
        <v>112.4693693459034</v>
      </c>
      <c r="K1056" s="19" t="n">
        <v>23.08795550465584</v>
      </c>
      <c r="L1056" s="19" t="n">
        <v>78.95133915543556</v>
      </c>
      <c r="M1056" s="19" t="n">
        <v>112.4693693459034</v>
      </c>
      <c r="N1056" s="17" t="inlineStr">
        <is>
          <t>B</t>
        </is>
      </c>
      <c r="O1056" s="19" t="n">
        <v>60.48097475171089</v>
      </c>
      <c r="P1056" s="18" t="inlineStr">
        <is>
          <t>KHÔNG ĐỀ XUẤT TĂNG</t>
        </is>
      </c>
      <c r="Q1056" s="17" t="inlineStr">
        <is>
          <t>Có</t>
        </is>
      </c>
      <c r="R1056" s="20" t="n"/>
      <c r="S1056" s="20" t="n"/>
      <c r="T1056" s="21" t="n"/>
      <c r="U1056" s="21" t="n"/>
      <c r="V1056" s="22">
        <f>IF(U1056="A",K1056,IF(U1056="B",L1056,IF(U1056="C",M1056,IF(N1056="A",K1056,IF(N1056="B",L1056,M1056)))))</f>
        <v/>
      </c>
      <c r="W1056" s="22">
        <f>IF(R1056="",O1056,MAX(V1056-R1056-N(S1056),0))</f>
        <v/>
      </c>
      <c r="X1056" s="20" t="n"/>
      <c r="Y1056" s="23">
        <f>IF(OR(X1056="",W1056=0),"",X1056/W1056-1)</f>
        <v/>
      </c>
      <c r="Z1056" s="24" t="n"/>
      <c r="AA1056" s="21" t="n"/>
      <c r="AB1056" s="25" t="n"/>
      <c r="AC1056" s="26">
        <f>IF(T1056="","Chưa quyết định",IF(OR(Z1056="",AA1056=""),"⚠ Thiếu lý do/người duyệt",IF(AND(X1056&lt;&gt;"",N(X1056)+N(R1056)+N(S1056)&gt;M1056*1.001,R1056&lt;&gt;""),"⚠ Vượt mục tiêu P90",IF(AND(Y1056&lt;&gt;"",ABS(N(Y1056))&gt;0.3),"⚠ Lệch &gt; 30% so với nhu cầu",IF(Q1056="Có","ℹ Kiểm tra ngoại suy KM","✓ Hợp lệ")))))</f>
        <v/>
      </c>
    </row>
    <row r="1057">
      <c r="A1057" s="16" t="n">
        <v>1053</v>
      </c>
      <c r="B1057" s="17" t="inlineStr">
        <is>
          <t>DEC-S01-HARDWARE</t>
        </is>
      </c>
      <c r="C1057" s="16" t="n">
        <v>1</v>
      </c>
      <c r="D1057" s="17" t="inlineStr">
        <is>
          <t>HARDWARE</t>
        </is>
      </c>
      <c r="E1057" s="17" t="inlineStr">
        <is>
          <t>HIGH</t>
        </is>
      </c>
      <c r="F1057" s="17" t="inlineStr">
        <is>
          <t>TRUNG BÌNH</t>
        </is>
      </c>
      <c r="G1057" s="18" t="inlineStr">
        <is>
          <t>RISK_HIGH · PROMO_EXTRAPOLATION</t>
        </is>
      </c>
      <c r="H1057" s="19" t="n">
        <v>4.685286644101144</v>
      </c>
      <c r="I1057" s="19" t="n">
        <v>22.93261177837849</v>
      </c>
      <c r="J1057" s="19" t="n">
        <v>101.8338784962892</v>
      </c>
      <c r="K1057" s="19" t="n">
        <v>22.93261177837849</v>
      </c>
      <c r="L1057" s="19" t="n">
        <v>72.24590347707272</v>
      </c>
      <c r="M1057" s="19" t="n">
        <v>101.8338784962892</v>
      </c>
      <c r="N1057" s="17" t="inlineStr">
        <is>
          <t>B</t>
        </is>
      </c>
      <c r="O1057" s="19" t="n">
        <v>53.89981405436993</v>
      </c>
      <c r="P1057" s="18" t="inlineStr">
        <is>
          <t>KHÔNG ĐỀ XUẤT TĂNG</t>
        </is>
      </c>
      <c r="Q1057" s="17" t="inlineStr">
        <is>
          <t>Có</t>
        </is>
      </c>
      <c r="R1057" s="20" t="n"/>
      <c r="S1057" s="20" t="n"/>
      <c r="T1057" s="21" t="n"/>
      <c r="U1057" s="21" t="n"/>
      <c r="V1057" s="22">
        <f>IF(U1057="A",K1057,IF(U1057="B",L1057,IF(U1057="C",M1057,IF(N1057="A",K1057,IF(N1057="B",L1057,M1057)))))</f>
        <v/>
      </c>
      <c r="W1057" s="22">
        <f>IF(R1057="",O1057,MAX(V1057-R1057-N(S1057),0))</f>
        <v/>
      </c>
      <c r="X1057" s="20" t="n"/>
      <c r="Y1057" s="23">
        <f>IF(OR(X1057="",W1057=0),"",X1057/W1057-1)</f>
        <v/>
      </c>
      <c r="Z1057" s="24" t="n"/>
      <c r="AA1057" s="21" t="n"/>
      <c r="AB1057" s="25" t="n"/>
      <c r="AC1057" s="26">
        <f>IF(T1057="","Chưa quyết định",IF(OR(Z1057="",AA1057=""),"⚠ Thiếu lý do/người duyệt",IF(AND(X1057&lt;&gt;"",N(X1057)+N(R1057)+N(S1057)&gt;M1057*1.001,R1057&lt;&gt;""),"⚠ Vượt mục tiêu P90",IF(AND(Y1057&lt;&gt;"",ABS(N(Y1057))&gt;0.3),"⚠ Lệch &gt; 30% so với nhu cầu",IF(Q1057="Có","ℹ Kiểm tra ngoại suy KM","✓ Hợp lệ")))))</f>
        <v/>
      </c>
    </row>
    <row r="1058">
      <c r="A1058" s="16" t="n">
        <v>1054</v>
      </c>
      <c r="B1058" s="17" t="inlineStr">
        <is>
          <t>DEC-S19-MAGAZINES</t>
        </is>
      </c>
      <c r="C1058" s="16" t="n">
        <v>19</v>
      </c>
      <c r="D1058" s="17" t="inlineStr">
        <is>
          <t>MAGAZINES</t>
        </is>
      </c>
      <c r="E1058" s="17" t="inlineStr">
        <is>
          <t>HIGH</t>
        </is>
      </c>
      <c r="F1058" s="17" t="inlineStr">
        <is>
          <t>TRUNG BÌNH</t>
        </is>
      </c>
      <c r="G1058" s="18" t="inlineStr">
        <is>
          <t>RISK_HIGH · PROMO_EXTRAPOLATION</t>
        </is>
      </c>
      <c r="H1058" s="19" t="n">
        <v>2.380934321880341</v>
      </c>
      <c r="I1058" s="19" t="n">
        <v>22.53119730204344</v>
      </c>
      <c r="J1058" s="19" t="n">
        <v>103.5615497037768</v>
      </c>
      <c r="K1058" s="19" t="n">
        <v>22.53119730204344</v>
      </c>
      <c r="L1058" s="19" t="n">
        <v>73.17516755312681</v>
      </c>
      <c r="M1058" s="19" t="n">
        <v>103.5615497037768</v>
      </c>
      <c r="N1058" s="17" t="inlineStr">
        <is>
          <t>B</t>
        </is>
      </c>
      <c r="O1058" s="19" t="n">
        <v>55.15020971149206</v>
      </c>
      <c r="P1058" s="18" t="inlineStr">
        <is>
          <t>KHÔNG ĐỀ XUẤT TĂNG</t>
        </is>
      </c>
      <c r="Q1058" s="17" t="inlineStr">
        <is>
          <t>Có</t>
        </is>
      </c>
      <c r="R1058" s="20" t="n"/>
      <c r="S1058" s="20" t="n"/>
      <c r="T1058" s="21" t="n"/>
      <c r="U1058" s="21" t="n"/>
      <c r="V1058" s="22">
        <f>IF(U1058="A",K1058,IF(U1058="B",L1058,IF(U1058="C",M1058,IF(N1058="A",K1058,IF(N1058="B",L1058,M1058)))))</f>
        <v/>
      </c>
      <c r="W1058" s="22">
        <f>IF(R1058="",O1058,MAX(V1058-R1058-N(S1058),0))</f>
        <v/>
      </c>
      <c r="X1058" s="20" t="n"/>
      <c r="Y1058" s="23">
        <f>IF(OR(X1058="",W1058=0),"",X1058/W1058-1)</f>
        <v/>
      </c>
      <c r="Z1058" s="24" t="n"/>
      <c r="AA1058" s="21" t="n"/>
      <c r="AB1058" s="25" t="n"/>
      <c r="AC1058" s="26">
        <f>IF(T1058="","Chưa quyết định",IF(OR(Z1058="",AA1058=""),"⚠ Thiếu lý do/người duyệt",IF(AND(X1058&lt;&gt;"",N(X1058)+N(R1058)+N(S1058)&gt;M1058*1.001,R1058&lt;&gt;""),"⚠ Vượt mục tiêu P90",IF(AND(Y1058&lt;&gt;"",ABS(N(Y1058))&gt;0.3),"⚠ Lệch &gt; 30% so với nhu cầu",IF(Q1058="Có","ℹ Kiểm tra ngoại suy KM","✓ Hợp lệ")))))</f>
        <v/>
      </c>
    </row>
    <row r="1059">
      <c r="A1059" s="16" t="n">
        <v>1055</v>
      </c>
      <c r="B1059" s="17" t="inlineStr">
        <is>
          <t>DEC-S15-PET_SUPPLIES</t>
        </is>
      </c>
      <c r="C1059" s="16" t="n">
        <v>15</v>
      </c>
      <c r="D1059" s="17" t="inlineStr">
        <is>
          <t>PET SUPPLIES</t>
        </is>
      </c>
      <c r="E1059" s="17" t="inlineStr">
        <is>
          <t>HIGH</t>
        </is>
      </c>
      <c r="F1059" s="17" t="inlineStr">
        <is>
          <t>TRUNG BÌNH</t>
        </is>
      </c>
      <c r="G1059" s="18" t="inlineStr">
        <is>
          <t>RISK_HIGH · PROMO_EXTRAPOLATION</t>
        </is>
      </c>
      <c r="H1059" s="19" t="n">
        <v>4.128281146287918</v>
      </c>
      <c r="I1059" s="19" t="n">
        <v>22.52239832282066</v>
      </c>
      <c r="J1059" s="19" t="n">
        <v>101.4236650407314</v>
      </c>
      <c r="K1059" s="19" t="n">
        <v>22.52239832282066</v>
      </c>
      <c r="L1059" s="19" t="n">
        <v>71.83569002151489</v>
      </c>
      <c r="M1059" s="19" t="n">
        <v>101.4236650407314</v>
      </c>
      <c r="N1059" s="17" t="inlineStr">
        <is>
          <t>B</t>
        </is>
      </c>
      <c r="O1059" s="19" t="n">
        <v>53.81777136325836</v>
      </c>
      <c r="P1059" s="18" t="inlineStr">
        <is>
          <t>KHÔNG ĐỀ XUẤT TĂNG</t>
        </is>
      </c>
      <c r="Q1059" s="17" t="inlineStr">
        <is>
          <t>Có</t>
        </is>
      </c>
      <c r="R1059" s="20" t="n"/>
      <c r="S1059" s="20" t="n"/>
      <c r="T1059" s="21" t="n"/>
      <c r="U1059" s="21" t="n"/>
      <c r="V1059" s="22">
        <f>IF(U1059="A",K1059,IF(U1059="B",L1059,IF(U1059="C",M1059,IF(N1059="A",K1059,IF(N1059="B",L1059,M1059)))))</f>
        <v/>
      </c>
      <c r="W1059" s="22">
        <f>IF(R1059="",O1059,MAX(V1059-R1059-N(S1059),0))</f>
        <v/>
      </c>
      <c r="X1059" s="20" t="n"/>
      <c r="Y1059" s="23">
        <f>IF(OR(X1059="",W1059=0),"",X1059/W1059-1)</f>
        <v/>
      </c>
      <c r="Z1059" s="24" t="n"/>
      <c r="AA1059" s="21" t="n"/>
      <c r="AB1059" s="25" t="n"/>
      <c r="AC1059" s="26">
        <f>IF(T1059="","Chưa quyết định",IF(OR(Z1059="",AA1059=""),"⚠ Thiếu lý do/người duyệt",IF(AND(X1059&lt;&gt;"",N(X1059)+N(R1059)+N(S1059)&gt;M1059*1.001,R1059&lt;&gt;""),"⚠ Vượt mục tiêu P90",IF(AND(Y1059&lt;&gt;"",ABS(N(Y1059))&gt;0.3),"⚠ Lệch &gt; 30% so với nhu cầu",IF(Q1059="Có","ℹ Kiểm tra ngoại suy KM","✓ Hợp lệ")))))</f>
        <v/>
      </c>
    </row>
    <row r="1060">
      <c r="A1060" s="16" t="n">
        <v>1056</v>
      </c>
      <c r="B1060" s="17" t="inlineStr">
        <is>
          <t>DEC-S26-PLAYERS_AND_ELECTRONICS</t>
        </is>
      </c>
      <c r="C1060" s="16" t="n">
        <v>26</v>
      </c>
      <c r="D1060" s="17" t="inlineStr">
        <is>
          <t>PLAYERS AND ELECTRONICS</t>
        </is>
      </c>
      <c r="E1060" s="17" t="inlineStr">
        <is>
          <t>HIGH</t>
        </is>
      </c>
      <c r="F1060" s="17" t="inlineStr">
        <is>
          <t>TRUNG BÌNH</t>
        </is>
      </c>
      <c r="G1060" s="18" t="inlineStr">
        <is>
          <t>RISK_HIGH · PROMO_EXTRAPOLATION</t>
        </is>
      </c>
      <c r="H1060" s="19" t="n">
        <v>2.265009450912476</v>
      </c>
      <c r="I1060" s="19" t="n">
        <v>22.37455750256777</v>
      </c>
      <c r="J1060" s="19" t="n">
        <v>103.4049099043012</v>
      </c>
      <c r="K1060" s="19" t="n">
        <v>22.37455750256777</v>
      </c>
      <c r="L1060" s="19" t="n">
        <v>73.01852775365114</v>
      </c>
      <c r="M1060" s="19" t="n">
        <v>103.4049099043012</v>
      </c>
      <c r="N1060" s="17" t="inlineStr">
        <is>
          <t>B</t>
        </is>
      </c>
      <c r="O1060" s="19" t="n">
        <v>55.11888175159693</v>
      </c>
      <c r="P1060" s="18" t="inlineStr">
        <is>
          <t>KHÔNG ĐỀ XUẤT TĂNG</t>
        </is>
      </c>
      <c r="Q1060" s="17" t="inlineStr">
        <is>
          <t>Có</t>
        </is>
      </c>
      <c r="R1060" s="20" t="n"/>
      <c r="S1060" s="20" t="n"/>
      <c r="T1060" s="21" t="n"/>
      <c r="U1060" s="21" t="n"/>
      <c r="V1060" s="22">
        <f>IF(U1060="A",K1060,IF(U1060="B",L1060,IF(U1060="C",M1060,IF(N1060="A",K1060,IF(N1060="B",L1060,M1060)))))</f>
        <v/>
      </c>
      <c r="W1060" s="22">
        <f>IF(R1060="",O1060,MAX(V1060-R1060-N(S1060),0))</f>
        <v/>
      </c>
      <c r="X1060" s="20" t="n"/>
      <c r="Y1060" s="23">
        <f>IF(OR(X1060="",W1060=0),"",X1060/W1060-1)</f>
        <v/>
      </c>
      <c r="Z1060" s="24" t="n"/>
      <c r="AA1060" s="21" t="n"/>
      <c r="AB1060" s="25" t="n"/>
      <c r="AC1060" s="26">
        <f>IF(T1060="","Chưa quyết định",IF(OR(Z1060="",AA1060=""),"⚠ Thiếu lý do/người duyệt",IF(AND(X1060&lt;&gt;"",N(X1060)+N(R1060)+N(S1060)&gt;M1060*1.001,R1060&lt;&gt;""),"⚠ Vượt mục tiêu P90",IF(AND(Y1060&lt;&gt;"",ABS(N(Y1060))&gt;0.3),"⚠ Lệch &gt; 30% so với nhu cầu",IF(Q1060="Có","ℹ Kiểm tra ngoại suy KM","✓ Hợp lệ")))))</f>
        <v/>
      </c>
    </row>
    <row r="1061">
      <c r="A1061" s="16" t="n">
        <v>1057</v>
      </c>
      <c r="B1061" s="17" t="inlineStr">
        <is>
          <t>DEC-S32-AUTOMOTIVE</t>
        </is>
      </c>
      <c r="C1061" s="16" t="n">
        <v>32</v>
      </c>
      <c r="D1061" s="17" t="inlineStr">
        <is>
          <t>AUTOMOTIVE</t>
        </is>
      </c>
      <c r="E1061" s="17" t="inlineStr">
        <is>
          <t>HIGH</t>
        </is>
      </c>
      <c r="F1061" s="17" t="inlineStr">
        <is>
          <t>TRUNG BÌNH</t>
        </is>
      </c>
      <c r="G1061" s="18" t="inlineStr">
        <is>
          <t>RISK_HIGH · PROMO_EXTRAPOLATION</t>
        </is>
      </c>
      <c r="H1061" s="19" t="n">
        <v>4.829737854003907</v>
      </c>
      <c r="I1061" s="19" t="n">
        <v>22.28753635287285</v>
      </c>
      <c r="J1061" s="19" t="n">
        <v>99.3195837199688</v>
      </c>
      <c r="K1061" s="19" t="n">
        <v>22.28753635287285</v>
      </c>
      <c r="L1061" s="19" t="n">
        <v>70.43256595730782</v>
      </c>
      <c r="M1061" s="19" t="n">
        <v>99.3195837199688</v>
      </c>
      <c r="N1061" s="17" t="inlineStr">
        <is>
          <t>B</t>
        </is>
      </c>
      <c r="O1061" s="19" t="n">
        <v>52.60253687500953</v>
      </c>
      <c r="P1061" s="18" t="inlineStr">
        <is>
          <t>KHÔNG ĐỀ XUẤT TĂNG</t>
        </is>
      </c>
      <c r="Q1061" s="17" t="inlineStr">
        <is>
          <t>Có</t>
        </is>
      </c>
      <c r="R1061" s="20" t="n"/>
      <c r="S1061" s="20" t="n"/>
      <c r="T1061" s="21" t="n"/>
      <c r="U1061" s="21" t="n"/>
      <c r="V1061" s="22">
        <f>IF(U1061="A",K1061,IF(U1061="B",L1061,IF(U1061="C",M1061,IF(N1061="A",K1061,IF(N1061="B",L1061,M1061)))))</f>
        <v/>
      </c>
      <c r="W1061" s="22">
        <f>IF(R1061="",O1061,MAX(V1061-R1061-N(S1061),0))</f>
        <v/>
      </c>
      <c r="X1061" s="20" t="n"/>
      <c r="Y1061" s="23">
        <f>IF(OR(X1061="",W1061=0),"",X1061/W1061-1)</f>
        <v/>
      </c>
      <c r="Z1061" s="24" t="n"/>
      <c r="AA1061" s="21" t="n"/>
      <c r="AB1061" s="25" t="n"/>
      <c r="AC1061" s="26">
        <f>IF(T1061="","Chưa quyết định",IF(OR(Z1061="",AA1061=""),"⚠ Thiếu lý do/người duyệt",IF(AND(X1061&lt;&gt;"",N(X1061)+N(R1061)+N(S1061)&gt;M1061*1.001,R1061&lt;&gt;""),"⚠ Vượt mục tiêu P90",IF(AND(Y1061&lt;&gt;"",ABS(N(Y1061))&gt;0.3),"⚠ Lệch &gt; 30% so với nhu cầu",IF(Q1061="Có","ℹ Kiểm tra ngoại suy KM","✓ Hợp lệ")))))</f>
        <v/>
      </c>
    </row>
    <row r="1062">
      <c r="A1062" s="16" t="n">
        <v>1058</v>
      </c>
      <c r="B1062" s="17" t="inlineStr">
        <is>
          <t>DEC-S22-PET_SUPPLIES</t>
        </is>
      </c>
      <c r="C1062" s="16" t="n">
        <v>22</v>
      </c>
      <c r="D1062" s="17" t="inlineStr">
        <is>
          <t>PET SUPPLIES</t>
        </is>
      </c>
      <c r="E1062" s="17" t="inlineStr">
        <is>
          <t>HIGH</t>
        </is>
      </c>
      <c r="F1062" s="17" t="inlineStr">
        <is>
          <t>TRUNG BÌNH</t>
        </is>
      </c>
      <c r="G1062" s="18" t="inlineStr">
        <is>
          <t>RISK_HIGH · PROMO_EXTRAPOLATION</t>
        </is>
      </c>
      <c r="H1062" s="19" t="n">
        <v>3.879644870758057</v>
      </c>
      <c r="I1062" s="19" t="n">
        <v>22.27728991210461</v>
      </c>
      <c r="J1062" s="19" t="n">
        <v>101.1785566300154</v>
      </c>
      <c r="K1062" s="19" t="n">
        <v>22.27728991210461</v>
      </c>
      <c r="L1062" s="19" t="n">
        <v>71.59058161079884</v>
      </c>
      <c r="M1062" s="19" t="n">
        <v>101.1785566300154</v>
      </c>
      <c r="N1062" s="17" t="inlineStr">
        <is>
          <t>B</t>
        </is>
      </c>
      <c r="O1062" s="19" t="n">
        <v>53.76874968111515</v>
      </c>
      <c r="P1062" s="18" t="inlineStr">
        <is>
          <t>KHÔNG ĐỀ XUẤT TĂNG</t>
        </is>
      </c>
      <c r="Q1062" s="17" t="inlineStr">
        <is>
          <t>Có</t>
        </is>
      </c>
      <c r="R1062" s="20" t="n"/>
      <c r="S1062" s="20" t="n"/>
      <c r="T1062" s="21" t="n"/>
      <c r="U1062" s="21" t="n"/>
      <c r="V1062" s="22">
        <f>IF(U1062="A",K1062,IF(U1062="B",L1062,IF(U1062="C",M1062,IF(N1062="A",K1062,IF(N1062="B",L1062,M1062)))))</f>
        <v/>
      </c>
      <c r="W1062" s="22">
        <f>IF(R1062="",O1062,MAX(V1062-R1062-N(S1062),0))</f>
        <v/>
      </c>
      <c r="X1062" s="20" t="n"/>
      <c r="Y1062" s="23">
        <f>IF(OR(X1062="",W1062=0),"",X1062/W1062-1)</f>
        <v/>
      </c>
      <c r="Z1062" s="24" t="n"/>
      <c r="AA1062" s="21" t="n"/>
      <c r="AB1062" s="25" t="n"/>
      <c r="AC1062" s="26">
        <f>IF(T1062="","Chưa quyết định",IF(OR(Z1062="",AA1062=""),"⚠ Thiếu lý do/người duyệt",IF(AND(X1062&lt;&gt;"",N(X1062)+N(R1062)+N(S1062)&gt;M1062*1.001,R1062&lt;&gt;""),"⚠ Vượt mục tiêu P90",IF(AND(Y1062&lt;&gt;"",ABS(N(Y1062))&gt;0.3),"⚠ Lệch &gt; 30% so với nhu cầu",IF(Q1062="Có","ℹ Kiểm tra ngoại suy KM","✓ Hợp lệ")))))</f>
        <v/>
      </c>
    </row>
    <row r="1063">
      <c r="A1063" s="16" t="n">
        <v>1059</v>
      </c>
      <c r="B1063" s="17" t="inlineStr">
        <is>
          <t>DEC-S02-BABY_CARE</t>
        </is>
      </c>
      <c r="C1063" s="16" t="n">
        <v>2</v>
      </c>
      <c r="D1063" s="17" t="inlineStr">
        <is>
          <t>BABY CARE</t>
        </is>
      </c>
      <c r="E1063" s="17" t="inlineStr">
        <is>
          <t>HIGH</t>
        </is>
      </c>
      <c r="F1063" s="17" t="inlineStr">
        <is>
          <t>TRUNG BÌNH</t>
        </is>
      </c>
      <c r="G1063" s="18" t="inlineStr">
        <is>
          <t>RISK_HIGH · PROMO_EXTRAPOLATION</t>
        </is>
      </c>
      <c r="H1063" s="19" t="n">
        <v>3.122838458418847</v>
      </c>
      <c r="I1063" s="19" t="n">
        <v>22.12874179380015</v>
      </c>
      <c r="J1063" s="19" t="n">
        <v>101.0300085117109</v>
      </c>
      <c r="K1063" s="19" t="n">
        <v>22.12874179380015</v>
      </c>
      <c r="L1063" s="19" t="n">
        <v>71.44203349249437</v>
      </c>
      <c r="M1063" s="19" t="n">
        <v>101.0300085117109</v>
      </c>
      <c r="N1063" s="17" t="inlineStr">
        <is>
          <t>B</t>
        </is>
      </c>
      <c r="O1063" s="19" t="n">
        <v>53.73904005745426</v>
      </c>
      <c r="P1063" s="18" t="inlineStr">
        <is>
          <t>KHÔNG ĐỀ XUẤT TĂNG</t>
        </is>
      </c>
      <c r="Q1063" s="17" t="inlineStr">
        <is>
          <t>Có</t>
        </is>
      </c>
      <c r="R1063" s="20" t="n"/>
      <c r="S1063" s="20" t="n"/>
      <c r="T1063" s="21" t="n"/>
      <c r="U1063" s="21" t="n"/>
      <c r="V1063" s="22">
        <f>IF(U1063="A",K1063,IF(U1063="B",L1063,IF(U1063="C",M1063,IF(N1063="A",K1063,IF(N1063="B",L1063,M1063)))))</f>
        <v/>
      </c>
      <c r="W1063" s="22">
        <f>IF(R1063="",O1063,MAX(V1063-R1063-N(S1063),0))</f>
        <v/>
      </c>
      <c r="X1063" s="20" t="n"/>
      <c r="Y1063" s="23">
        <f>IF(OR(X1063="",W1063=0),"",X1063/W1063-1)</f>
        <v/>
      </c>
      <c r="Z1063" s="24" t="n"/>
      <c r="AA1063" s="21" t="n"/>
      <c r="AB1063" s="25" t="n"/>
      <c r="AC1063" s="26">
        <f>IF(T1063="","Chưa quyết định",IF(OR(Z1063="",AA1063=""),"⚠ Thiếu lý do/người duyệt",IF(AND(X1063&lt;&gt;"",N(X1063)+N(R1063)+N(S1063)&gt;M1063*1.001,R1063&lt;&gt;""),"⚠ Vượt mục tiêu P90",IF(AND(Y1063&lt;&gt;"",ABS(N(Y1063))&gt;0.3),"⚠ Lệch &gt; 30% so với nhu cầu",IF(Q1063="Có","ℹ Kiểm tra ngoại suy KM","✓ Hợp lệ")))))</f>
        <v/>
      </c>
    </row>
    <row r="1064">
      <c r="A1064" s="16" t="n">
        <v>1060</v>
      </c>
      <c r="B1064" s="17" t="inlineStr">
        <is>
          <t>DEC-S02-BOOKS</t>
        </is>
      </c>
      <c r="C1064" s="16" t="n">
        <v>2</v>
      </c>
      <c r="D1064" s="17" t="inlineStr">
        <is>
          <t>BOOKS</t>
        </is>
      </c>
      <c r="E1064" s="17" t="inlineStr">
        <is>
          <t>HIGH</t>
        </is>
      </c>
      <c r="F1064" s="17" t="inlineStr">
        <is>
          <t>TRUNG BÌNH</t>
        </is>
      </c>
      <c r="G1064" s="18" t="inlineStr">
        <is>
          <t>RISK_HIGH · PROMO_EXTRAPOLATION</t>
        </is>
      </c>
      <c r="H1064" s="19" t="n">
        <v>3.122838458418847</v>
      </c>
      <c r="I1064" s="19" t="n">
        <v>22.12874179380015</v>
      </c>
      <c r="J1064" s="19" t="n">
        <v>101.0300085117109</v>
      </c>
      <c r="K1064" s="19" t="n">
        <v>22.12874179380015</v>
      </c>
      <c r="L1064" s="19" t="n">
        <v>71.44203349249437</v>
      </c>
      <c r="M1064" s="19" t="n">
        <v>101.0300085117109</v>
      </c>
      <c r="N1064" s="17" t="inlineStr">
        <is>
          <t>B</t>
        </is>
      </c>
      <c r="O1064" s="19" t="n">
        <v>53.73904005745426</v>
      </c>
      <c r="P1064" s="18" t="inlineStr">
        <is>
          <t>KHÔNG ĐỀ XUẤT TĂNG</t>
        </is>
      </c>
      <c r="Q1064" s="17" t="inlineStr">
        <is>
          <t>Có</t>
        </is>
      </c>
      <c r="R1064" s="20" t="n"/>
      <c r="S1064" s="20" t="n"/>
      <c r="T1064" s="21" t="n"/>
      <c r="U1064" s="21" t="n"/>
      <c r="V1064" s="22">
        <f>IF(U1064="A",K1064,IF(U1064="B",L1064,IF(U1064="C",M1064,IF(N1064="A",K1064,IF(N1064="B",L1064,M1064)))))</f>
        <v/>
      </c>
      <c r="W1064" s="22">
        <f>IF(R1064="",O1064,MAX(V1064-R1064-N(S1064),0))</f>
        <v/>
      </c>
      <c r="X1064" s="20" t="n"/>
      <c r="Y1064" s="23">
        <f>IF(OR(X1064="",W1064=0),"",X1064/W1064-1)</f>
        <v/>
      </c>
      <c r="Z1064" s="24" t="n"/>
      <c r="AA1064" s="21" t="n"/>
      <c r="AB1064" s="25" t="n"/>
      <c r="AC1064" s="26">
        <f>IF(T1064="","Chưa quyết định",IF(OR(Z1064="",AA1064=""),"⚠ Thiếu lý do/người duyệt",IF(AND(X1064&lt;&gt;"",N(X1064)+N(R1064)+N(S1064)&gt;M1064*1.001,R1064&lt;&gt;""),"⚠ Vượt mục tiêu P90",IF(AND(Y1064&lt;&gt;"",ABS(N(Y1064))&gt;0.3),"⚠ Lệch &gt; 30% so với nhu cầu",IF(Q1064="Có","ℹ Kiểm tra ngoại suy KM","✓ Hợp lệ")))))</f>
        <v/>
      </c>
    </row>
    <row r="1065">
      <c r="A1065" s="16" t="n">
        <v>1061</v>
      </c>
      <c r="B1065" s="17" t="inlineStr">
        <is>
          <t>DEC-S16-LINGERIE</t>
        </is>
      </c>
      <c r="C1065" s="16" t="n">
        <v>16</v>
      </c>
      <c r="D1065" s="17" t="inlineStr">
        <is>
          <t>LINGERIE</t>
        </is>
      </c>
      <c r="E1065" s="17" t="inlineStr">
        <is>
          <t>HIGH</t>
        </is>
      </c>
      <c r="F1065" s="17" t="inlineStr">
        <is>
          <t>TRUNG BÌNH</t>
        </is>
      </c>
      <c r="G1065" s="18" t="inlineStr">
        <is>
          <t>RISK_HIGH · PROMO_EXTRAPOLATION</t>
        </is>
      </c>
      <c r="H1065" s="19" t="n">
        <v>4.136358994245529</v>
      </c>
      <c r="I1065" s="19" t="n">
        <v>21.96979866921902</v>
      </c>
      <c r="J1065" s="19" t="n">
        <v>100.8710653871298</v>
      </c>
      <c r="K1065" s="19" t="n">
        <v>21.96979866921902</v>
      </c>
      <c r="L1065" s="19" t="n">
        <v>71.28309036791325</v>
      </c>
      <c r="M1065" s="19" t="n">
        <v>100.8710653871298</v>
      </c>
      <c r="N1065" s="17" t="inlineStr">
        <is>
          <t>B</t>
        </is>
      </c>
      <c r="O1065" s="19" t="n">
        <v>53.70725143253803</v>
      </c>
      <c r="P1065" s="18" t="inlineStr">
        <is>
          <t>KHÔNG ĐỀ XUẤT TĂNG</t>
        </is>
      </c>
      <c r="Q1065" s="17" t="inlineStr">
        <is>
          <t>Có</t>
        </is>
      </c>
      <c r="R1065" s="20" t="n"/>
      <c r="S1065" s="20" t="n"/>
      <c r="T1065" s="21" t="n"/>
      <c r="U1065" s="21" t="n"/>
      <c r="V1065" s="22">
        <f>IF(U1065="A",K1065,IF(U1065="B",L1065,IF(U1065="C",M1065,IF(N1065="A",K1065,IF(N1065="B",L1065,M1065)))))</f>
        <v/>
      </c>
      <c r="W1065" s="22">
        <f>IF(R1065="",O1065,MAX(V1065-R1065-N(S1065),0))</f>
        <v/>
      </c>
      <c r="X1065" s="20" t="n"/>
      <c r="Y1065" s="23">
        <f>IF(OR(X1065="",W1065=0),"",X1065/W1065-1)</f>
        <v/>
      </c>
      <c r="Z1065" s="24" t="n"/>
      <c r="AA1065" s="21" t="n"/>
      <c r="AB1065" s="25" t="n"/>
      <c r="AC1065" s="26">
        <f>IF(T1065="","Chưa quyết định",IF(OR(Z1065="",AA1065=""),"⚠ Thiếu lý do/người duyệt",IF(AND(X1065&lt;&gt;"",N(X1065)+N(R1065)+N(S1065)&gt;M1065*1.001,R1065&lt;&gt;""),"⚠ Vượt mục tiêu P90",IF(AND(Y1065&lt;&gt;"",ABS(N(Y1065))&gt;0.3),"⚠ Lệch &gt; 30% so với nhu cầu",IF(Q1065="Có","ℹ Kiểm tra ngoại suy KM","✓ Hợp lệ")))))</f>
        <v/>
      </c>
    </row>
    <row r="1066">
      <c r="A1066" s="16" t="n">
        <v>1062</v>
      </c>
      <c r="B1066" s="17" t="inlineStr">
        <is>
          <t>DEC-S35-PLAYERS_AND_ELECTRONICS</t>
        </is>
      </c>
      <c r="C1066" s="16" t="n">
        <v>35</v>
      </c>
      <c r="D1066" s="17" t="inlineStr">
        <is>
          <t>PLAYERS AND ELECTRONICS</t>
        </is>
      </c>
      <c r="E1066" s="17" t="inlineStr">
        <is>
          <t>HIGH</t>
        </is>
      </c>
      <c r="F1066" s="17" t="inlineStr">
        <is>
          <t>TRUNG BÌNH</t>
        </is>
      </c>
      <c r="G1066" s="18" t="inlineStr">
        <is>
          <t>RISK_HIGH · PROMO_EXTRAPOLATION</t>
        </is>
      </c>
      <c r="H1066" s="19" t="n">
        <v>2.9856903642416</v>
      </c>
      <c r="I1066" s="19" t="n">
        <v>21.59399648010731</v>
      </c>
      <c r="J1066" s="19" t="n">
        <v>102.6243488818407</v>
      </c>
      <c r="K1066" s="19" t="n">
        <v>21.59399648010731</v>
      </c>
      <c r="L1066" s="19" t="n">
        <v>72.23796673119068</v>
      </c>
      <c r="M1066" s="19" t="n">
        <v>102.6243488818407</v>
      </c>
      <c r="N1066" s="17" t="inlineStr">
        <is>
          <t>B</t>
        </is>
      </c>
      <c r="O1066" s="19" t="n">
        <v>54.96276954710483</v>
      </c>
      <c r="P1066" s="18" t="inlineStr">
        <is>
          <t>KHÔNG ĐỀ XUẤT TĂNG</t>
        </is>
      </c>
      <c r="Q1066" s="17" t="inlineStr">
        <is>
          <t>Có</t>
        </is>
      </c>
      <c r="R1066" s="20" t="n"/>
      <c r="S1066" s="20" t="n"/>
      <c r="T1066" s="21" t="n"/>
      <c r="U1066" s="21" t="n"/>
      <c r="V1066" s="22">
        <f>IF(U1066="A",K1066,IF(U1066="B",L1066,IF(U1066="C",M1066,IF(N1066="A",K1066,IF(N1066="B",L1066,M1066)))))</f>
        <v/>
      </c>
      <c r="W1066" s="22">
        <f>IF(R1066="",O1066,MAX(V1066-R1066-N(S1066),0))</f>
        <v/>
      </c>
      <c r="X1066" s="20" t="n"/>
      <c r="Y1066" s="23">
        <f>IF(OR(X1066="",W1066=0),"",X1066/W1066-1)</f>
        <v/>
      </c>
      <c r="Z1066" s="24" t="n"/>
      <c r="AA1066" s="21" t="n"/>
      <c r="AB1066" s="25" t="n"/>
      <c r="AC1066" s="26">
        <f>IF(T1066="","Chưa quyết định",IF(OR(Z1066="",AA1066=""),"⚠ Thiếu lý do/người duyệt",IF(AND(X1066&lt;&gt;"",N(X1066)+N(R1066)+N(S1066)&gt;M1066*1.001,R1066&lt;&gt;""),"⚠ Vượt mục tiêu P90",IF(AND(Y1066&lt;&gt;"",ABS(N(Y1066))&gt;0.3),"⚠ Lệch &gt; 30% so với nhu cầu",IF(Q1066="Có","ℹ Kiểm tra ngoại suy KM","✓ Hợp lệ")))))</f>
        <v/>
      </c>
    </row>
    <row r="1067">
      <c r="A1067" s="16" t="n">
        <v>1063</v>
      </c>
      <c r="B1067" s="17" t="inlineStr">
        <is>
          <t>DEC-S41-HOME_APPLIANCES</t>
        </is>
      </c>
      <c r="C1067" s="16" t="n">
        <v>41</v>
      </c>
      <c r="D1067" s="17" t="inlineStr">
        <is>
          <t>HOME APPLIANCES</t>
        </is>
      </c>
      <c r="E1067" s="17" t="inlineStr">
        <is>
          <t>HIGH</t>
        </is>
      </c>
      <c r="F1067" s="17" t="inlineStr">
        <is>
          <t>TRUNG BÌNH</t>
        </is>
      </c>
      <c r="G1067" s="18" t="inlineStr">
        <is>
          <t>RISK_HIGH · PROMO_EXTRAPOLATION</t>
        </is>
      </c>
      <c r="H1067" s="19" t="n">
        <v>6.009749287366867</v>
      </c>
      <c r="I1067" s="19" t="n">
        <v>21.54412380605936</v>
      </c>
      <c r="J1067" s="19" t="n">
        <v>96.18721915632486</v>
      </c>
      <c r="K1067" s="19" t="n">
        <v>21.54412380605936</v>
      </c>
      <c r="L1067" s="19" t="n">
        <v>68.1960583999753</v>
      </c>
      <c r="M1067" s="19" t="n">
        <v>96.18721915632486</v>
      </c>
      <c r="N1067" s="17" t="inlineStr">
        <is>
          <t>B</t>
        </is>
      </c>
      <c r="O1067" s="19" t="n">
        <v>50.96075935512781</v>
      </c>
      <c r="P1067" s="18" t="inlineStr">
        <is>
          <t>KHÔNG ĐỀ XUẤT TĂNG</t>
        </is>
      </c>
      <c r="Q1067" s="17" t="inlineStr">
        <is>
          <t>Có</t>
        </is>
      </c>
      <c r="R1067" s="20" t="n"/>
      <c r="S1067" s="20" t="n"/>
      <c r="T1067" s="21" t="n"/>
      <c r="U1067" s="21" t="n"/>
      <c r="V1067" s="22">
        <f>IF(U1067="A",K1067,IF(U1067="B",L1067,IF(U1067="C",M1067,IF(N1067="A",K1067,IF(N1067="B",L1067,M1067)))))</f>
        <v/>
      </c>
      <c r="W1067" s="22">
        <f>IF(R1067="",O1067,MAX(V1067-R1067-N(S1067),0))</f>
        <v/>
      </c>
      <c r="X1067" s="20" t="n"/>
      <c r="Y1067" s="23">
        <f>IF(OR(X1067="",W1067=0),"",X1067/W1067-1)</f>
        <v/>
      </c>
      <c r="Z1067" s="24" t="n"/>
      <c r="AA1067" s="21" t="n"/>
      <c r="AB1067" s="25" t="n"/>
      <c r="AC1067" s="26">
        <f>IF(T1067="","Chưa quyết định",IF(OR(Z1067="",AA1067=""),"⚠ Thiếu lý do/người duyệt",IF(AND(X1067&lt;&gt;"",N(X1067)+N(R1067)+N(S1067)&gt;M1067*1.001,R1067&lt;&gt;""),"⚠ Vượt mục tiêu P90",IF(AND(Y1067&lt;&gt;"",ABS(N(Y1067))&gt;0.3),"⚠ Lệch &gt; 30% so với nhu cầu",IF(Q1067="Có","ℹ Kiểm tra ngoại suy KM","✓ Hợp lệ")))))</f>
        <v/>
      </c>
    </row>
    <row r="1068">
      <c r="A1068" s="16" t="n">
        <v>1064</v>
      </c>
      <c r="B1068" s="17" t="inlineStr">
        <is>
          <t>DEC-S54-SEAFOOD</t>
        </is>
      </c>
      <c r="C1068" s="16" t="n">
        <v>54</v>
      </c>
      <c r="D1068" s="17" t="inlineStr">
        <is>
          <t>SEAFOOD</t>
        </is>
      </c>
      <c r="E1068" s="17" t="inlineStr">
        <is>
          <t>HIGH</t>
        </is>
      </c>
      <c r="F1068" s="17" t="inlineStr">
        <is>
          <t>TRUNG BÌNH</t>
        </is>
      </c>
      <c r="G1068" s="18" t="inlineStr">
        <is>
          <t>RISK_HIGH · PROMO_EXTRAPOLATION</t>
        </is>
      </c>
      <c r="H1068" s="19" t="n">
        <v>8.73896598815918</v>
      </c>
      <c r="I1068" s="19" t="n">
        <v>21.39122912660241</v>
      </c>
      <c r="J1068" s="19" t="n">
        <v>94.42497145906091</v>
      </c>
      <c r="K1068" s="19" t="n">
        <v>21.39122912660241</v>
      </c>
      <c r="L1068" s="19" t="n">
        <v>67.03731808438897</v>
      </c>
      <c r="M1068" s="19" t="n">
        <v>94.42497145906091</v>
      </c>
      <c r="N1068" s="17" t="inlineStr">
        <is>
          <t>B</t>
        </is>
      </c>
      <c r="O1068" s="19" t="n">
        <v>49.92433478310704</v>
      </c>
      <c r="P1068" s="18" t="inlineStr">
        <is>
          <t>KHÔNG ĐỀ XUẤT TĂNG</t>
        </is>
      </c>
      <c r="Q1068" s="17" t="inlineStr">
        <is>
          <t>Có</t>
        </is>
      </c>
      <c r="R1068" s="20" t="n"/>
      <c r="S1068" s="20" t="n"/>
      <c r="T1068" s="21" t="n"/>
      <c r="U1068" s="21" t="n"/>
      <c r="V1068" s="22">
        <f>IF(U1068="A",K1068,IF(U1068="B",L1068,IF(U1068="C",M1068,IF(N1068="A",K1068,IF(N1068="B",L1068,M1068)))))</f>
        <v/>
      </c>
      <c r="W1068" s="22">
        <f>IF(R1068="",O1068,MAX(V1068-R1068-N(S1068),0))</f>
        <v/>
      </c>
      <c r="X1068" s="20" t="n"/>
      <c r="Y1068" s="23">
        <f>IF(OR(X1068="",W1068=0),"",X1068/W1068-1)</f>
        <v/>
      </c>
      <c r="Z1068" s="24" t="n"/>
      <c r="AA1068" s="21" t="n"/>
      <c r="AB1068" s="25" t="n"/>
      <c r="AC1068" s="26">
        <f>IF(T1068="","Chưa quyết định",IF(OR(Z1068="",AA1068=""),"⚠ Thiếu lý do/người duyệt",IF(AND(X1068&lt;&gt;"",N(X1068)+N(R1068)+N(S1068)&gt;M1068*1.001,R1068&lt;&gt;""),"⚠ Vượt mục tiêu P90",IF(AND(Y1068&lt;&gt;"",ABS(N(Y1068))&gt;0.3),"⚠ Lệch &gt; 30% so với nhu cầu",IF(Q1068="Có","ℹ Kiểm tra ngoại suy KM","✓ Hợp lệ")))))</f>
        <v/>
      </c>
    </row>
    <row r="1069">
      <c r="A1069" s="16" t="n">
        <v>1065</v>
      </c>
      <c r="B1069" s="17" t="inlineStr">
        <is>
          <t>DEC-S36-BABY_CARE</t>
        </is>
      </c>
      <c r="C1069" s="16" t="n">
        <v>36</v>
      </c>
      <c r="D1069" s="17" t="inlineStr">
        <is>
          <t>BABY CARE</t>
        </is>
      </c>
      <c r="E1069" s="17" t="inlineStr">
        <is>
          <t>HIGH</t>
        </is>
      </c>
      <c r="F1069" s="17" t="inlineStr">
        <is>
          <t>TRUNG BÌNH</t>
        </is>
      </c>
      <c r="G1069" s="18" t="inlineStr">
        <is>
          <t>RISK_HIGH · PROMO_EXTRAPOLATION</t>
        </is>
      </c>
      <c r="H1069" s="19" t="n">
        <v>3.39911100268364</v>
      </c>
      <c r="I1069" s="19" t="n">
        <v>21.16619530320168</v>
      </c>
      <c r="J1069" s="19" t="n">
        <v>100.0674620211124</v>
      </c>
      <c r="K1069" s="19" t="n">
        <v>21.16619530320168</v>
      </c>
      <c r="L1069" s="19" t="n">
        <v>70.4794870018959</v>
      </c>
      <c r="M1069" s="19" t="n">
        <v>100.0674620211124</v>
      </c>
      <c r="N1069" s="17" t="inlineStr">
        <is>
          <t>B</t>
        </is>
      </c>
      <c r="O1069" s="19" t="n">
        <v>53.54653075933456</v>
      </c>
      <c r="P1069" s="18" t="inlineStr">
        <is>
          <t>KHÔNG ĐỀ XUẤT TĂNG</t>
        </is>
      </c>
      <c r="Q1069" s="17" t="inlineStr">
        <is>
          <t>Có</t>
        </is>
      </c>
      <c r="R1069" s="20" t="n"/>
      <c r="S1069" s="20" t="n"/>
      <c r="T1069" s="21" t="n"/>
      <c r="U1069" s="21" t="n"/>
      <c r="V1069" s="22">
        <f>IF(U1069="A",K1069,IF(U1069="B",L1069,IF(U1069="C",M1069,IF(N1069="A",K1069,IF(N1069="B",L1069,M1069)))))</f>
        <v/>
      </c>
      <c r="W1069" s="22">
        <f>IF(R1069="",O1069,MAX(V1069-R1069-N(S1069),0))</f>
        <v/>
      </c>
      <c r="X1069" s="20" t="n"/>
      <c r="Y1069" s="23">
        <f>IF(OR(X1069="",W1069=0),"",X1069/W1069-1)</f>
        <v/>
      </c>
      <c r="Z1069" s="24" t="n"/>
      <c r="AA1069" s="21" t="n"/>
      <c r="AB1069" s="25" t="n"/>
      <c r="AC1069" s="26">
        <f>IF(T1069="","Chưa quyết định",IF(OR(Z1069="",AA1069=""),"⚠ Thiếu lý do/người duyệt",IF(AND(X1069&lt;&gt;"",N(X1069)+N(R1069)+N(S1069)&gt;M1069*1.001,R1069&lt;&gt;""),"⚠ Vượt mục tiêu P90",IF(AND(Y1069&lt;&gt;"",ABS(N(Y1069))&gt;0.3),"⚠ Lệch &gt; 30% so với nhu cầu",IF(Q1069="Có","ℹ Kiểm tra ngoại suy KM","✓ Hợp lệ")))))</f>
        <v/>
      </c>
    </row>
    <row r="1070">
      <c r="A1070" s="16" t="n">
        <v>1066</v>
      </c>
      <c r="B1070" s="17" t="inlineStr">
        <is>
          <t>DEC-S54-MAGAZINES</t>
        </is>
      </c>
      <c r="C1070" s="16" t="n">
        <v>54</v>
      </c>
      <c r="D1070" s="17" t="inlineStr">
        <is>
          <t>MAGAZINES</t>
        </is>
      </c>
      <c r="E1070" s="17" t="inlineStr">
        <is>
          <t>HIGH</t>
        </is>
      </c>
      <c r="F1070" s="17" t="inlineStr">
        <is>
          <t>TRUNG BÌNH</t>
        </is>
      </c>
      <c r="G1070" s="18" t="inlineStr">
        <is>
          <t>RISK_HIGH · PROMO_EXTRAPOLATION</t>
        </is>
      </c>
      <c r="H1070" s="19" t="n">
        <v>1.375312548875809</v>
      </c>
      <c r="I1070" s="19" t="n">
        <v>20.94572770595551</v>
      </c>
      <c r="J1070" s="19" t="n">
        <v>101.9760801076889</v>
      </c>
      <c r="K1070" s="19" t="n">
        <v>20.94572770595551</v>
      </c>
      <c r="L1070" s="19" t="n">
        <v>71.58969795703888</v>
      </c>
      <c r="M1070" s="19" t="n">
        <v>101.9760801076889</v>
      </c>
      <c r="N1070" s="17" t="inlineStr">
        <is>
          <t>B</t>
        </is>
      </c>
      <c r="O1070" s="19" t="n">
        <v>54.83311579227447</v>
      </c>
      <c r="P1070" s="18" t="inlineStr">
        <is>
          <t>KHÔNG ĐỀ XUẤT TĂNG</t>
        </is>
      </c>
      <c r="Q1070" s="17" t="inlineStr">
        <is>
          <t>Có</t>
        </is>
      </c>
      <c r="R1070" s="20" t="n"/>
      <c r="S1070" s="20" t="n"/>
      <c r="T1070" s="21" t="n"/>
      <c r="U1070" s="21" t="n"/>
      <c r="V1070" s="22">
        <f>IF(U1070="A",K1070,IF(U1070="B",L1070,IF(U1070="C",M1070,IF(N1070="A",K1070,IF(N1070="B",L1070,M1070)))))</f>
        <v/>
      </c>
      <c r="W1070" s="22">
        <f>IF(R1070="",O1070,MAX(V1070-R1070-N(S1070),0))</f>
        <v/>
      </c>
      <c r="X1070" s="20" t="n"/>
      <c r="Y1070" s="23">
        <f>IF(OR(X1070="",W1070=0),"",X1070/W1070-1)</f>
        <v/>
      </c>
      <c r="Z1070" s="24" t="n"/>
      <c r="AA1070" s="21" t="n"/>
      <c r="AB1070" s="25" t="n"/>
      <c r="AC1070" s="26">
        <f>IF(T1070="","Chưa quyết định",IF(OR(Z1070="",AA1070=""),"⚠ Thiếu lý do/người duyệt",IF(AND(X1070&lt;&gt;"",N(X1070)+N(R1070)+N(S1070)&gt;M1070*1.001,R1070&lt;&gt;""),"⚠ Vượt mục tiêu P90",IF(AND(Y1070&lt;&gt;"",ABS(N(Y1070))&gt;0.3),"⚠ Lệch &gt; 30% so với nhu cầu",IF(Q1070="Có","ℹ Kiểm tra ngoại suy KM","✓ Hợp lệ")))))</f>
        <v/>
      </c>
    </row>
    <row r="1071">
      <c r="A1071" s="16" t="n">
        <v>1067</v>
      </c>
      <c r="B1071" s="17" t="inlineStr">
        <is>
          <t>DEC-S33-SEAFOOD</t>
        </is>
      </c>
      <c r="C1071" s="16" t="n">
        <v>33</v>
      </c>
      <c r="D1071" s="17" t="inlineStr">
        <is>
          <t>SEAFOOD</t>
        </is>
      </c>
      <c r="E1071" s="17" t="inlineStr">
        <is>
          <t>HIGH</t>
        </is>
      </c>
      <c r="F1071" s="17" t="inlineStr">
        <is>
          <t>TRUNG BÌNH</t>
        </is>
      </c>
      <c r="G1071" s="18" t="inlineStr">
        <is>
          <t>RISK_HIGH · PROMO_EXTRAPOLATION</t>
        </is>
      </c>
      <c r="H1071" s="19" t="n">
        <v>8.305412292480469</v>
      </c>
      <c r="I1071" s="19" t="n">
        <v>20.90788078308105</v>
      </c>
      <c r="J1071" s="19" t="n">
        <v>93.94162311553956</v>
      </c>
      <c r="K1071" s="19" t="n">
        <v>20.90788078308105</v>
      </c>
      <c r="L1071" s="19" t="n">
        <v>66.55396974086761</v>
      </c>
      <c r="M1071" s="19" t="n">
        <v>93.94162311553956</v>
      </c>
      <c r="N1071" s="17" t="inlineStr">
        <is>
          <t>B</t>
        </is>
      </c>
      <c r="O1071" s="19" t="n">
        <v>49.82766511440277</v>
      </c>
      <c r="P1071" s="18" t="inlineStr">
        <is>
          <t>KHÔNG ĐỀ XUẤT TĂNG</t>
        </is>
      </c>
      <c r="Q1071" s="17" t="inlineStr">
        <is>
          <t>Có</t>
        </is>
      </c>
      <c r="R1071" s="20" t="n"/>
      <c r="S1071" s="20" t="n"/>
      <c r="T1071" s="21" t="n"/>
      <c r="U1071" s="21" t="n"/>
      <c r="V1071" s="22">
        <f>IF(U1071="A",K1071,IF(U1071="B",L1071,IF(U1071="C",M1071,IF(N1071="A",K1071,IF(N1071="B",L1071,M1071)))))</f>
        <v/>
      </c>
      <c r="W1071" s="22">
        <f>IF(R1071="",O1071,MAX(V1071-R1071-N(S1071),0))</f>
        <v/>
      </c>
      <c r="X1071" s="20" t="n"/>
      <c r="Y1071" s="23">
        <f>IF(OR(X1071="",W1071=0),"",X1071/W1071-1)</f>
        <v/>
      </c>
      <c r="Z1071" s="24" t="n"/>
      <c r="AA1071" s="21" t="n"/>
      <c r="AB1071" s="25" t="n"/>
      <c r="AC1071" s="26">
        <f>IF(T1071="","Chưa quyết định",IF(OR(Z1071="",AA1071=""),"⚠ Thiếu lý do/người duyệt",IF(AND(X1071&lt;&gt;"",N(X1071)+N(R1071)+N(S1071)&gt;M1071*1.001,R1071&lt;&gt;""),"⚠ Vượt mục tiêu P90",IF(AND(Y1071&lt;&gt;"",ABS(N(Y1071))&gt;0.3),"⚠ Lệch &gt; 30% so với nhu cầu",IF(Q1071="Có","ℹ Kiểm tra ngoại suy KM","✓ Hợp lệ")))))</f>
        <v/>
      </c>
    </row>
    <row r="1072">
      <c r="A1072" s="16" t="n">
        <v>1068</v>
      </c>
      <c r="B1072" s="17" t="inlineStr">
        <is>
          <t>DEC-S53-HARDWARE</t>
        </is>
      </c>
      <c r="C1072" s="16" t="n">
        <v>53</v>
      </c>
      <c r="D1072" s="17" t="inlineStr">
        <is>
          <t>HARDWARE</t>
        </is>
      </c>
      <c r="E1072" s="17" t="inlineStr">
        <is>
          <t>HIGH</t>
        </is>
      </c>
      <c r="F1072" s="17" t="inlineStr">
        <is>
          <t>TRUNG BÌNH</t>
        </is>
      </c>
      <c r="G1072" s="18" t="inlineStr">
        <is>
          <t>RISK_HIGH · PROMO_EXTRAPOLATION</t>
        </is>
      </c>
      <c r="H1072" s="19" t="n">
        <v>3.6743239402771</v>
      </c>
      <c r="I1072" s="19" t="n">
        <v>20.88000667095184</v>
      </c>
      <c r="J1072" s="19" t="n">
        <v>99.78127338886262</v>
      </c>
      <c r="K1072" s="19" t="n">
        <v>20.88000667095184</v>
      </c>
      <c r="L1072" s="19" t="n">
        <v>70.19329836964607</v>
      </c>
      <c r="M1072" s="19" t="n">
        <v>99.78127338886262</v>
      </c>
      <c r="N1072" s="17" t="inlineStr">
        <is>
          <t>B</t>
        </is>
      </c>
      <c r="O1072" s="19" t="n">
        <v>53.4892930328846</v>
      </c>
      <c r="P1072" s="18" t="inlineStr">
        <is>
          <t>KHÔNG ĐỀ XUẤT TĂNG</t>
        </is>
      </c>
      <c r="Q1072" s="17" t="inlineStr">
        <is>
          <t>Có</t>
        </is>
      </c>
      <c r="R1072" s="20" t="n"/>
      <c r="S1072" s="20" t="n"/>
      <c r="T1072" s="21" t="n"/>
      <c r="U1072" s="21" t="n"/>
      <c r="V1072" s="22">
        <f>IF(U1072="A",K1072,IF(U1072="B",L1072,IF(U1072="C",M1072,IF(N1072="A",K1072,IF(N1072="B",L1072,M1072)))))</f>
        <v/>
      </c>
      <c r="W1072" s="22">
        <f>IF(R1072="",O1072,MAX(V1072-R1072-N(S1072),0))</f>
        <v/>
      </c>
      <c r="X1072" s="20" t="n"/>
      <c r="Y1072" s="23">
        <f>IF(OR(X1072="",W1072=0),"",X1072/W1072-1)</f>
        <v/>
      </c>
      <c r="Z1072" s="24" t="n"/>
      <c r="AA1072" s="21" t="n"/>
      <c r="AB1072" s="25" t="n"/>
      <c r="AC1072" s="26">
        <f>IF(T1072="","Chưa quyết định",IF(OR(Z1072="",AA1072=""),"⚠ Thiếu lý do/người duyệt",IF(AND(X1072&lt;&gt;"",N(X1072)+N(R1072)+N(S1072)&gt;M1072*1.001,R1072&lt;&gt;""),"⚠ Vượt mục tiêu P90",IF(AND(Y1072&lt;&gt;"",ABS(N(Y1072))&gt;0.3),"⚠ Lệch &gt; 30% so với nhu cầu",IF(Q1072="Có","ℹ Kiểm tra ngoại suy KM","✓ Hợp lệ")))))</f>
        <v/>
      </c>
    </row>
    <row r="1073">
      <c r="A1073" s="16" t="n">
        <v>1069</v>
      </c>
      <c r="B1073" s="17" t="inlineStr">
        <is>
          <t>DEC-S30-BEAUTY</t>
        </is>
      </c>
      <c r="C1073" s="16" t="n">
        <v>30</v>
      </c>
      <c r="D1073" s="17" t="inlineStr">
        <is>
          <t>BEAUTY</t>
        </is>
      </c>
      <c r="E1073" s="17" t="inlineStr">
        <is>
          <t>HIGH</t>
        </is>
      </c>
      <c r="F1073" s="17" t="inlineStr">
        <is>
          <t>TRUNG BÌNH</t>
        </is>
      </c>
      <c r="G1073" s="18" t="inlineStr">
        <is>
          <t>RISK_HIGH · PROMO_EXTRAPOLATION</t>
        </is>
      </c>
      <c r="H1073" s="19" t="n">
        <v>2.634329289197922</v>
      </c>
      <c r="I1073" s="19" t="n">
        <v>20.80067375302315</v>
      </c>
      <c r="J1073" s="19" t="n">
        <v>99.70194047093392</v>
      </c>
      <c r="K1073" s="19" t="n">
        <v>20.80067375302315</v>
      </c>
      <c r="L1073" s="19" t="n">
        <v>70.11396545171738</v>
      </c>
      <c r="M1073" s="19" t="n">
        <v>99.70194047093392</v>
      </c>
      <c r="N1073" s="17" t="inlineStr">
        <is>
          <t>B</t>
        </is>
      </c>
      <c r="O1073" s="19" t="n">
        <v>53.47342644929886</v>
      </c>
      <c r="P1073" s="18" t="inlineStr">
        <is>
          <t>KHÔNG ĐỀ XUẤT TĂNG</t>
        </is>
      </c>
      <c r="Q1073" s="17" t="inlineStr">
        <is>
          <t>Có</t>
        </is>
      </c>
      <c r="R1073" s="20" t="n"/>
      <c r="S1073" s="20" t="n"/>
      <c r="T1073" s="21" t="n"/>
      <c r="U1073" s="21" t="n"/>
      <c r="V1073" s="22">
        <f>IF(U1073="A",K1073,IF(U1073="B",L1073,IF(U1073="C",M1073,IF(N1073="A",K1073,IF(N1073="B",L1073,M1073)))))</f>
        <v/>
      </c>
      <c r="W1073" s="22">
        <f>IF(R1073="",O1073,MAX(V1073-R1073-N(S1073),0))</f>
        <v/>
      </c>
      <c r="X1073" s="20" t="n"/>
      <c r="Y1073" s="23">
        <f>IF(OR(X1073="",W1073=0),"",X1073/W1073-1)</f>
        <v/>
      </c>
      <c r="Z1073" s="24" t="n"/>
      <c r="AA1073" s="21" t="n"/>
      <c r="AB1073" s="25" t="n"/>
      <c r="AC1073" s="26">
        <f>IF(T1073="","Chưa quyết định",IF(OR(Z1073="",AA1073=""),"⚠ Thiếu lý do/người duyệt",IF(AND(X1073&lt;&gt;"",N(X1073)+N(R1073)+N(S1073)&gt;M1073*1.001,R1073&lt;&gt;""),"⚠ Vượt mục tiêu P90",IF(AND(Y1073&lt;&gt;"",ABS(N(Y1073))&gt;0.3),"⚠ Lệch &gt; 30% so với nhu cầu",IF(Q1073="Có","ℹ Kiểm tra ngoại suy KM","✓ Hợp lệ")))))</f>
        <v/>
      </c>
    </row>
    <row r="1074">
      <c r="A1074" s="16" t="n">
        <v>1070</v>
      </c>
      <c r="B1074" s="17" t="inlineStr">
        <is>
          <t>DEC-S35-PET_SUPPLIES</t>
        </is>
      </c>
      <c r="C1074" s="16" t="n">
        <v>35</v>
      </c>
      <c r="D1074" s="17" t="inlineStr">
        <is>
          <t>PET SUPPLIES</t>
        </is>
      </c>
      <c r="E1074" s="17" t="inlineStr">
        <is>
          <t>HIGH</t>
        </is>
      </c>
      <c r="F1074" s="17" t="inlineStr">
        <is>
          <t>TRUNG BÌNH</t>
        </is>
      </c>
      <c r="G1074" s="18" t="inlineStr">
        <is>
          <t>RISK_HIGH · PROMO_EXTRAPOLATION</t>
        </is>
      </c>
      <c r="H1074" s="19" t="n">
        <v>2.36622076034546</v>
      </c>
      <c r="I1074" s="19" t="n">
        <v>20.73628178238869</v>
      </c>
      <c r="J1074" s="19" t="n">
        <v>101.7666341841221</v>
      </c>
      <c r="K1074" s="19" t="n">
        <v>20.73628178238869</v>
      </c>
      <c r="L1074" s="19" t="n">
        <v>71.38025203347206</v>
      </c>
      <c r="M1074" s="19" t="n">
        <v>101.7666341841221</v>
      </c>
      <c r="N1074" s="17" t="inlineStr">
        <is>
          <t>B</t>
        </is>
      </c>
      <c r="O1074" s="19" t="n">
        <v>54.79122660756112</v>
      </c>
      <c r="P1074" s="18" t="inlineStr">
        <is>
          <t>KHÔNG ĐỀ XUẤT TĂNG</t>
        </is>
      </c>
      <c r="Q1074" s="17" t="inlineStr">
        <is>
          <t>Có</t>
        </is>
      </c>
      <c r="R1074" s="20" t="n"/>
      <c r="S1074" s="20" t="n"/>
      <c r="T1074" s="21" t="n"/>
      <c r="U1074" s="21" t="n"/>
      <c r="V1074" s="22">
        <f>IF(U1074="A",K1074,IF(U1074="B",L1074,IF(U1074="C",M1074,IF(N1074="A",K1074,IF(N1074="B",L1074,M1074)))))</f>
        <v/>
      </c>
      <c r="W1074" s="22">
        <f>IF(R1074="",O1074,MAX(V1074-R1074-N(S1074),0))</f>
        <v/>
      </c>
      <c r="X1074" s="20" t="n"/>
      <c r="Y1074" s="23">
        <f>IF(OR(X1074="",W1074=0),"",X1074/W1074-1)</f>
        <v/>
      </c>
      <c r="Z1074" s="24" t="n"/>
      <c r="AA1074" s="21" t="n"/>
      <c r="AB1074" s="25" t="n"/>
      <c r="AC1074" s="26">
        <f>IF(T1074="","Chưa quyết định",IF(OR(Z1074="",AA1074=""),"⚠ Thiếu lý do/người duyệt",IF(AND(X1074&lt;&gt;"",N(X1074)+N(R1074)+N(S1074)&gt;M1074*1.001,R1074&lt;&gt;""),"⚠ Vượt mục tiêu P90",IF(AND(Y1074&lt;&gt;"",ABS(N(Y1074))&gt;0.3),"⚠ Lệch &gt; 30% so với nhu cầu",IF(Q1074="Có","ℹ Kiểm tra ngoại suy KM","✓ Hợp lệ")))))</f>
        <v/>
      </c>
    </row>
    <row r="1075">
      <c r="A1075" s="16" t="n">
        <v>1071</v>
      </c>
      <c r="B1075" s="17" t="inlineStr">
        <is>
          <t>DEC-S42-HOME_APPLIANCES</t>
        </is>
      </c>
      <c r="C1075" s="16" t="n">
        <v>42</v>
      </c>
      <c r="D1075" s="17" t="inlineStr">
        <is>
          <t>HOME APPLIANCES</t>
        </is>
      </c>
      <c r="E1075" s="17" t="inlineStr">
        <is>
          <t>HIGH</t>
        </is>
      </c>
      <c r="F1075" s="17" t="inlineStr">
        <is>
          <t>TRUNG BÌNH</t>
        </is>
      </c>
      <c r="G1075" s="18" t="inlineStr">
        <is>
          <t>RISK_HIGH · PROMO_EXTRAPOLATION</t>
        </is>
      </c>
      <c r="H1075" s="19" t="n">
        <v>4.746330863237382</v>
      </c>
      <c r="I1075" s="19" t="n">
        <v>20.70817056298256</v>
      </c>
      <c r="J1075" s="19" t="n">
        <v>97.48035159707069</v>
      </c>
      <c r="K1075" s="19" t="n">
        <v>20.70817056298256</v>
      </c>
      <c r="L1075" s="19" t="n">
        <v>68.69078370928764</v>
      </c>
      <c r="M1075" s="19" t="n">
        <v>97.48035159707069</v>
      </c>
      <c r="N1075" s="17" t="inlineStr">
        <is>
          <t>B</t>
        </is>
      </c>
      <c r="O1075" s="19" t="n">
        <v>52.12424725890159</v>
      </c>
      <c r="P1075" s="18" t="inlineStr">
        <is>
          <t>KHÔNG ĐỀ XUẤT TĂNG</t>
        </is>
      </c>
      <c r="Q1075" s="17" t="inlineStr">
        <is>
          <t>Có</t>
        </is>
      </c>
      <c r="R1075" s="20" t="n"/>
      <c r="S1075" s="20" t="n"/>
      <c r="T1075" s="21" t="n"/>
      <c r="U1075" s="21" t="n"/>
      <c r="V1075" s="22">
        <f>IF(U1075="A",K1075,IF(U1075="B",L1075,IF(U1075="C",M1075,IF(N1075="A",K1075,IF(N1075="B",L1075,M1075)))))</f>
        <v/>
      </c>
      <c r="W1075" s="22">
        <f>IF(R1075="",O1075,MAX(V1075-R1075-N(S1075),0))</f>
        <v/>
      </c>
      <c r="X1075" s="20" t="n"/>
      <c r="Y1075" s="23">
        <f>IF(OR(X1075="",W1075=0),"",X1075/W1075-1)</f>
        <v/>
      </c>
      <c r="Z1075" s="24" t="n"/>
      <c r="AA1075" s="21" t="n"/>
      <c r="AB1075" s="25" t="n"/>
      <c r="AC1075" s="26">
        <f>IF(T1075="","Chưa quyết định",IF(OR(Z1075="",AA1075=""),"⚠ Thiếu lý do/người duyệt",IF(AND(X1075&lt;&gt;"",N(X1075)+N(R1075)+N(S1075)&gt;M1075*1.001,R1075&lt;&gt;""),"⚠ Vượt mục tiêu P90",IF(AND(Y1075&lt;&gt;"",ABS(N(Y1075))&gt;0.3),"⚠ Lệch &gt; 30% so với nhu cầu",IF(Q1075="Có","ℹ Kiểm tra ngoại suy KM","✓ Hợp lệ")))))</f>
        <v/>
      </c>
    </row>
    <row r="1076">
      <c r="A1076" s="16" t="n">
        <v>1072</v>
      </c>
      <c r="B1076" s="17" t="inlineStr">
        <is>
          <t>DEC-S34-SEAFOOD</t>
        </is>
      </c>
      <c r="C1076" s="16" t="n">
        <v>34</v>
      </c>
      <c r="D1076" s="17" t="inlineStr">
        <is>
          <t>SEAFOOD</t>
        </is>
      </c>
      <c r="E1076" s="17" t="inlineStr">
        <is>
          <t>HIGH</t>
        </is>
      </c>
      <c r="F1076" s="17" t="inlineStr">
        <is>
          <t>TRUNG BÌNH</t>
        </is>
      </c>
      <c r="G1076" s="18" t="inlineStr">
        <is>
          <t>RISK_HIGH · PROMO_EXTRAPOLATION</t>
        </is>
      </c>
      <c r="H1076" s="19" t="n">
        <v>9.072790622711182</v>
      </c>
      <c r="I1076" s="19" t="n">
        <v>20.56836712360382</v>
      </c>
      <c r="J1076" s="19" t="n">
        <v>93.3422431230545</v>
      </c>
      <c r="K1076" s="19" t="n">
        <v>20.56836712360382</v>
      </c>
      <c r="L1076" s="19" t="n">
        <v>66.0520396232605</v>
      </c>
      <c r="M1076" s="19" t="n">
        <v>93.3422431230545</v>
      </c>
      <c r="N1076" s="17" t="inlineStr">
        <is>
          <t>B</t>
        </is>
      </c>
      <c r="O1076" s="19" t="n">
        <v>49.59734592437744</v>
      </c>
      <c r="P1076" s="18" t="inlineStr">
        <is>
          <t>KHÔNG ĐỀ XUẤT TĂNG</t>
        </is>
      </c>
      <c r="Q1076" s="17" t="inlineStr">
        <is>
          <t>Có</t>
        </is>
      </c>
      <c r="R1076" s="20" t="n"/>
      <c r="S1076" s="20" t="n"/>
      <c r="T1076" s="21" t="n"/>
      <c r="U1076" s="21" t="n"/>
      <c r="V1076" s="22">
        <f>IF(U1076="A",K1076,IF(U1076="B",L1076,IF(U1076="C",M1076,IF(N1076="A",K1076,IF(N1076="B",L1076,M1076)))))</f>
        <v/>
      </c>
      <c r="W1076" s="22">
        <f>IF(R1076="",O1076,MAX(V1076-R1076-N(S1076),0))</f>
        <v/>
      </c>
      <c r="X1076" s="20" t="n"/>
      <c r="Y1076" s="23">
        <f>IF(OR(X1076="",W1076=0),"",X1076/W1076-1)</f>
        <v/>
      </c>
      <c r="Z1076" s="24" t="n"/>
      <c r="AA1076" s="21" t="n"/>
      <c r="AB1076" s="25" t="n"/>
      <c r="AC1076" s="26">
        <f>IF(T1076="","Chưa quyết định",IF(OR(Z1076="",AA1076=""),"⚠ Thiếu lý do/người duyệt",IF(AND(X1076&lt;&gt;"",N(X1076)+N(R1076)+N(S1076)&gt;M1076*1.001,R1076&lt;&gt;""),"⚠ Vượt mục tiêu P90",IF(AND(Y1076&lt;&gt;"",ABS(N(Y1076))&gt;0.3),"⚠ Lệch &gt; 30% so với nhu cầu",IF(Q1076="Có","ℹ Kiểm tra ngoại suy KM","✓ Hợp lệ")))))</f>
        <v/>
      </c>
    </row>
    <row r="1077">
      <c r="A1077" s="16" t="n">
        <v>1073</v>
      </c>
      <c r="B1077" s="17" t="inlineStr">
        <is>
          <t>DEC-S42-BABY_CARE</t>
        </is>
      </c>
      <c r="C1077" s="16" t="n">
        <v>42</v>
      </c>
      <c r="D1077" s="17" t="inlineStr">
        <is>
          <t>BABY CARE</t>
        </is>
      </c>
      <c r="E1077" s="17" t="inlineStr">
        <is>
          <t>HIGH</t>
        </is>
      </c>
      <c r="F1077" s="17" t="inlineStr">
        <is>
          <t>TRUNG BÌNH</t>
        </is>
      </c>
      <c r="G1077" s="18" t="inlineStr">
        <is>
          <t>RISK_HIGH · PROMO_EXTRAPOLATION</t>
        </is>
      </c>
      <c r="H1077" s="19" t="n">
        <v>4.169203197956086</v>
      </c>
      <c r="I1077" s="19" t="n">
        <v>20.40524083375931</v>
      </c>
      <c r="J1077" s="19" t="n">
        <v>97.17742186784744</v>
      </c>
      <c r="K1077" s="19" t="n">
        <v>20.40524083375931</v>
      </c>
      <c r="L1077" s="19" t="n">
        <v>68.38785398006439</v>
      </c>
      <c r="M1077" s="19" t="n">
        <v>97.17742186784744</v>
      </c>
      <c r="N1077" s="17" t="inlineStr">
        <is>
          <t>B</t>
        </is>
      </c>
      <c r="O1077" s="19" t="n">
        <v>52.06366131305694</v>
      </c>
      <c r="P1077" s="18" t="inlineStr">
        <is>
          <t>KHÔNG ĐỀ XUẤT TĂNG</t>
        </is>
      </c>
      <c r="Q1077" s="17" t="inlineStr">
        <is>
          <t>Có</t>
        </is>
      </c>
      <c r="R1077" s="20" t="n"/>
      <c r="S1077" s="20" t="n"/>
      <c r="T1077" s="21" t="n"/>
      <c r="U1077" s="21" t="n"/>
      <c r="V1077" s="22">
        <f>IF(U1077="A",K1077,IF(U1077="B",L1077,IF(U1077="C",M1077,IF(N1077="A",K1077,IF(N1077="B",L1077,M1077)))))</f>
        <v/>
      </c>
      <c r="W1077" s="22">
        <f>IF(R1077="",O1077,MAX(V1077-R1077-N(S1077),0))</f>
        <v/>
      </c>
      <c r="X1077" s="20" t="n"/>
      <c r="Y1077" s="23">
        <f>IF(OR(X1077="",W1077=0),"",X1077/W1077-1)</f>
        <v/>
      </c>
      <c r="Z1077" s="24" t="n"/>
      <c r="AA1077" s="21" t="n"/>
      <c r="AB1077" s="25" t="n"/>
      <c r="AC1077" s="26">
        <f>IF(T1077="","Chưa quyết định",IF(OR(Z1077="",AA1077=""),"⚠ Thiếu lý do/người duyệt",IF(AND(X1077&lt;&gt;"",N(X1077)+N(R1077)+N(S1077)&gt;M1077*1.001,R1077&lt;&gt;""),"⚠ Vượt mục tiêu P90",IF(AND(Y1077&lt;&gt;"",ABS(N(Y1077))&gt;0.3),"⚠ Lệch &gt; 30% so với nhu cầu",IF(Q1077="Có","ℹ Kiểm tra ngoại suy KM","✓ Hợp lệ")))))</f>
        <v/>
      </c>
    </row>
    <row r="1078">
      <c r="A1078" s="16" t="n">
        <v>1074</v>
      </c>
      <c r="B1078" s="17" t="inlineStr">
        <is>
          <t>DEC-S42-BOOKS</t>
        </is>
      </c>
      <c r="C1078" s="16" t="n">
        <v>42</v>
      </c>
      <c r="D1078" s="17" t="inlineStr">
        <is>
          <t>BOOKS</t>
        </is>
      </c>
      <c r="E1078" s="17" t="inlineStr">
        <is>
          <t>HIGH</t>
        </is>
      </c>
      <c r="F1078" s="17" t="inlineStr">
        <is>
          <t>TRUNG BÌNH</t>
        </is>
      </c>
      <c r="G1078" s="18" t="inlineStr">
        <is>
          <t>RISK_HIGH · PROMO_EXTRAPOLATION</t>
        </is>
      </c>
      <c r="H1078" s="19" t="n">
        <v>4.169203197956086</v>
      </c>
      <c r="I1078" s="19" t="n">
        <v>20.40524083375931</v>
      </c>
      <c r="J1078" s="19" t="n">
        <v>97.17742186784744</v>
      </c>
      <c r="K1078" s="19" t="n">
        <v>20.40524083375931</v>
      </c>
      <c r="L1078" s="19" t="n">
        <v>68.38785398006439</v>
      </c>
      <c r="M1078" s="19" t="n">
        <v>97.17742186784744</v>
      </c>
      <c r="N1078" s="17" t="inlineStr">
        <is>
          <t>B</t>
        </is>
      </c>
      <c r="O1078" s="19" t="n">
        <v>52.06366131305694</v>
      </c>
      <c r="P1078" s="18" t="inlineStr">
        <is>
          <t>KHÔNG ĐỀ XUẤT TĂNG</t>
        </is>
      </c>
      <c r="Q1078" s="17" t="inlineStr">
        <is>
          <t>Có</t>
        </is>
      </c>
      <c r="R1078" s="20" t="n"/>
      <c r="S1078" s="20" t="n"/>
      <c r="T1078" s="21" t="n"/>
      <c r="U1078" s="21" t="n"/>
      <c r="V1078" s="22">
        <f>IF(U1078="A",K1078,IF(U1078="B",L1078,IF(U1078="C",M1078,IF(N1078="A",K1078,IF(N1078="B",L1078,M1078)))))</f>
        <v/>
      </c>
      <c r="W1078" s="22">
        <f>IF(R1078="",O1078,MAX(V1078-R1078-N(S1078),0))</f>
        <v/>
      </c>
      <c r="X1078" s="20" t="n"/>
      <c r="Y1078" s="23">
        <f>IF(OR(X1078="",W1078=0),"",X1078/W1078-1)</f>
        <v/>
      </c>
      <c r="Z1078" s="24" t="n"/>
      <c r="AA1078" s="21" t="n"/>
      <c r="AB1078" s="25" t="n"/>
      <c r="AC1078" s="26">
        <f>IF(T1078="","Chưa quyết định",IF(OR(Z1078="",AA1078=""),"⚠ Thiếu lý do/người duyệt",IF(AND(X1078&lt;&gt;"",N(X1078)+N(R1078)+N(S1078)&gt;M1078*1.001,R1078&lt;&gt;""),"⚠ Vượt mục tiêu P90",IF(AND(Y1078&lt;&gt;"",ABS(N(Y1078))&gt;0.3),"⚠ Lệch &gt; 30% so với nhu cầu",IF(Q1078="Có","ℹ Kiểm tra ngoại suy KM","✓ Hợp lệ")))))</f>
        <v/>
      </c>
    </row>
    <row r="1079">
      <c r="A1079" s="16" t="n">
        <v>1075</v>
      </c>
      <c r="B1079" s="17" t="inlineStr">
        <is>
          <t>DEC-S41-BABY_CARE</t>
        </is>
      </c>
      <c r="C1079" s="16" t="n">
        <v>41</v>
      </c>
      <c r="D1079" s="17" t="inlineStr">
        <is>
          <t>BABY CARE</t>
        </is>
      </c>
      <c r="E1079" s="17" t="inlineStr">
        <is>
          <t>HIGH</t>
        </is>
      </c>
      <c r="F1079" s="17" t="inlineStr">
        <is>
          <t>TRUNG BÌNH</t>
        </is>
      </c>
      <c r="G1079" s="18" t="inlineStr">
        <is>
          <t>RISK_HIGH · PROMO_EXTRAPOLATION</t>
        </is>
      </c>
      <c r="H1079" s="19" t="n">
        <v>4.20860812664032</v>
      </c>
      <c r="I1079" s="19" t="n">
        <v>20.39624941349029</v>
      </c>
      <c r="J1079" s="19" t="n">
        <v>97.16843044757844</v>
      </c>
      <c r="K1079" s="19" t="n">
        <v>20.39624941349029</v>
      </c>
      <c r="L1079" s="19" t="n">
        <v>68.37886255979538</v>
      </c>
      <c r="M1079" s="19" t="n">
        <v>97.16843044757844</v>
      </c>
      <c r="N1079" s="17" t="inlineStr">
        <is>
          <t>B</t>
        </is>
      </c>
      <c r="O1079" s="19" t="n">
        <v>52.06186302900314</v>
      </c>
      <c r="P1079" s="18" t="inlineStr">
        <is>
          <t>KHÔNG ĐỀ XUẤT TĂNG</t>
        </is>
      </c>
      <c r="Q1079" s="17" t="inlineStr">
        <is>
          <t>Có</t>
        </is>
      </c>
      <c r="R1079" s="20" t="n"/>
      <c r="S1079" s="20" t="n"/>
      <c r="T1079" s="21" t="n"/>
      <c r="U1079" s="21" t="n"/>
      <c r="V1079" s="22">
        <f>IF(U1079="A",K1079,IF(U1079="B",L1079,IF(U1079="C",M1079,IF(N1079="A",K1079,IF(N1079="B",L1079,M1079)))))</f>
        <v/>
      </c>
      <c r="W1079" s="22">
        <f>IF(R1079="",O1079,MAX(V1079-R1079-N(S1079),0))</f>
        <v/>
      </c>
      <c r="X1079" s="20" t="n"/>
      <c r="Y1079" s="23">
        <f>IF(OR(X1079="",W1079=0),"",X1079/W1079-1)</f>
        <v/>
      </c>
      <c r="Z1079" s="24" t="n"/>
      <c r="AA1079" s="21" t="n"/>
      <c r="AB1079" s="25" t="n"/>
      <c r="AC1079" s="26">
        <f>IF(T1079="","Chưa quyết định",IF(OR(Z1079="",AA1079=""),"⚠ Thiếu lý do/người duyệt",IF(AND(X1079&lt;&gt;"",N(X1079)+N(R1079)+N(S1079)&gt;M1079*1.001,R1079&lt;&gt;""),"⚠ Vượt mục tiêu P90",IF(AND(Y1079&lt;&gt;"",ABS(N(Y1079))&gt;0.3),"⚠ Lệch &gt; 30% so với nhu cầu",IF(Q1079="Có","ℹ Kiểm tra ngoại suy KM","✓ Hợp lệ")))))</f>
        <v/>
      </c>
    </row>
    <row r="1080">
      <c r="A1080" s="16" t="n">
        <v>1076</v>
      </c>
      <c r="B1080" s="17" t="inlineStr">
        <is>
          <t>DEC-S41-BOOKS</t>
        </is>
      </c>
      <c r="C1080" s="16" t="n">
        <v>41</v>
      </c>
      <c r="D1080" s="17" t="inlineStr">
        <is>
          <t>BOOKS</t>
        </is>
      </c>
      <c r="E1080" s="17" t="inlineStr">
        <is>
          <t>HIGH</t>
        </is>
      </c>
      <c r="F1080" s="17" t="inlineStr">
        <is>
          <t>TRUNG BÌNH</t>
        </is>
      </c>
      <c r="G1080" s="18" t="inlineStr">
        <is>
          <t>RISK_HIGH · PROMO_EXTRAPOLATION</t>
        </is>
      </c>
      <c r="H1080" s="19" t="n">
        <v>4.20860812664032</v>
      </c>
      <c r="I1080" s="19" t="n">
        <v>20.36583530902863</v>
      </c>
      <c r="J1080" s="19" t="n">
        <v>97.13801634311676</v>
      </c>
      <c r="K1080" s="19" t="n">
        <v>20.36583530902863</v>
      </c>
      <c r="L1080" s="19" t="n">
        <v>68.34844845533371</v>
      </c>
      <c r="M1080" s="19" t="n">
        <v>97.13801634311676</v>
      </c>
      <c r="N1080" s="17" t="inlineStr">
        <is>
          <t>B</t>
        </is>
      </c>
      <c r="O1080" s="19" t="n">
        <v>52.0557802081108</v>
      </c>
      <c r="P1080" s="18" t="inlineStr">
        <is>
          <t>KHÔNG ĐỀ XUẤT TĂNG</t>
        </is>
      </c>
      <c r="Q1080" s="17" t="inlineStr">
        <is>
          <t>Có</t>
        </is>
      </c>
      <c r="R1080" s="20" t="n"/>
      <c r="S1080" s="20" t="n"/>
      <c r="T1080" s="21" t="n"/>
      <c r="U1080" s="21" t="n"/>
      <c r="V1080" s="22">
        <f>IF(U1080="A",K1080,IF(U1080="B",L1080,IF(U1080="C",M1080,IF(N1080="A",K1080,IF(N1080="B",L1080,M1080)))))</f>
        <v/>
      </c>
      <c r="W1080" s="22">
        <f>IF(R1080="",O1080,MAX(V1080-R1080-N(S1080),0))</f>
        <v/>
      </c>
      <c r="X1080" s="20" t="n"/>
      <c r="Y1080" s="23">
        <f>IF(OR(X1080="",W1080=0),"",X1080/W1080-1)</f>
        <v/>
      </c>
      <c r="Z1080" s="24" t="n"/>
      <c r="AA1080" s="21" t="n"/>
      <c r="AB1080" s="25" t="n"/>
      <c r="AC1080" s="26">
        <f>IF(T1080="","Chưa quyết định",IF(OR(Z1080="",AA1080=""),"⚠ Thiếu lý do/người duyệt",IF(AND(X1080&lt;&gt;"",N(X1080)+N(R1080)+N(S1080)&gt;M1080*1.001,R1080&lt;&gt;""),"⚠ Vượt mục tiêu P90",IF(AND(Y1080&lt;&gt;"",ABS(N(Y1080))&gt;0.3),"⚠ Lệch &gt; 30% so với nhu cầu",IF(Q1080="Có","ℹ Kiểm tra ngoại suy KM","✓ Hợp lệ")))))</f>
        <v/>
      </c>
    </row>
    <row r="1081">
      <c r="A1081" s="16" t="n">
        <v>1077</v>
      </c>
      <c r="B1081" s="17" t="inlineStr">
        <is>
          <t>DEC-S18-HARDWARE</t>
        </is>
      </c>
      <c r="C1081" s="16" t="n">
        <v>18</v>
      </c>
      <c r="D1081" s="17" t="inlineStr">
        <is>
          <t>HARDWARE</t>
        </is>
      </c>
      <c r="E1081" s="17" t="inlineStr">
        <is>
          <t>HIGH</t>
        </is>
      </c>
      <c r="F1081" s="17" t="inlineStr">
        <is>
          <t>TRUNG BÌNH</t>
        </is>
      </c>
      <c r="G1081" s="18" t="inlineStr">
        <is>
          <t>RISK_HIGH · PROMO_EXTRAPOLATION</t>
        </is>
      </c>
      <c r="H1081" s="19" t="n">
        <v>1.254815793037415</v>
      </c>
      <c r="I1081" s="19" t="n">
        <v>20.3617078922689</v>
      </c>
      <c r="J1081" s="19" t="n">
        <v>101.3920602940023</v>
      </c>
      <c r="K1081" s="19" t="n">
        <v>20.3617078922689</v>
      </c>
      <c r="L1081" s="19" t="n">
        <v>71.00567814335226</v>
      </c>
      <c r="M1081" s="19" t="n">
        <v>101.3920602940023</v>
      </c>
      <c r="N1081" s="17" t="inlineStr">
        <is>
          <t>B</t>
        </is>
      </c>
      <c r="O1081" s="19" t="n">
        <v>54.71631182953713</v>
      </c>
      <c r="P1081" s="18" t="inlineStr">
        <is>
          <t>KHÔNG ĐỀ XUẤT TĂNG</t>
        </is>
      </c>
      <c r="Q1081" s="17" t="inlineStr">
        <is>
          <t>Có</t>
        </is>
      </c>
      <c r="R1081" s="20" t="n"/>
      <c r="S1081" s="20" t="n"/>
      <c r="T1081" s="21" t="n"/>
      <c r="U1081" s="21" t="n"/>
      <c r="V1081" s="22">
        <f>IF(U1081="A",K1081,IF(U1081="B",L1081,IF(U1081="C",M1081,IF(N1081="A",K1081,IF(N1081="B",L1081,M1081)))))</f>
        <v/>
      </c>
      <c r="W1081" s="22">
        <f>IF(R1081="",O1081,MAX(V1081-R1081-N(S1081),0))</f>
        <v/>
      </c>
      <c r="X1081" s="20" t="n"/>
      <c r="Y1081" s="23">
        <f>IF(OR(X1081="",W1081=0),"",X1081/W1081-1)</f>
        <v/>
      </c>
      <c r="Z1081" s="24" t="n"/>
      <c r="AA1081" s="21" t="n"/>
      <c r="AB1081" s="25" t="n"/>
      <c r="AC1081" s="26">
        <f>IF(T1081="","Chưa quyết định",IF(OR(Z1081="",AA1081=""),"⚠ Thiếu lý do/người duyệt",IF(AND(X1081&lt;&gt;"",N(X1081)+N(R1081)+N(S1081)&gt;M1081*1.001,R1081&lt;&gt;""),"⚠ Vượt mục tiêu P90",IF(AND(Y1081&lt;&gt;"",ABS(N(Y1081))&gt;0.3),"⚠ Lệch &gt; 30% so với nhu cầu",IF(Q1081="Có","ℹ Kiểm tra ngoại suy KM","✓ Hợp lệ")))))</f>
        <v/>
      </c>
    </row>
    <row r="1082">
      <c r="A1082" s="16" t="n">
        <v>1078</v>
      </c>
      <c r="B1082" s="17" t="inlineStr">
        <is>
          <t>DEC-S14-HARDWARE</t>
        </is>
      </c>
      <c r="C1082" s="16" t="n">
        <v>14</v>
      </c>
      <c r="D1082" s="17" t="inlineStr">
        <is>
          <t>HARDWARE</t>
        </is>
      </c>
      <c r="E1082" s="17" t="inlineStr">
        <is>
          <t>HIGH</t>
        </is>
      </c>
      <c r="F1082" s="17" t="inlineStr">
        <is>
          <t>TRUNG BÌNH</t>
        </is>
      </c>
      <c r="G1082" s="18" t="inlineStr">
        <is>
          <t>RISK_HIGH · PROMO_EXTRAPOLATION</t>
        </is>
      </c>
      <c r="H1082" s="19" t="n">
        <v>3.100565004348755</v>
      </c>
      <c r="I1082" s="19" t="n">
        <v>20.31774283200502</v>
      </c>
      <c r="J1082" s="19" t="n">
        <v>99.2190095499158</v>
      </c>
      <c r="K1082" s="19" t="n">
        <v>20.31774283200502</v>
      </c>
      <c r="L1082" s="19" t="n">
        <v>69.63103453069925</v>
      </c>
      <c r="M1082" s="19" t="n">
        <v>99.2190095499158</v>
      </c>
      <c r="N1082" s="17" t="inlineStr">
        <is>
          <t>B</t>
        </is>
      </c>
      <c r="O1082" s="19" t="n">
        <v>53.37684026509523</v>
      </c>
      <c r="P1082" s="18" t="inlineStr">
        <is>
          <t>KHÔNG ĐỀ XUẤT TĂNG</t>
        </is>
      </c>
      <c r="Q1082" s="17" t="inlineStr">
        <is>
          <t>Có</t>
        </is>
      </c>
      <c r="R1082" s="20" t="n"/>
      <c r="S1082" s="20" t="n"/>
      <c r="T1082" s="21" t="n"/>
      <c r="U1082" s="21" t="n"/>
      <c r="V1082" s="22">
        <f>IF(U1082="A",K1082,IF(U1082="B",L1082,IF(U1082="C",M1082,IF(N1082="A",K1082,IF(N1082="B",L1082,M1082)))))</f>
        <v/>
      </c>
      <c r="W1082" s="22">
        <f>IF(R1082="",O1082,MAX(V1082-R1082-N(S1082),0))</f>
        <v/>
      </c>
      <c r="X1082" s="20" t="n"/>
      <c r="Y1082" s="23">
        <f>IF(OR(X1082="",W1082=0),"",X1082/W1082-1)</f>
        <v/>
      </c>
      <c r="Z1082" s="24" t="n"/>
      <c r="AA1082" s="21" t="n"/>
      <c r="AB1082" s="25" t="n"/>
      <c r="AC1082" s="26">
        <f>IF(T1082="","Chưa quyết định",IF(OR(Z1082="",AA1082=""),"⚠ Thiếu lý do/người duyệt",IF(AND(X1082&lt;&gt;"",N(X1082)+N(R1082)+N(S1082)&gt;M1082*1.001,R1082&lt;&gt;""),"⚠ Vượt mục tiêu P90",IF(AND(Y1082&lt;&gt;"",ABS(N(Y1082))&gt;0.3),"⚠ Lệch &gt; 30% so với nhu cầu",IF(Q1082="Có","ℹ Kiểm tra ngoại suy KM","✓ Hợp lệ")))))</f>
        <v/>
      </c>
    </row>
    <row r="1083">
      <c r="A1083" s="16" t="n">
        <v>1079</v>
      </c>
      <c r="B1083" s="17" t="inlineStr">
        <is>
          <t>DEC-S15-HARDWARE</t>
        </is>
      </c>
      <c r="C1083" s="16" t="n">
        <v>15</v>
      </c>
      <c r="D1083" s="17" t="inlineStr">
        <is>
          <t>HARDWARE</t>
        </is>
      </c>
      <c r="E1083" s="17" t="inlineStr">
        <is>
          <t>HIGH</t>
        </is>
      </c>
      <c r="F1083" s="17" t="inlineStr">
        <is>
          <t>TRUNG BÌNH</t>
        </is>
      </c>
      <c r="G1083" s="18" t="inlineStr">
        <is>
          <t>RISK_HIGH · PROMO_EXTRAPOLATION</t>
        </is>
      </c>
      <c r="H1083" s="19" t="n">
        <v>3.85521537065506</v>
      </c>
      <c r="I1083" s="19" t="n">
        <v>20.17706501483917</v>
      </c>
      <c r="J1083" s="19" t="n">
        <v>96.94924604892732</v>
      </c>
      <c r="K1083" s="19" t="n">
        <v>20.17706501483917</v>
      </c>
      <c r="L1083" s="19" t="n">
        <v>68.15967816114426</v>
      </c>
      <c r="M1083" s="19" t="n">
        <v>96.94924604892732</v>
      </c>
      <c r="N1083" s="17" t="inlineStr">
        <is>
          <t>B</t>
        </is>
      </c>
      <c r="O1083" s="19" t="n">
        <v>52.01802614927291</v>
      </c>
      <c r="P1083" s="18" t="inlineStr">
        <is>
          <t>KHÔNG ĐỀ XUẤT TĂNG</t>
        </is>
      </c>
      <c r="Q1083" s="17" t="inlineStr">
        <is>
          <t>Có</t>
        </is>
      </c>
      <c r="R1083" s="20" t="n"/>
      <c r="S1083" s="20" t="n"/>
      <c r="T1083" s="21" t="n"/>
      <c r="U1083" s="21" t="n"/>
      <c r="V1083" s="22">
        <f>IF(U1083="A",K1083,IF(U1083="B",L1083,IF(U1083="C",M1083,IF(N1083="A",K1083,IF(N1083="B",L1083,M1083)))))</f>
        <v/>
      </c>
      <c r="W1083" s="22">
        <f>IF(R1083="",O1083,MAX(V1083-R1083-N(S1083),0))</f>
        <v/>
      </c>
      <c r="X1083" s="20" t="n"/>
      <c r="Y1083" s="23">
        <f>IF(OR(X1083="",W1083=0),"",X1083/W1083-1)</f>
        <v/>
      </c>
      <c r="Z1083" s="24" t="n"/>
      <c r="AA1083" s="21" t="n"/>
      <c r="AB1083" s="25" t="n"/>
      <c r="AC1083" s="26">
        <f>IF(T1083="","Chưa quyết định",IF(OR(Z1083="",AA1083=""),"⚠ Thiếu lý do/người duyệt",IF(AND(X1083&lt;&gt;"",N(X1083)+N(R1083)+N(S1083)&gt;M1083*1.001,R1083&lt;&gt;""),"⚠ Vượt mục tiêu P90",IF(AND(Y1083&lt;&gt;"",ABS(N(Y1083))&gt;0.3),"⚠ Lệch &gt; 30% so với nhu cầu",IF(Q1083="Có","ℹ Kiểm tra ngoại suy KM","✓ Hợp lệ")))))</f>
        <v/>
      </c>
    </row>
    <row r="1084">
      <c r="A1084" s="16" t="n">
        <v>1080</v>
      </c>
      <c r="B1084" s="17" t="inlineStr">
        <is>
          <t>DEC-S54-PET_SUPPLIES</t>
        </is>
      </c>
      <c r="C1084" s="16" t="n">
        <v>54</v>
      </c>
      <c r="D1084" s="17" t="inlineStr">
        <is>
          <t>PET SUPPLIES</t>
        </is>
      </c>
      <c r="E1084" s="17" t="inlineStr">
        <is>
          <t>HIGH</t>
        </is>
      </c>
      <c r="F1084" s="17" t="inlineStr">
        <is>
          <t>TRUNG BÌNH</t>
        </is>
      </c>
      <c r="G1084" s="18" t="inlineStr">
        <is>
          <t>RISK_HIGH · PROMO_EXTRAPOLATION</t>
        </is>
      </c>
      <c r="H1084" s="19" t="n">
        <v>1.375603067874908</v>
      </c>
      <c r="I1084" s="19" t="n">
        <v>20.11362791061401</v>
      </c>
      <c r="J1084" s="19" t="n">
        <v>101.1439803123474</v>
      </c>
      <c r="K1084" s="19" t="n">
        <v>20.11362791061401</v>
      </c>
      <c r="L1084" s="19" t="n">
        <v>70.75759816169737</v>
      </c>
      <c r="M1084" s="19" t="n">
        <v>101.1439803123474</v>
      </c>
      <c r="N1084" s="17" t="inlineStr">
        <is>
          <t>B</t>
        </is>
      </c>
      <c r="O1084" s="19" t="n">
        <v>54.66669583320616</v>
      </c>
      <c r="P1084" s="18" t="inlineStr">
        <is>
          <t>KHÔNG ĐỀ XUẤT TĂNG</t>
        </is>
      </c>
      <c r="Q1084" s="17" t="inlineStr">
        <is>
          <t>Có</t>
        </is>
      </c>
      <c r="R1084" s="20" t="n"/>
      <c r="S1084" s="20" t="n"/>
      <c r="T1084" s="21" t="n"/>
      <c r="U1084" s="21" t="n"/>
      <c r="V1084" s="22">
        <f>IF(U1084="A",K1084,IF(U1084="B",L1084,IF(U1084="C",M1084,IF(N1084="A",K1084,IF(N1084="B",L1084,M1084)))))</f>
        <v/>
      </c>
      <c r="W1084" s="22">
        <f>IF(R1084="",O1084,MAX(V1084-R1084-N(S1084),0))</f>
        <v/>
      </c>
      <c r="X1084" s="20" t="n"/>
      <c r="Y1084" s="23">
        <f>IF(OR(X1084="",W1084=0),"",X1084/W1084-1)</f>
        <v/>
      </c>
      <c r="Z1084" s="24" t="n"/>
      <c r="AA1084" s="21" t="n"/>
      <c r="AB1084" s="25" t="n"/>
      <c r="AC1084" s="26">
        <f>IF(T1084="","Chưa quyết định",IF(OR(Z1084="",AA1084=""),"⚠ Thiếu lý do/người duyệt",IF(AND(X1084&lt;&gt;"",N(X1084)+N(R1084)+N(S1084)&gt;M1084*1.001,R1084&lt;&gt;""),"⚠ Vượt mục tiêu P90",IF(AND(Y1084&lt;&gt;"",ABS(N(Y1084))&gt;0.3),"⚠ Lệch &gt; 30% so với nhu cầu",IF(Q1084="Có","ℹ Kiểm tra ngoại suy KM","✓ Hợp lệ")))))</f>
        <v/>
      </c>
    </row>
    <row r="1085">
      <c r="A1085" s="16" t="n">
        <v>1081</v>
      </c>
      <c r="B1085" s="17" t="inlineStr">
        <is>
          <t>DEC-S10-LADIESWEAR</t>
        </is>
      </c>
      <c r="C1085" s="16" t="n">
        <v>10</v>
      </c>
      <c r="D1085" s="17" t="inlineStr">
        <is>
          <t>LADIESWEAR</t>
        </is>
      </c>
      <c r="E1085" s="17" t="inlineStr">
        <is>
          <t>HIGH</t>
        </is>
      </c>
      <c r="F1085" s="17" t="inlineStr">
        <is>
          <t>TRUNG BÌNH</t>
        </is>
      </c>
      <c r="G1085" s="18" t="inlineStr">
        <is>
          <t>RISK_HIGH · PROMO_EXTRAPOLATION</t>
        </is>
      </c>
      <c r="H1085" s="19" t="n">
        <v>3.999918997287751</v>
      </c>
      <c r="I1085" s="19" t="n">
        <v>19.77631682902575</v>
      </c>
      <c r="J1085" s="19" t="n">
        <v>96.54849786311388</v>
      </c>
      <c r="K1085" s="19" t="n">
        <v>19.77631682902575</v>
      </c>
      <c r="L1085" s="19" t="n">
        <v>67.75892997533083</v>
      </c>
      <c r="M1085" s="19" t="n">
        <v>96.54849786311388</v>
      </c>
      <c r="N1085" s="17" t="inlineStr">
        <is>
          <t>B</t>
        </is>
      </c>
      <c r="O1085" s="19" t="n">
        <v>51.93787651211024</v>
      </c>
      <c r="P1085" s="18" t="inlineStr">
        <is>
          <t>KHÔNG ĐỀ XUẤT TĂNG</t>
        </is>
      </c>
      <c r="Q1085" s="17" t="inlineStr">
        <is>
          <t>Có</t>
        </is>
      </c>
      <c r="R1085" s="20" t="n"/>
      <c r="S1085" s="20" t="n"/>
      <c r="T1085" s="21" t="n"/>
      <c r="U1085" s="21" t="n"/>
      <c r="V1085" s="22">
        <f>IF(U1085="A",K1085,IF(U1085="B",L1085,IF(U1085="C",M1085,IF(N1085="A",K1085,IF(N1085="B",L1085,M1085)))))</f>
        <v/>
      </c>
      <c r="W1085" s="22">
        <f>IF(R1085="",O1085,MAX(V1085-R1085-N(S1085),0))</f>
        <v/>
      </c>
      <c r="X1085" s="20" t="n"/>
      <c r="Y1085" s="23">
        <f>IF(OR(X1085="",W1085=0),"",X1085/W1085-1)</f>
        <v/>
      </c>
      <c r="Z1085" s="24" t="n"/>
      <c r="AA1085" s="21" t="n"/>
      <c r="AB1085" s="25" t="n"/>
      <c r="AC1085" s="26">
        <f>IF(T1085="","Chưa quyết định",IF(OR(Z1085="",AA1085=""),"⚠ Thiếu lý do/người duyệt",IF(AND(X1085&lt;&gt;"",N(X1085)+N(R1085)+N(S1085)&gt;M1085*1.001,R1085&lt;&gt;""),"⚠ Vượt mục tiêu P90",IF(AND(Y1085&lt;&gt;"",ABS(N(Y1085))&gt;0.3),"⚠ Lệch &gt; 30% so với nhu cầu",IF(Q1085="Có","ℹ Kiểm tra ngoại suy KM","✓ Hợp lệ")))))</f>
        <v/>
      </c>
    </row>
    <row r="1086">
      <c r="A1086" s="16" t="n">
        <v>1082</v>
      </c>
      <c r="B1086" s="17" t="inlineStr">
        <is>
          <t>DEC-S31-SCHOOL_AND_OFFICE_SUPPLIES</t>
        </is>
      </c>
      <c r="C1086" s="16" t="n">
        <v>31</v>
      </c>
      <c r="D1086" s="17" t="inlineStr">
        <is>
          <t>SCHOOL AND OFFICE SUPPLIES</t>
        </is>
      </c>
      <c r="E1086" s="17" t="inlineStr">
        <is>
          <t>HIGH</t>
        </is>
      </c>
      <c r="F1086" s="17" t="inlineStr">
        <is>
          <t>TRUNG BÌNH</t>
        </is>
      </c>
      <c r="G1086" s="18" t="inlineStr">
        <is>
          <t>RISK_HIGH · PROMO_EXTRAPOLATION</t>
        </is>
      </c>
      <c r="H1086" s="19" t="n">
        <v>7.750006771087646</v>
      </c>
      <c r="I1086" s="19" t="n">
        <v>19.68291789293289</v>
      </c>
      <c r="J1086" s="19" t="n">
        <v>92.45679389238356</v>
      </c>
      <c r="K1086" s="19" t="n">
        <v>19.68291789293289</v>
      </c>
      <c r="L1086" s="19" t="n">
        <v>65.16659039258955</v>
      </c>
      <c r="M1086" s="19" t="n">
        <v>92.45679389238356</v>
      </c>
      <c r="N1086" s="17" t="inlineStr">
        <is>
          <t>B</t>
        </is>
      </c>
      <c r="O1086" s="19" t="n">
        <v>49.42025607824324</v>
      </c>
      <c r="P1086" s="18" t="inlineStr">
        <is>
          <t>KHÔNG ĐỀ XUẤT TĂNG</t>
        </is>
      </c>
      <c r="Q1086" s="17" t="inlineStr">
        <is>
          <t>Có</t>
        </is>
      </c>
      <c r="R1086" s="20" t="n"/>
      <c r="S1086" s="20" t="n"/>
      <c r="T1086" s="21" t="n"/>
      <c r="U1086" s="21" t="n"/>
      <c r="V1086" s="22">
        <f>IF(U1086="A",K1086,IF(U1086="B",L1086,IF(U1086="C",M1086,IF(N1086="A",K1086,IF(N1086="B",L1086,M1086)))))</f>
        <v/>
      </c>
      <c r="W1086" s="22">
        <f>IF(R1086="",O1086,MAX(V1086-R1086-N(S1086),0))</f>
        <v/>
      </c>
      <c r="X1086" s="20" t="n"/>
      <c r="Y1086" s="23">
        <f>IF(OR(X1086="",W1086=0),"",X1086/W1086-1)</f>
        <v/>
      </c>
      <c r="Z1086" s="24" t="n"/>
      <c r="AA1086" s="21" t="n"/>
      <c r="AB1086" s="25" t="n"/>
      <c r="AC1086" s="26">
        <f>IF(T1086="","Chưa quyết định",IF(OR(Z1086="",AA1086=""),"⚠ Thiếu lý do/người duyệt",IF(AND(X1086&lt;&gt;"",N(X1086)+N(R1086)+N(S1086)&gt;M1086*1.001,R1086&lt;&gt;""),"⚠ Vượt mục tiêu P90",IF(AND(Y1086&lt;&gt;"",ABS(N(Y1086))&gt;0.3),"⚠ Lệch &gt; 30% so với nhu cầu",IF(Q1086="Có","ℹ Kiểm tra ngoại suy KM","✓ Hợp lệ")))))</f>
        <v/>
      </c>
    </row>
    <row r="1087">
      <c r="A1087" s="16" t="n">
        <v>1083</v>
      </c>
      <c r="B1087" s="17" t="inlineStr">
        <is>
          <t>DEC-S19-SEAFOOD</t>
        </is>
      </c>
      <c r="C1087" s="16" t="n">
        <v>19</v>
      </c>
      <c r="D1087" s="17" t="inlineStr">
        <is>
          <t>SEAFOOD</t>
        </is>
      </c>
      <c r="E1087" s="17" t="inlineStr">
        <is>
          <t>HIGH</t>
        </is>
      </c>
      <c r="F1087" s="17" t="inlineStr">
        <is>
          <t>TRUNG BÌNH</t>
        </is>
      </c>
      <c r="G1087" s="18" t="inlineStr">
        <is>
          <t>RISK_HIGH · PROMO_EXTRAPOLATION</t>
        </is>
      </c>
      <c r="H1087" s="19" t="n">
        <v>2.829755306243896</v>
      </c>
      <c r="I1087" s="19" t="n">
        <v>19.57352399826049</v>
      </c>
      <c r="J1087" s="19" t="n">
        <v>100.7811020851135</v>
      </c>
      <c r="K1087" s="19" t="n">
        <v>19.57352399826049</v>
      </c>
      <c r="L1087" s="19" t="n">
        <v>70.32826030254363</v>
      </c>
      <c r="M1087" s="19" t="n">
        <v>100.7811020851135</v>
      </c>
      <c r="N1087" s="17" t="inlineStr">
        <is>
          <t>B</t>
        </is>
      </c>
      <c r="O1087" s="19" t="n">
        <v>54.66944110393523</v>
      </c>
      <c r="P1087" s="18" t="inlineStr">
        <is>
          <t>KHÔNG ĐỀ XUẤT TĂNG</t>
        </is>
      </c>
      <c r="Q1087" s="17" t="inlineStr">
        <is>
          <t>Có</t>
        </is>
      </c>
      <c r="R1087" s="20" t="n"/>
      <c r="S1087" s="20" t="n"/>
      <c r="T1087" s="21" t="n"/>
      <c r="U1087" s="21" t="n"/>
      <c r="V1087" s="22">
        <f>IF(U1087="A",K1087,IF(U1087="B",L1087,IF(U1087="C",M1087,IF(N1087="A",K1087,IF(N1087="B",L1087,M1087)))))</f>
        <v/>
      </c>
      <c r="W1087" s="22">
        <f>IF(R1087="",O1087,MAX(V1087-R1087-N(S1087),0))</f>
        <v/>
      </c>
      <c r="X1087" s="20" t="n"/>
      <c r="Y1087" s="23">
        <f>IF(OR(X1087="",W1087=0),"",X1087/W1087-1)</f>
        <v/>
      </c>
      <c r="Z1087" s="24" t="n"/>
      <c r="AA1087" s="21" t="n"/>
      <c r="AB1087" s="25" t="n"/>
      <c r="AC1087" s="26">
        <f>IF(T1087="","Chưa quyết định",IF(OR(Z1087="",AA1087=""),"⚠ Thiếu lý do/người duyệt",IF(AND(X1087&lt;&gt;"",N(X1087)+N(R1087)+N(S1087)&gt;M1087*1.001,R1087&lt;&gt;""),"⚠ Vượt mục tiêu P90",IF(AND(Y1087&lt;&gt;"",ABS(N(Y1087))&gt;0.3),"⚠ Lệch &gt; 30% so với nhu cầu",IF(Q1087="Có","ℹ Kiểm tra ngoại suy KM","✓ Hợp lệ")))))</f>
        <v/>
      </c>
    </row>
    <row r="1088">
      <c r="A1088" s="16" t="n">
        <v>1084</v>
      </c>
      <c r="B1088" s="17" t="inlineStr">
        <is>
          <t>DEC-S12-SEAFOOD</t>
        </is>
      </c>
      <c r="C1088" s="16" t="n">
        <v>12</v>
      </c>
      <c r="D1088" s="17" t="inlineStr">
        <is>
          <t>SEAFOOD</t>
        </is>
      </c>
      <c r="E1088" s="17" t="inlineStr">
        <is>
          <t>HIGH</t>
        </is>
      </c>
      <c r="F1088" s="17" t="inlineStr">
        <is>
          <t>TRUNG BÌNH</t>
        </is>
      </c>
      <c r="G1088" s="18" t="inlineStr">
        <is>
          <t>RISK_HIGH · PROMO_EXTRAPOLATION</t>
        </is>
      </c>
      <c r="H1088" s="19" t="n">
        <v>6.888903141021729</v>
      </c>
      <c r="I1088" s="19" t="n">
        <v>19.49137163162231</v>
      </c>
      <c r="J1088" s="19" t="n">
        <v>92.52511396408082</v>
      </c>
      <c r="K1088" s="19" t="n">
        <v>19.49137163162231</v>
      </c>
      <c r="L1088" s="19" t="n">
        <v>65.13746058940887</v>
      </c>
      <c r="M1088" s="19" t="n">
        <v>92.52511396408082</v>
      </c>
      <c r="N1088" s="17" t="inlineStr">
        <is>
          <t>B</t>
        </is>
      </c>
      <c r="O1088" s="19" t="n">
        <v>49.54436328411102</v>
      </c>
      <c r="P1088" s="18" t="inlineStr">
        <is>
          <t>KHÔNG ĐỀ XUẤT TĂNG</t>
        </is>
      </c>
      <c r="Q1088" s="17" t="inlineStr">
        <is>
          <t>Có</t>
        </is>
      </c>
      <c r="R1088" s="20" t="n"/>
      <c r="S1088" s="20" t="n"/>
      <c r="T1088" s="21" t="n"/>
      <c r="U1088" s="21" t="n"/>
      <c r="V1088" s="22">
        <f>IF(U1088="A",K1088,IF(U1088="B",L1088,IF(U1088="C",M1088,IF(N1088="A",K1088,IF(N1088="B",L1088,M1088)))))</f>
        <v/>
      </c>
      <c r="W1088" s="22">
        <f>IF(R1088="",O1088,MAX(V1088-R1088-N(S1088),0))</f>
        <v/>
      </c>
      <c r="X1088" s="20" t="n"/>
      <c r="Y1088" s="23">
        <f>IF(OR(X1088="",W1088=0),"",X1088/W1088-1)</f>
        <v/>
      </c>
      <c r="Z1088" s="24" t="n"/>
      <c r="AA1088" s="21" t="n"/>
      <c r="AB1088" s="25" t="n"/>
      <c r="AC1088" s="26">
        <f>IF(T1088="","Chưa quyết định",IF(OR(Z1088="",AA1088=""),"⚠ Thiếu lý do/người duyệt",IF(AND(X1088&lt;&gt;"",N(X1088)+N(R1088)+N(S1088)&gt;M1088*1.001,R1088&lt;&gt;""),"⚠ Vượt mục tiêu P90",IF(AND(Y1088&lt;&gt;"",ABS(N(Y1088))&gt;0.3),"⚠ Lệch &gt; 30% so với nhu cầu",IF(Q1088="Có","ℹ Kiểm tra ngoại suy KM","✓ Hợp lệ")))))</f>
        <v/>
      </c>
    </row>
    <row r="1089">
      <c r="A1089" s="16" t="n">
        <v>1085</v>
      </c>
      <c r="B1089" s="17" t="inlineStr">
        <is>
          <t>DEC-S06-BABY_CARE</t>
        </is>
      </c>
      <c r="C1089" s="16" t="n">
        <v>6</v>
      </c>
      <c r="D1089" s="17" t="inlineStr">
        <is>
          <t>BABY CARE</t>
        </is>
      </c>
      <c r="E1089" s="17" t="inlineStr">
        <is>
          <t>HIGH</t>
        </is>
      </c>
      <c r="F1089" s="17" t="inlineStr">
        <is>
          <t>TRUNG BÌNH</t>
        </is>
      </c>
      <c r="G1089" s="18" t="inlineStr">
        <is>
          <t>RISK_HIGH · PROMO_EXTRAPOLATION</t>
        </is>
      </c>
      <c r="H1089" s="19" t="n">
        <v>3.35906133055687</v>
      </c>
      <c r="I1089" s="19" t="n">
        <v>19.37919317325577</v>
      </c>
      <c r="J1089" s="19" t="n">
        <v>96.15137420734391</v>
      </c>
      <c r="K1089" s="19" t="n">
        <v>19.37919317325577</v>
      </c>
      <c r="L1089" s="19" t="n">
        <v>67.36180631956086</v>
      </c>
      <c r="M1089" s="19" t="n">
        <v>96.15137420734391</v>
      </c>
      <c r="N1089" s="17" t="inlineStr">
        <is>
          <t>B</t>
        </is>
      </c>
      <c r="O1089" s="19" t="n">
        <v>51.85845178095624</v>
      </c>
      <c r="P1089" s="18" t="inlineStr">
        <is>
          <t>KHÔNG ĐỀ XUẤT TĂNG</t>
        </is>
      </c>
      <c r="Q1089" s="17" t="inlineStr">
        <is>
          <t>Có</t>
        </is>
      </c>
      <c r="R1089" s="20" t="n"/>
      <c r="S1089" s="20" t="n"/>
      <c r="T1089" s="21" t="n"/>
      <c r="U1089" s="21" t="n"/>
      <c r="V1089" s="22">
        <f>IF(U1089="A",K1089,IF(U1089="B",L1089,IF(U1089="C",M1089,IF(N1089="A",K1089,IF(N1089="B",L1089,M1089)))))</f>
        <v/>
      </c>
      <c r="W1089" s="22">
        <f>IF(R1089="",O1089,MAX(V1089-R1089-N(S1089),0))</f>
        <v/>
      </c>
      <c r="X1089" s="20" t="n"/>
      <c r="Y1089" s="23">
        <f>IF(OR(X1089="",W1089=0),"",X1089/W1089-1)</f>
        <v/>
      </c>
      <c r="Z1089" s="24" t="n"/>
      <c r="AA1089" s="21" t="n"/>
      <c r="AB1089" s="25" t="n"/>
      <c r="AC1089" s="26">
        <f>IF(T1089="","Chưa quyết định",IF(OR(Z1089="",AA1089=""),"⚠ Thiếu lý do/người duyệt",IF(AND(X1089&lt;&gt;"",N(X1089)+N(R1089)+N(S1089)&gt;M1089*1.001,R1089&lt;&gt;""),"⚠ Vượt mục tiêu P90",IF(AND(Y1089&lt;&gt;"",ABS(N(Y1089))&gt;0.3),"⚠ Lệch &gt; 30% so với nhu cầu",IF(Q1089="Có","ℹ Kiểm tra ngoại suy KM","✓ Hợp lệ")))))</f>
        <v/>
      </c>
    </row>
    <row r="1090">
      <c r="A1090" s="16" t="n">
        <v>1086</v>
      </c>
      <c r="B1090" s="17" t="inlineStr">
        <is>
          <t>DEC-S32-PET_SUPPLIES</t>
        </is>
      </c>
      <c r="C1090" s="16" t="n">
        <v>32</v>
      </c>
      <c r="D1090" s="17" t="inlineStr">
        <is>
          <t>PET SUPPLIES</t>
        </is>
      </c>
      <c r="E1090" s="17" t="inlineStr">
        <is>
          <t>HIGH</t>
        </is>
      </c>
      <c r="F1090" s="17" t="inlineStr">
        <is>
          <t>TRUNG BÌNH</t>
        </is>
      </c>
      <c r="G1090" s="18" t="inlineStr">
        <is>
          <t>RISK_HIGH · PROMO_EXTRAPOLATION</t>
        </is>
      </c>
      <c r="H1090" s="19" t="n">
        <v>3.122478866577149</v>
      </c>
      <c r="I1090" s="19" t="n">
        <v>19.27153860777617</v>
      </c>
      <c r="J1090" s="19" t="n">
        <v>98.17280532568694</v>
      </c>
      <c r="K1090" s="19" t="n">
        <v>19.27153860777617</v>
      </c>
      <c r="L1090" s="19" t="n">
        <v>68.58483030647039</v>
      </c>
      <c r="M1090" s="19" t="n">
        <v>98.17280532568694</v>
      </c>
      <c r="N1090" s="17" t="inlineStr">
        <is>
          <t>B</t>
        </is>
      </c>
      <c r="O1090" s="19" t="n">
        <v>53.16759942024946</v>
      </c>
      <c r="P1090" s="18" t="inlineStr">
        <is>
          <t>KHÔNG ĐỀ XUẤT TĂNG</t>
        </is>
      </c>
      <c r="Q1090" s="17" t="inlineStr">
        <is>
          <t>Có</t>
        </is>
      </c>
      <c r="R1090" s="20" t="n"/>
      <c r="S1090" s="20" t="n"/>
      <c r="T1090" s="21" t="n"/>
      <c r="U1090" s="21" t="n"/>
      <c r="V1090" s="22">
        <f>IF(U1090="A",K1090,IF(U1090="B",L1090,IF(U1090="C",M1090,IF(N1090="A",K1090,IF(N1090="B",L1090,M1090)))))</f>
        <v/>
      </c>
      <c r="W1090" s="22">
        <f>IF(R1090="",O1090,MAX(V1090-R1090-N(S1090),0))</f>
        <v/>
      </c>
      <c r="X1090" s="20" t="n"/>
      <c r="Y1090" s="23">
        <f>IF(OR(X1090="",W1090=0),"",X1090/W1090-1)</f>
        <v/>
      </c>
      <c r="Z1090" s="24" t="n"/>
      <c r="AA1090" s="21" t="n"/>
      <c r="AB1090" s="25" t="n"/>
      <c r="AC1090" s="26">
        <f>IF(T1090="","Chưa quyết định",IF(OR(Z1090="",AA1090=""),"⚠ Thiếu lý do/người duyệt",IF(AND(X1090&lt;&gt;"",N(X1090)+N(R1090)+N(S1090)&gt;M1090*1.001,R1090&lt;&gt;""),"⚠ Vượt mục tiêu P90",IF(AND(Y1090&lt;&gt;"",ABS(N(Y1090))&gt;0.3),"⚠ Lệch &gt; 30% so với nhu cầu",IF(Q1090="Có","ℹ Kiểm tra ngoại suy KM","✓ Hợp lệ")))))</f>
        <v/>
      </c>
    </row>
    <row r="1091">
      <c r="A1091" s="16" t="n">
        <v>1087</v>
      </c>
      <c r="B1091" s="17" t="inlineStr">
        <is>
          <t>DEC-S13-LINGERIE</t>
        </is>
      </c>
      <c r="C1091" s="16" t="n">
        <v>13</v>
      </c>
      <c r="D1091" s="17" t="inlineStr">
        <is>
          <t>LINGERIE</t>
        </is>
      </c>
      <c r="E1091" s="17" t="inlineStr">
        <is>
          <t>HIGH</t>
        </is>
      </c>
      <c r="F1091" s="17" t="inlineStr">
        <is>
          <t>TRUNG BÌNH</t>
        </is>
      </c>
      <c r="G1091" s="18" t="inlineStr">
        <is>
          <t>RISK_HIGH · PROMO_EXTRAPOLATION</t>
        </is>
      </c>
      <c r="H1091" s="19" t="n">
        <v>2.161973351240158</v>
      </c>
      <c r="I1091" s="19" t="n">
        <v>19.27132079750299</v>
      </c>
      <c r="J1091" s="19" t="n">
        <v>98.17258751541377</v>
      </c>
      <c r="K1091" s="19" t="n">
        <v>19.27132079750299</v>
      </c>
      <c r="L1091" s="19" t="n">
        <v>68.58461249619722</v>
      </c>
      <c r="M1091" s="19" t="n">
        <v>98.17258751541377</v>
      </c>
      <c r="N1091" s="17" t="inlineStr">
        <is>
          <t>B</t>
        </is>
      </c>
      <c r="O1091" s="19" t="n">
        <v>53.16755585819483</v>
      </c>
      <c r="P1091" s="18" t="inlineStr">
        <is>
          <t>KHÔNG ĐỀ XUẤT TĂNG</t>
        </is>
      </c>
      <c r="Q1091" s="17" t="inlineStr">
        <is>
          <t>Có</t>
        </is>
      </c>
      <c r="R1091" s="20" t="n"/>
      <c r="S1091" s="20" t="n"/>
      <c r="T1091" s="21" t="n"/>
      <c r="U1091" s="21" t="n"/>
      <c r="V1091" s="22">
        <f>IF(U1091="A",K1091,IF(U1091="B",L1091,IF(U1091="C",M1091,IF(N1091="A",K1091,IF(N1091="B",L1091,M1091)))))</f>
        <v/>
      </c>
      <c r="W1091" s="22">
        <f>IF(R1091="",O1091,MAX(V1091-R1091-N(S1091),0))</f>
        <v/>
      </c>
      <c r="X1091" s="20" t="n"/>
      <c r="Y1091" s="23">
        <f>IF(OR(X1091="",W1091=0),"",X1091/W1091-1)</f>
        <v/>
      </c>
      <c r="Z1091" s="24" t="n"/>
      <c r="AA1091" s="21" t="n"/>
      <c r="AB1091" s="25" t="n"/>
      <c r="AC1091" s="26">
        <f>IF(T1091="","Chưa quyết định",IF(OR(Z1091="",AA1091=""),"⚠ Thiếu lý do/người duyệt",IF(AND(X1091&lt;&gt;"",N(X1091)+N(R1091)+N(S1091)&gt;M1091*1.001,R1091&lt;&gt;""),"⚠ Vượt mục tiêu P90",IF(AND(Y1091&lt;&gt;"",ABS(N(Y1091))&gt;0.3),"⚠ Lệch &gt; 30% so với nhu cầu",IF(Q1091="Có","ℹ Kiểm tra ngoại suy KM","✓ Hợp lệ")))))</f>
        <v/>
      </c>
    </row>
    <row r="1092">
      <c r="A1092" s="16" t="n">
        <v>1088</v>
      </c>
      <c r="B1092" s="17" t="inlineStr">
        <is>
          <t>DEC-S21-HARDWARE</t>
        </is>
      </c>
      <c r="C1092" s="16" t="n">
        <v>21</v>
      </c>
      <c r="D1092" s="17" t="inlineStr">
        <is>
          <t>HARDWARE</t>
        </is>
      </c>
      <c r="E1092" s="17" t="inlineStr">
        <is>
          <t>HIGH</t>
        </is>
      </c>
      <c r="F1092" s="17" t="inlineStr">
        <is>
          <t>TRUNG BÌNH</t>
        </is>
      </c>
      <c r="G1092" s="18" t="inlineStr">
        <is>
          <t>RISK_HIGH · PROMO_EXTRAPOLATION</t>
        </is>
      </c>
      <c r="H1092" s="19" t="n">
        <v>3.327630752325058</v>
      </c>
      <c r="I1092" s="19" t="n">
        <v>19.17038902640343</v>
      </c>
      <c r="J1092" s="19" t="n">
        <v>98.0716557443142</v>
      </c>
      <c r="K1092" s="19" t="n">
        <v>19.17038902640343</v>
      </c>
      <c r="L1092" s="19" t="n">
        <v>68.48368072509766</v>
      </c>
      <c r="M1092" s="19" t="n">
        <v>98.0716557443142</v>
      </c>
      <c r="N1092" s="17" t="inlineStr">
        <is>
          <t>B</t>
        </is>
      </c>
      <c r="O1092" s="19" t="n">
        <v>53.14736950397492</v>
      </c>
      <c r="P1092" s="18" t="inlineStr">
        <is>
          <t>KHÔNG ĐỀ XUẤT TĂNG</t>
        </is>
      </c>
      <c r="Q1092" s="17" t="inlineStr">
        <is>
          <t>Có</t>
        </is>
      </c>
      <c r="R1092" s="20" t="n"/>
      <c r="S1092" s="20" t="n"/>
      <c r="T1092" s="21" t="n"/>
      <c r="U1092" s="21" t="n"/>
      <c r="V1092" s="22">
        <f>IF(U1092="A",K1092,IF(U1092="B",L1092,IF(U1092="C",M1092,IF(N1092="A",K1092,IF(N1092="B",L1092,M1092)))))</f>
        <v/>
      </c>
      <c r="W1092" s="22">
        <f>IF(R1092="",O1092,MAX(V1092-R1092-N(S1092),0))</f>
        <v/>
      </c>
      <c r="X1092" s="20" t="n"/>
      <c r="Y1092" s="23">
        <f>IF(OR(X1092="",W1092=0),"",X1092/W1092-1)</f>
        <v/>
      </c>
      <c r="Z1092" s="24" t="n"/>
      <c r="AA1092" s="21" t="n"/>
      <c r="AB1092" s="25" t="n"/>
      <c r="AC1092" s="26">
        <f>IF(T1092="","Chưa quyết định",IF(OR(Z1092="",AA1092=""),"⚠ Thiếu lý do/người duyệt",IF(AND(X1092&lt;&gt;"",N(X1092)+N(R1092)+N(S1092)&gt;M1092*1.001,R1092&lt;&gt;""),"⚠ Vượt mục tiêu P90",IF(AND(Y1092&lt;&gt;"",ABS(N(Y1092))&gt;0.3),"⚠ Lệch &gt; 30% so với nhu cầu",IF(Q1092="Có","ℹ Kiểm tra ngoại suy KM","✓ Hợp lệ")))))</f>
        <v/>
      </c>
    </row>
    <row r="1093">
      <c r="A1093" s="16" t="n">
        <v>1089</v>
      </c>
      <c r="B1093" s="17" t="inlineStr">
        <is>
          <t>DEC-S19-PET_SUPPLIES</t>
        </is>
      </c>
      <c r="C1093" s="16" t="n">
        <v>19</v>
      </c>
      <c r="D1093" s="17" t="inlineStr">
        <is>
          <t>PET SUPPLIES</t>
        </is>
      </c>
      <c r="E1093" s="17" t="inlineStr">
        <is>
          <t>HIGH</t>
        </is>
      </c>
      <c r="F1093" s="17" t="inlineStr">
        <is>
          <t>TRUNG BÌNH</t>
        </is>
      </c>
      <c r="G1093" s="18" t="inlineStr">
        <is>
          <t>RISK_HIGH · PROMO_EXTRAPOLATION</t>
        </is>
      </c>
      <c r="H1093" s="19" t="n">
        <v>3.259932005405426</v>
      </c>
      <c r="I1093" s="19" t="n">
        <v>19.12630933523178</v>
      </c>
      <c r="J1093" s="19" t="n">
        <v>98.02757605314255</v>
      </c>
      <c r="K1093" s="19" t="n">
        <v>19.12630933523178</v>
      </c>
      <c r="L1093" s="19" t="n">
        <v>68.43960103392601</v>
      </c>
      <c r="M1093" s="19" t="n">
        <v>98.02757605314255</v>
      </c>
      <c r="N1093" s="17" t="inlineStr">
        <is>
          <t>B</t>
        </is>
      </c>
      <c r="O1093" s="19" t="n">
        <v>53.13855356574059</v>
      </c>
      <c r="P1093" s="18" t="inlineStr">
        <is>
          <t>KHÔNG ĐỀ XUẤT TĂNG</t>
        </is>
      </c>
      <c r="Q1093" s="17" t="inlineStr">
        <is>
          <t>Có</t>
        </is>
      </c>
      <c r="R1093" s="20" t="n"/>
      <c r="S1093" s="20" t="n"/>
      <c r="T1093" s="21" t="n"/>
      <c r="U1093" s="21" t="n"/>
      <c r="V1093" s="22">
        <f>IF(U1093="A",K1093,IF(U1093="B",L1093,IF(U1093="C",M1093,IF(N1093="A",K1093,IF(N1093="B",L1093,M1093)))))</f>
        <v/>
      </c>
      <c r="W1093" s="22">
        <f>IF(R1093="",O1093,MAX(V1093-R1093-N(S1093),0))</f>
        <v/>
      </c>
      <c r="X1093" s="20" t="n"/>
      <c r="Y1093" s="23">
        <f>IF(OR(X1093="",W1093=0),"",X1093/W1093-1)</f>
        <v/>
      </c>
      <c r="Z1093" s="24" t="n"/>
      <c r="AA1093" s="21" t="n"/>
      <c r="AB1093" s="25" t="n"/>
      <c r="AC1093" s="26">
        <f>IF(T1093="","Chưa quyết định",IF(OR(Z1093="",AA1093=""),"⚠ Thiếu lý do/người duyệt",IF(AND(X1093&lt;&gt;"",N(X1093)+N(R1093)+N(S1093)&gt;M1093*1.001,R1093&lt;&gt;""),"⚠ Vượt mục tiêu P90",IF(AND(Y1093&lt;&gt;"",ABS(N(Y1093))&gt;0.3),"⚠ Lệch &gt; 30% so với nhu cầu",IF(Q1093="Có","ℹ Kiểm tra ngoại suy KM","✓ Hợp lệ")))))</f>
        <v/>
      </c>
    </row>
    <row r="1094">
      <c r="A1094" s="16" t="n">
        <v>1090</v>
      </c>
      <c r="B1094" s="17" t="inlineStr">
        <is>
          <t>DEC-S29-BOOKS</t>
        </is>
      </c>
      <c r="C1094" s="16" t="n">
        <v>29</v>
      </c>
      <c r="D1094" s="17" t="inlineStr">
        <is>
          <t>BOOKS</t>
        </is>
      </c>
      <c r="E1094" s="17" t="inlineStr">
        <is>
          <t>HIGH</t>
        </is>
      </c>
      <c r="F1094" s="17" t="inlineStr">
        <is>
          <t>TRUNG BÌNH</t>
        </is>
      </c>
      <c r="G1094" s="18" t="inlineStr">
        <is>
          <t>RISK_HIGH · PROMO_EXTRAPOLATION</t>
        </is>
      </c>
      <c r="H1094" s="19" t="n">
        <v>3.320574736595154</v>
      </c>
      <c r="I1094" s="19" t="n">
        <v>18.7772079706192</v>
      </c>
      <c r="J1094" s="19" t="n">
        <v>95.54938900470734</v>
      </c>
      <c r="K1094" s="19" t="n">
        <v>18.7772079706192</v>
      </c>
      <c r="L1094" s="19" t="n">
        <v>66.75982111692429</v>
      </c>
      <c r="M1094" s="19" t="n">
        <v>95.54938900470734</v>
      </c>
      <c r="N1094" s="17" t="inlineStr">
        <is>
          <t>B</t>
        </is>
      </c>
      <c r="O1094" s="19" t="n">
        <v>51.73805474042892</v>
      </c>
      <c r="P1094" s="18" t="inlineStr">
        <is>
          <t>KHÔNG ĐỀ XUẤT TĂNG</t>
        </is>
      </c>
      <c r="Q1094" s="17" t="inlineStr">
        <is>
          <t>Có</t>
        </is>
      </c>
      <c r="R1094" s="20" t="n"/>
      <c r="S1094" s="20" t="n"/>
      <c r="T1094" s="21" t="n"/>
      <c r="U1094" s="21" t="n"/>
      <c r="V1094" s="22">
        <f>IF(U1094="A",K1094,IF(U1094="B",L1094,IF(U1094="C",M1094,IF(N1094="A",K1094,IF(N1094="B",L1094,M1094)))))</f>
        <v/>
      </c>
      <c r="W1094" s="22">
        <f>IF(R1094="",O1094,MAX(V1094-R1094-N(S1094),0))</f>
        <v/>
      </c>
      <c r="X1094" s="20" t="n"/>
      <c r="Y1094" s="23">
        <f>IF(OR(X1094="",W1094=0),"",X1094/W1094-1)</f>
        <v/>
      </c>
      <c r="Z1094" s="24" t="n"/>
      <c r="AA1094" s="21" t="n"/>
      <c r="AB1094" s="25" t="n"/>
      <c r="AC1094" s="26">
        <f>IF(T1094="","Chưa quyết định",IF(OR(Z1094="",AA1094=""),"⚠ Thiếu lý do/người duyệt",IF(AND(X1094&lt;&gt;"",N(X1094)+N(R1094)+N(S1094)&gt;M1094*1.001,R1094&lt;&gt;""),"⚠ Vượt mục tiêu P90",IF(AND(Y1094&lt;&gt;"",ABS(N(Y1094))&gt;0.3),"⚠ Lệch &gt; 30% so với nhu cầu",IF(Q1094="Có","ℹ Kiểm tra ngoại suy KM","✓ Hợp lệ")))))</f>
        <v/>
      </c>
    </row>
    <row r="1095">
      <c r="A1095" s="16" t="n">
        <v>1091</v>
      </c>
      <c r="B1095" s="17" t="inlineStr">
        <is>
          <t>DEC-S36-BOOKS</t>
        </is>
      </c>
      <c r="C1095" s="16" t="n">
        <v>36</v>
      </c>
      <c r="D1095" s="17" t="inlineStr">
        <is>
          <t>BOOKS</t>
        </is>
      </c>
      <c r="E1095" s="17" t="inlineStr">
        <is>
          <t>HIGH</t>
        </is>
      </c>
      <c r="F1095" s="17" t="inlineStr">
        <is>
          <t>TRUNG BÌNH</t>
        </is>
      </c>
      <c r="G1095" s="18" t="inlineStr">
        <is>
          <t>RISK_HIGH · PROMO_EXTRAPOLATION</t>
        </is>
      </c>
      <c r="H1095" s="19" t="n">
        <v>3.320574736595154</v>
      </c>
      <c r="I1095" s="19" t="n">
        <v>18.7772079706192</v>
      </c>
      <c r="J1095" s="19" t="n">
        <v>95.54938900470734</v>
      </c>
      <c r="K1095" s="19" t="n">
        <v>18.7772079706192</v>
      </c>
      <c r="L1095" s="19" t="n">
        <v>66.75982111692429</v>
      </c>
      <c r="M1095" s="19" t="n">
        <v>95.54938900470734</v>
      </c>
      <c r="N1095" s="17" t="inlineStr">
        <is>
          <t>B</t>
        </is>
      </c>
      <c r="O1095" s="19" t="n">
        <v>51.73805474042892</v>
      </c>
      <c r="P1095" s="18" t="inlineStr">
        <is>
          <t>KHÔNG ĐỀ XUẤT TĂNG</t>
        </is>
      </c>
      <c r="Q1095" s="17" t="inlineStr">
        <is>
          <t>Có</t>
        </is>
      </c>
      <c r="R1095" s="20" t="n"/>
      <c r="S1095" s="20" t="n"/>
      <c r="T1095" s="21" t="n"/>
      <c r="U1095" s="21" t="n"/>
      <c r="V1095" s="22">
        <f>IF(U1095="A",K1095,IF(U1095="B",L1095,IF(U1095="C",M1095,IF(N1095="A",K1095,IF(N1095="B",L1095,M1095)))))</f>
        <v/>
      </c>
      <c r="W1095" s="22">
        <f>IF(R1095="",O1095,MAX(V1095-R1095-N(S1095),0))</f>
        <v/>
      </c>
      <c r="X1095" s="20" t="n"/>
      <c r="Y1095" s="23">
        <f>IF(OR(X1095="",W1095=0),"",X1095/W1095-1)</f>
        <v/>
      </c>
      <c r="Z1095" s="24" t="n"/>
      <c r="AA1095" s="21" t="n"/>
      <c r="AB1095" s="25" t="n"/>
      <c r="AC1095" s="26">
        <f>IF(T1095="","Chưa quyết định",IF(OR(Z1095="",AA1095=""),"⚠ Thiếu lý do/người duyệt",IF(AND(X1095&lt;&gt;"",N(X1095)+N(R1095)+N(S1095)&gt;M1095*1.001,R1095&lt;&gt;""),"⚠ Vượt mục tiêu P90",IF(AND(Y1095&lt;&gt;"",ABS(N(Y1095))&gt;0.3),"⚠ Lệch &gt; 30% so với nhu cầu",IF(Q1095="Có","ℹ Kiểm tra ngoại suy KM","✓ Hợp lệ")))))</f>
        <v/>
      </c>
    </row>
    <row r="1096">
      <c r="A1096" s="16" t="n">
        <v>1092</v>
      </c>
      <c r="B1096" s="17" t="inlineStr">
        <is>
          <t>DEC-S06-BOOKS</t>
        </is>
      </c>
      <c r="C1096" s="16" t="n">
        <v>6</v>
      </c>
      <c r="D1096" s="17" t="inlineStr">
        <is>
          <t>BOOKS</t>
        </is>
      </c>
      <c r="E1096" s="17" t="inlineStr">
        <is>
          <t>HIGH</t>
        </is>
      </c>
      <c r="F1096" s="17" t="inlineStr">
        <is>
          <t>TRUNG BÌNH</t>
        </is>
      </c>
      <c r="G1096" s="18" t="inlineStr">
        <is>
          <t>RISK_HIGH · PROMO_EXTRAPOLATION</t>
        </is>
      </c>
      <c r="H1096" s="19" t="n">
        <v>2.836848050355912</v>
      </c>
      <c r="I1096" s="19" t="n">
        <v>18.73824410932139</v>
      </c>
      <c r="J1096" s="19" t="n">
        <v>95.51042514340952</v>
      </c>
      <c r="K1096" s="19" t="n">
        <v>18.73824410932139</v>
      </c>
      <c r="L1096" s="19" t="n">
        <v>66.72085725562647</v>
      </c>
      <c r="M1096" s="19" t="n">
        <v>95.51042514340952</v>
      </c>
      <c r="N1096" s="17" t="inlineStr">
        <is>
          <t>B</t>
        </is>
      </c>
      <c r="O1096" s="19" t="n">
        <v>51.73026196816936</v>
      </c>
      <c r="P1096" s="18" t="inlineStr">
        <is>
          <t>KHÔNG ĐỀ XUẤT TĂNG</t>
        </is>
      </c>
      <c r="Q1096" s="17" t="inlineStr">
        <is>
          <t>Có</t>
        </is>
      </c>
      <c r="R1096" s="20" t="n"/>
      <c r="S1096" s="20" t="n"/>
      <c r="T1096" s="21" t="n"/>
      <c r="U1096" s="21" t="n"/>
      <c r="V1096" s="22">
        <f>IF(U1096="A",K1096,IF(U1096="B",L1096,IF(U1096="C",M1096,IF(N1096="A",K1096,IF(N1096="B",L1096,M1096)))))</f>
        <v/>
      </c>
      <c r="W1096" s="22">
        <f>IF(R1096="",O1096,MAX(V1096-R1096-N(S1096),0))</f>
        <v/>
      </c>
      <c r="X1096" s="20" t="n"/>
      <c r="Y1096" s="23">
        <f>IF(OR(X1096="",W1096=0),"",X1096/W1096-1)</f>
        <v/>
      </c>
      <c r="Z1096" s="24" t="n"/>
      <c r="AA1096" s="21" t="n"/>
      <c r="AB1096" s="25" t="n"/>
      <c r="AC1096" s="26">
        <f>IF(T1096="","Chưa quyết định",IF(OR(Z1096="",AA1096=""),"⚠ Thiếu lý do/người duyệt",IF(AND(X1096&lt;&gt;"",N(X1096)+N(R1096)+N(S1096)&gt;M1096*1.001,R1096&lt;&gt;""),"⚠ Vượt mục tiêu P90",IF(AND(Y1096&lt;&gt;"",ABS(N(Y1096))&gt;0.3),"⚠ Lệch &gt; 30% so với nhu cầu",IF(Q1096="Có","ℹ Kiểm tra ngoại suy KM","✓ Hợp lệ")))))</f>
        <v/>
      </c>
    </row>
    <row r="1097">
      <c r="A1097" s="16" t="n">
        <v>1093</v>
      </c>
      <c r="B1097" s="17" t="inlineStr">
        <is>
          <t>DEC-S23-HARDWARE</t>
        </is>
      </c>
      <c r="C1097" s="16" t="n">
        <v>23</v>
      </c>
      <c r="D1097" s="17" t="inlineStr">
        <is>
          <t>HARDWARE</t>
        </is>
      </c>
      <c r="E1097" s="17" t="inlineStr">
        <is>
          <t>HIGH</t>
        </is>
      </c>
      <c r="F1097" s="17" t="inlineStr">
        <is>
          <t>TRUNG BÌNH</t>
        </is>
      </c>
      <c r="G1097" s="18" t="inlineStr">
        <is>
          <t>RISK_HIGH · PROMO_EXTRAPOLATION</t>
        </is>
      </c>
      <c r="H1097" s="19" t="n">
        <v>3.889849317073823</v>
      </c>
      <c r="I1097" s="19" t="n">
        <v>18.60579893738032</v>
      </c>
      <c r="J1097" s="19" t="n">
        <v>93.2488942876458</v>
      </c>
      <c r="K1097" s="19" t="n">
        <v>18.60579893738032</v>
      </c>
      <c r="L1097" s="19" t="n">
        <v>65.25773353129624</v>
      </c>
      <c r="M1097" s="19" t="n">
        <v>93.2488942876458</v>
      </c>
      <c r="N1097" s="17" t="inlineStr">
        <is>
          <t>B</t>
        </is>
      </c>
      <c r="O1097" s="19" t="n">
        <v>50.37309438139199</v>
      </c>
      <c r="P1097" s="18" t="inlineStr">
        <is>
          <t>KHÔNG ĐỀ XUẤT TĂNG</t>
        </is>
      </c>
      <c r="Q1097" s="17" t="inlineStr">
        <is>
          <t>Có</t>
        </is>
      </c>
      <c r="R1097" s="20" t="n"/>
      <c r="S1097" s="20" t="n"/>
      <c r="T1097" s="21" t="n"/>
      <c r="U1097" s="21" t="n"/>
      <c r="V1097" s="22">
        <f>IF(U1097="A",K1097,IF(U1097="B",L1097,IF(U1097="C",M1097,IF(N1097="A",K1097,IF(N1097="B",L1097,M1097)))))</f>
        <v/>
      </c>
      <c r="W1097" s="22">
        <f>IF(R1097="",O1097,MAX(V1097-R1097-N(S1097),0))</f>
        <v/>
      </c>
      <c r="X1097" s="20" t="n"/>
      <c r="Y1097" s="23">
        <f>IF(OR(X1097="",W1097=0),"",X1097/W1097-1)</f>
        <v/>
      </c>
      <c r="Z1097" s="24" t="n"/>
      <c r="AA1097" s="21" t="n"/>
      <c r="AB1097" s="25" t="n"/>
      <c r="AC1097" s="26">
        <f>IF(T1097="","Chưa quyết định",IF(OR(Z1097="",AA1097=""),"⚠ Thiếu lý do/người duyệt",IF(AND(X1097&lt;&gt;"",N(X1097)+N(R1097)+N(S1097)&gt;M1097*1.001,R1097&lt;&gt;""),"⚠ Vượt mục tiêu P90",IF(AND(Y1097&lt;&gt;"",ABS(N(Y1097))&gt;0.3),"⚠ Lệch &gt; 30% so với nhu cầu",IF(Q1097="Có","ℹ Kiểm tra ngoại suy KM","✓ Hợp lệ")))))</f>
        <v/>
      </c>
    </row>
    <row r="1098">
      <c r="A1098" s="16" t="n">
        <v>1094</v>
      </c>
      <c r="B1098" s="17" t="inlineStr">
        <is>
          <t>DEC-S06-HOME_APPLIANCES</t>
        </is>
      </c>
      <c r="C1098" s="16" t="n">
        <v>6</v>
      </c>
      <c r="D1098" s="17" t="inlineStr">
        <is>
          <t>HOME APPLIANCES</t>
        </is>
      </c>
      <c r="E1098" s="17" t="inlineStr">
        <is>
          <t>HIGH</t>
        </is>
      </c>
      <c r="F1098" s="17" t="inlineStr">
        <is>
          <t>TRUNG BÌNH</t>
        </is>
      </c>
      <c r="G1098" s="18" t="inlineStr">
        <is>
          <t>RISK_HIGH · PROMO_EXTRAPOLATION</t>
        </is>
      </c>
      <c r="H1098" s="19" t="n">
        <v>2.780817449092865</v>
      </c>
      <c r="I1098" s="19" t="n">
        <v>18.601876411587</v>
      </c>
      <c r="J1098" s="19" t="n">
        <v>95.37405744567512</v>
      </c>
      <c r="K1098" s="19" t="n">
        <v>18.601876411587</v>
      </c>
      <c r="L1098" s="19" t="n">
        <v>66.58448955789207</v>
      </c>
      <c r="M1098" s="19" t="n">
        <v>95.37405744567512</v>
      </c>
      <c r="N1098" s="17" t="inlineStr">
        <is>
          <t>B</t>
        </is>
      </c>
      <c r="O1098" s="19" t="n">
        <v>51.70298842862247</v>
      </c>
      <c r="P1098" s="18" t="inlineStr">
        <is>
          <t>KHÔNG ĐỀ XUẤT TĂNG</t>
        </is>
      </c>
      <c r="Q1098" s="17" t="inlineStr">
        <is>
          <t>Có</t>
        </is>
      </c>
      <c r="R1098" s="20" t="n"/>
      <c r="S1098" s="20" t="n"/>
      <c r="T1098" s="21" t="n"/>
      <c r="U1098" s="21" t="n"/>
      <c r="V1098" s="22">
        <f>IF(U1098="A",K1098,IF(U1098="B",L1098,IF(U1098="C",M1098,IF(N1098="A",K1098,IF(N1098="B",L1098,M1098)))))</f>
        <v/>
      </c>
      <c r="W1098" s="22">
        <f>IF(R1098="",O1098,MAX(V1098-R1098-N(S1098),0))</f>
        <v/>
      </c>
      <c r="X1098" s="20" t="n"/>
      <c r="Y1098" s="23">
        <f>IF(OR(X1098="",W1098=0),"",X1098/W1098-1)</f>
        <v/>
      </c>
      <c r="Z1098" s="24" t="n"/>
      <c r="AA1098" s="21" t="n"/>
      <c r="AB1098" s="25" t="n"/>
      <c r="AC1098" s="26">
        <f>IF(T1098="","Chưa quyết định",IF(OR(Z1098="",AA1098=""),"⚠ Thiếu lý do/người duyệt",IF(AND(X1098&lt;&gt;"",N(X1098)+N(R1098)+N(S1098)&gt;M1098*1.001,R1098&lt;&gt;""),"⚠ Vượt mục tiêu P90",IF(AND(Y1098&lt;&gt;"",ABS(N(Y1098))&gt;0.3),"⚠ Lệch &gt; 30% so với nhu cầu",IF(Q1098="Có","ℹ Kiểm tra ngoại suy KM","✓ Hợp lệ")))))</f>
        <v/>
      </c>
    </row>
    <row r="1099">
      <c r="A1099" s="16" t="n">
        <v>1095</v>
      </c>
      <c r="B1099" s="17" t="inlineStr">
        <is>
          <t>DEC-S21-BABY_CARE</t>
        </is>
      </c>
      <c r="C1099" s="16" t="n">
        <v>21</v>
      </c>
      <c r="D1099" s="17" t="inlineStr">
        <is>
          <t>BABY CARE</t>
        </is>
      </c>
      <c r="E1099" s="17" t="inlineStr">
        <is>
          <t>HIGH</t>
        </is>
      </c>
      <c r="F1099" s="17" t="inlineStr">
        <is>
          <t>TRUNG BÌNH</t>
        </is>
      </c>
      <c r="G1099" s="18" t="inlineStr">
        <is>
          <t>RISK_HIGH · PROMO_EXTRAPOLATION</t>
        </is>
      </c>
      <c r="H1099" s="19" t="n">
        <v>2.494561520218849</v>
      </c>
      <c r="I1099" s="19" t="n">
        <v>18.43651278316974</v>
      </c>
      <c r="J1099" s="19" t="n">
        <v>95.20869381725788</v>
      </c>
      <c r="K1099" s="19" t="n">
        <v>18.43651278316974</v>
      </c>
      <c r="L1099" s="19" t="n">
        <v>66.41912592947483</v>
      </c>
      <c r="M1099" s="19" t="n">
        <v>95.20869381725788</v>
      </c>
      <c r="N1099" s="17" t="inlineStr">
        <is>
          <t>B</t>
        </is>
      </c>
      <c r="O1099" s="19" t="n">
        <v>51.66991570293904</v>
      </c>
      <c r="P1099" s="18" t="inlineStr">
        <is>
          <t>KHÔNG ĐỀ XUẤT TĂNG</t>
        </is>
      </c>
      <c r="Q1099" s="17" t="inlineStr">
        <is>
          <t>Có</t>
        </is>
      </c>
      <c r="R1099" s="20" t="n"/>
      <c r="S1099" s="20" t="n"/>
      <c r="T1099" s="21" t="n"/>
      <c r="U1099" s="21" t="n"/>
      <c r="V1099" s="22">
        <f>IF(U1099="A",K1099,IF(U1099="B",L1099,IF(U1099="C",M1099,IF(N1099="A",K1099,IF(N1099="B",L1099,M1099)))))</f>
        <v/>
      </c>
      <c r="W1099" s="22">
        <f>IF(R1099="",O1099,MAX(V1099-R1099-N(S1099),0))</f>
        <v/>
      </c>
      <c r="X1099" s="20" t="n"/>
      <c r="Y1099" s="23">
        <f>IF(OR(X1099="",W1099=0),"",X1099/W1099-1)</f>
        <v/>
      </c>
      <c r="Z1099" s="24" t="n"/>
      <c r="AA1099" s="21" t="n"/>
      <c r="AB1099" s="25" t="n"/>
      <c r="AC1099" s="26">
        <f>IF(T1099="","Chưa quyết định",IF(OR(Z1099="",AA1099=""),"⚠ Thiếu lý do/người duyệt",IF(AND(X1099&lt;&gt;"",N(X1099)+N(R1099)+N(S1099)&gt;M1099*1.001,R1099&lt;&gt;""),"⚠ Vượt mục tiêu P90",IF(AND(Y1099&lt;&gt;"",ABS(N(Y1099))&gt;0.3),"⚠ Lệch &gt; 30% so với nhu cầu",IF(Q1099="Có","ℹ Kiểm tra ngoại suy KM","✓ Hợp lệ")))))</f>
        <v/>
      </c>
    </row>
    <row r="1100">
      <c r="A1100" s="16" t="n">
        <v>1096</v>
      </c>
      <c r="B1100" s="17" t="inlineStr">
        <is>
          <t>DEC-S26-LINGERIE</t>
        </is>
      </c>
      <c r="C1100" s="16" t="n">
        <v>26</v>
      </c>
      <c r="D1100" s="17" t="inlineStr">
        <is>
          <t>LINGERIE</t>
        </is>
      </c>
      <c r="E1100" s="17" t="inlineStr">
        <is>
          <t>HIGH</t>
        </is>
      </c>
      <c r="F1100" s="17" t="inlineStr">
        <is>
          <t>TRUNG BÌNH</t>
        </is>
      </c>
      <c r="G1100" s="18" t="inlineStr">
        <is>
          <t>RISK_HIGH · PROMO_EXTRAPOLATION</t>
        </is>
      </c>
      <c r="H1100" s="19" t="n">
        <v>3.233198207616806</v>
      </c>
      <c r="I1100" s="19" t="n">
        <v>18.41712549701333</v>
      </c>
      <c r="J1100" s="19" t="n">
        <v>93.32008718028663</v>
      </c>
      <c r="K1100" s="19" t="n">
        <v>18.41712549701333</v>
      </c>
      <c r="L1100" s="19" t="n">
        <v>65.23147654905915</v>
      </c>
      <c r="M1100" s="19" t="n">
        <v>93.32008718028663</v>
      </c>
      <c r="N1100" s="17" t="inlineStr">
        <is>
          <t>B</t>
        </is>
      </c>
      <c r="O1100" s="19" t="n">
        <v>50.49777615144849</v>
      </c>
      <c r="P1100" s="18" t="inlineStr">
        <is>
          <t>KHÔNG ĐỀ XUẤT TĂNG</t>
        </is>
      </c>
      <c r="Q1100" s="17" t="inlineStr">
        <is>
          <t>Có</t>
        </is>
      </c>
      <c r="R1100" s="20" t="n"/>
      <c r="S1100" s="20" t="n"/>
      <c r="T1100" s="21" t="n"/>
      <c r="U1100" s="21" t="n"/>
      <c r="V1100" s="22">
        <f>IF(U1100="A",K1100,IF(U1100="B",L1100,IF(U1100="C",M1100,IF(N1100="A",K1100,IF(N1100="B",L1100,M1100)))))</f>
        <v/>
      </c>
      <c r="W1100" s="22">
        <f>IF(R1100="",O1100,MAX(V1100-R1100-N(S1100),0))</f>
        <v/>
      </c>
      <c r="X1100" s="20" t="n"/>
      <c r="Y1100" s="23">
        <f>IF(OR(X1100="",W1100=0),"",X1100/W1100-1)</f>
        <v/>
      </c>
      <c r="Z1100" s="24" t="n"/>
      <c r="AA1100" s="21" t="n"/>
      <c r="AB1100" s="25" t="n"/>
      <c r="AC1100" s="26">
        <f>IF(T1100="","Chưa quyết định",IF(OR(Z1100="",AA1100=""),"⚠ Thiếu lý do/người duyệt",IF(AND(X1100&lt;&gt;"",N(X1100)+N(R1100)+N(S1100)&gt;M1100*1.001,R1100&lt;&gt;""),"⚠ Vượt mục tiêu P90",IF(AND(Y1100&lt;&gt;"",ABS(N(Y1100))&gt;0.3),"⚠ Lệch &gt; 30% so với nhu cầu",IF(Q1100="Có","ℹ Kiểm tra ngoại suy KM","✓ Hợp lệ")))))</f>
        <v/>
      </c>
    </row>
    <row r="1101">
      <c r="A1101" s="16" t="n">
        <v>1097</v>
      </c>
      <c r="B1101" s="17" t="inlineStr">
        <is>
          <t>DEC-S18-BABY_CARE</t>
        </is>
      </c>
      <c r="C1101" s="16" t="n">
        <v>18</v>
      </c>
      <c r="D1101" s="17" t="inlineStr">
        <is>
          <t>BABY CARE</t>
        </is>
      </c>
      <c r="E1101" s="17" t="inlineStr">
        <is>
          <t>HIGH</t>
        </is>
      </c>
      <c r="F1101" s="17" t="inlineStr">
        <is>
          <t>TRUNG BÌNH</t>
        </is>
      </c>
      <c r="G1101" s="18" t="inlineStr">
        <is>
          <t>RISK_HIGH · PROMO_EXTRAPOLATION</t>
        </is>
      </c>
      <c r="H1101" s="19" t="n">
        <v>2.365281277894974</v>
      </c>
      <c r="I1101" s="19" t="n">
        <v>18.28852750360966</v>
      </c>
      <c r="J1101" s="19" t="n">
        <v>95.06070853769781</v>
      </c>
      <c r="K1101" s="19" t="n">
        <v>18.28852750360966</v>
      </c>
      <c r="L1101" s="19" t="n">
        <v>66.27114064991474</v>
      </c>
      <c r="M1101" s="19" t="n">
        <v>95.06070853769781</v>
      </c>
      <c r="N1101" s="17" t="inlineStr">
        <is>
          <t>B</t>
        </is>
      </c>
      <c r="O1101" s="19" t="n">
        <v>51.64031864702702</v>
      </c>
      <c r="P1101" s="18" t="inlineStr">
        <is>
          <t>KHÔNG ĐỀ XUẤT TĂNG</t>
        </is>
      </c>
      <c r="Q1101" s="17" t="inlineStr">
        <is>
          <t>Có</t>
        </is>
      </c>
      <c r="R1101" s="20" t="n"/>
      <c r="S1101" s="20" t="n"/>
      <c r="T1101" s="21" t="n"/>
      <c r="U1101" s="21" t="n"/>
      <c r="V1101" s="22">
        <f>IF(U1101="A",K1101,IF(U1101="B",L1101,IF(U1101="C",M1101,IF(N1101="A",K1101,IF(N1101="B",L1101,M1101)))))</f>
        <v/>
      </c>
      <c r="W1101" s="22">
        <f>IF(R1101="",O1101,MAX(V1101-R1101-N(S1101),0))</f>
        <v/>
      </c>
      <c r="X1101" s="20" t="n"/>
      <c r="Y1101" s="23">
        <f>IF(OR(X1101="",W1101=0),"",X1101/W1101-1)</f>
        <v/>
      </c>
      <c r="Z1101" s="24" t="n"/>
      <c r="AA1101" s="21" t="n"/>
      <c r="AB1101" s="25" t="n"/>
      <c r="AC1101" s="26">
        <f>IF(T1101="","Chưa quyết định",IF(OR(Z1101="",AA1101=""),"⚠ Thiếu lý do/người duyệt",IF(AND(X1101&lt;&gt;"",N(X1101)+N(R1101)+N(S1101)&gt;M1101*1.001,R1101&lt;&gt;""),"⚠ Vượt mục tiêu P90",IF(AND(Y1101&lt;&gt;"",ABS(N(Y1101))&gt;0.3),"⚠ Lệch &gt; 30% so với nhu cầu",IF(Q1101="Có","ℹ Kiểm tra ngoại suy KM","✓ Hợp lệ")))))</f>
        <v/>
      </c>
    </row>
    <row r="1102">
      <c r="A1102" s="16" t="n">
        <v>1098</v>
      </c>
      <c r="B1102" s="17" t="inlineStr">
        <is>
          <t>DEC-S18-HOME_APPLIANCES</t>
        </is>
      </c>
      <c r="C1102" s="16" t="n">
        <v>18</v>
      </c>
      <c r="D1102" s="17" t="inlineStr">
        <is>
          <t>HOME APPLIANCES</t>
        </is>
      </c>
      <c r="E1102" s="17" t="inlineStr">
        <is>
          <t>HIGH</t>
        </is>
      </c>
      <c r="F1102" s="17" t="inlineStr">
        <is>
          <t>TRUNG BÌNH</t>
        </is>
      </c>
      <c r="G1102" s="18" t="inlineStr">
        <is>
          <t>RISK_HIGH · PROMO_EXTRAPOLATION</t>
        </is>
      </c>
      <c r="H1102" s="19" t="n">
        <v>3.774768149852753</v>
      </c>
      <c r="I1102" s="19" t="n">
        <v>18.24750190973282</v>
      </c>
      <c r="J1102" s="19" t="n">
        <v>92.89059725999832</v>
      </c>
      <c r="K1102" s="19" t="n">
        <v>18.24750190973282</v>
      </c>
      <c r="L1102" s="19" t="n">
        <v>64.89943650364876</v>
      </c>
      <c r="M1102" s="19" t="n">
        <v>92.89059725999832</v>
      </c>
      <c r="N1102" s="17" t="inlineStr">
        <is>
          <t>B</t>
        </is>
      </c>
      <c r="O1102" s="19" t="n">
        <v>50.30143497586251</v>
      </c>
      <c r="P1102" s="18" t="inlineStr">
        <is>
          <t>KHÔNG ĐỀ XUẤT TĂNG</t>
        </is>
      </c>
      <c r="Q1102" s="17" t="inlineStr">
        <is>
          <t>Có</t>
        </is>
      </c>
      <c r="R1102" s="20" t="n"/>
      <c r="S1102" s="20" t="n"/>
      <c r="T1102" s="21" t="n"/>
      <c r="U1102" s="21" t="n"/>
      <c r="V1102" s="22">
        <f>IF(U1102="A",K1102,IF(U1102="B",L1102,IF(U1102="C",M1102,IF(N1102="A",K1102,IF(N1102="B",L1102,M1102)))))</f>
        <v/>
      </c>
      <c r="W1102" s="22">
        <f>IF(R1102="",O1102,MAX(V1102-R1102-N(S1102),0))</f>
        <v/>
      </c>
      <c r="X1102" s="20" t="n"/>
      <c r="Y1102" s="23">
        <f>IF(OR(X1102="",W1102=0),"",X1102/W1102-1)</f>
        <v/>
      </c>
      <c r="Z1102" s="24" t="n"/>
      <c r="AA1102" s="21" t="n"/>
      <c r="AB1102" s="25" t="n"/>
      <c r="AC1102" s="26">
        <f>IF(T1102="","Chưa quyết định",IF(OR(Z1102="",AA1102=""),"⚠ Thiếu lý do/người duyệt",IF(AND(X1102&lt;&gt;"",N(X1102)+N(R1102)+N(S1102)&gt;M1102*1.001,R1102&lt;&gt;""),"⚠ Vượt mục tiêu P90",IF(AND(Y1102&lt;&gt;"",ABS(N(Y1102))&gt;0.3),"⚠ Lệch &gt; 30% so với nhu cầu",IF(Q1102="Có","ℹ Kiểm tra ngoại suy KM","✓ Hợp lệ")))))</f>
        <v/>
      </c>
    </row>
    <row r="1103">
      <c r="A1103" s="16" t="n">
        <v>1099</v>
      </c>
      <c r="B1103" s="17" t="inlineStr">
        <is>
          <t>DEC-S14-HOME_APPLIANCES</t>
        </is>
      </c>
      <c r="C1103" s="16" t="n">
        <v>14</v>
      </c>
      <c r="D1103" s="17" t="inlineStr">
        <is>
          <t>HOME APPLIANCES</t>
        </is>
      </c>
      <c r="E1103" s="17" t="inlineStr">
        <is>
          <t>HIGH</t>
        </is>
      </c>
      <c r="F1103" s="17" t="inlineStr">
        <is>
          <t>TRUNG BÌNH</t>
        </is>
      </c>
      <c r="G1103" s="18" t="inlineStr">
        <is>
          <t>RISK_HIGH · PROMO_EXTRAPOLATION</t>
        </is>
      </c>
      <c r="H1103" s="19" t="n">
        <v>2.844853270053864</v>
      </c>
      <c r="I1103" s="19" t="n">
        <v>17.72339488565922</v>
      </c>
      <c r="J1103" s="19" t="n">
        <v>94.49557591974737</v>
      </c>
      <c r="K1103" s="19" t="n">
        <v>17.72339488565922</v>
      </c>
      <c r="L1103" s="19" t="n">
        <v>65.7060080319643</v>
      </c>
      <c r="M1103" s="19" t="n">
        <v>94.49557591974737</v>
      </c>
      <c r="N1103" s="17" t="inlineStr">
        <is>
          <t>B</t>
        </is>
      </c>
      <c r="O1103" s="19" t="n">
        <v>51.52729212343692</v>
      </c>
      <c r="P1103" s="18" t="inlineStr">
        <is>
          <t>KHÔNG ĐỀ XUẤT TĂNG</t>
        </is>
      </c>
      <c r="Q1103" s="17" t="inlineStr">
        <is>
          <t>Có</t>
        </is>
      </c>
      <c r="R1103" s="20" t="n"/>
      <c r="S1103" s="20" t="n"/>
      <c r="T1103" s="21" t="n"/>
      <c r="U1103" s="21" t="n"/>
      <c r="V1103" s="22">
        <f>IF(U1103="A",K1103,IF(U1103="B",L1103,IF(U1103="C",M1103,IF(N1103="A",K1103,IF(N1103="B",L1103,M1103)))))</f>
        <v/>
      </c>
      <c r="W1103" s="22">
        <f>IF(R1103="",O1103,MAX(V1103-R1103-N(S1103),0))</f>
        <v/>
      </c>
      <c r="X1103" s="20" t="n"/>
      <c r="Y1103" s="23">
        <f>IF(OR(X1103="",W1103=0),"",X1103/W1103-1)</f>
        <v/>
      </c>
      <c r="Z1103" s="24" t="n"/>
      <c r="AA1103" s="21" t="n"/>
      <c r="AB1103" s="25" t="n"/>
      <c r="AC1103" s="26">
        <f>IF(T1103="","Chưa quyết định",IF(OR(Z1103="",AA1103=""),"⚠ Thiếu lý do/người duyệt",IF(AND(X1103&lt;&gt;"",N(X1103)+N(R1103)+N(S1103)&gt;M1103*1.001,R1103&lt;&gt;""),"⚠ Vượt mục tiêu P90",IF(AND(Y1103&lt;&gt;"",ABS(N(Y1103))&gt;0.3),"⚠ Lệch &gt; 30% so với nhu cầu",IF(Q1103="Có","ℹ Kiểm tra ngoại suy KM","✓ Hợp lệ")))))</f>
        <v/>
      </c>
    </row>
    <row r="1104">
      <c r="A1104" s="16" t="n">
        <v>1100</v>
      </c>
      <c r="B1104" s="17" t="inlineStr">
        <is>
          <t>DEC-S14-BABY_CARE</t>
        </is>
      </c>
      <c r="C1104" s="16" t="n">
        <v>14</v>
      </c>
      <c r="D1104" s="17" t="inlineStr">
        <is>
          <t>BABY CARE</t>
        </is>
      </c>
      <c r="E1104" s="17" t="inlineStr">
        <is>
          <t>HIGH</t>
        </is>
      </c>
      <c r="F1104" s="17" t="inlineStr">
        <is>
          <t>TRUNG BÌNH</t>
        </is>
      </c>
      <c r="G1104" s="18" t="inlineStr">
        <is>
          <t>RISK_HIGH · PROMO_EXTRAPOLATION</t>
        </is>
      </c>
      <c r="H1104" s="19" t="n">
        <v>2.479953515529633</v>
      </c>
      <c r="I1104" s="19" t="n">
        <v>17.55008140206337</v>
      </c>
      <c r="J1104" s="19" t="n">
        <v>94.3222624361515</v>
      </c>
      <c r="K1104" s="19" t="n">
        <v>17.55008140206337</v>
      </c>
      <c r="L1104" s="19" t="n">
        <v>65.53269454836845</v>
      </c>
      <c r="M1104" s="19" t="n">
        <v>94.3222624361515</v>
      </c>
      <c r="N1104" s="17" t="inlineStr">
        <is>
          <t>B</t>
        </is>
      </c>
      <c r="O1104" s="19" t="n">
        <v>51.49262942671776</v>
      </c>
      <c r="P1104" s="18" t="inlineStr">
        <is>
          <t>KHÔNG ĐỀ XUẤT TĂNG</t>
        </is>
      </c>
      <c r="Q1104" s="17" t="inlineStr">
        <is>
          <t>Có</t>
        </is>
      </c>
      <c r="R1104" s="20" t="n"/>
      <c r="S1104" s="20" t="n"/>
      <c r="T1104" s="21" t="n"/>
      <c r="U1104" s="21" t="n"/>
      <c r="V1104" s="22">
        <f>IF(U1104="A",K1104,IF(U1104="B",L1104,IF(U1104="C",M1104,IF(N1104="A",K1104,IF(N1104="B",L1104,M1104)))))</f>
        <v/>
      </c>
      <c r="W1104" s="22">
        <f>IF(R1104="",O1104,MAX(V1104-R1104-N(S1104),0))</f>
        <v/>
      </c>
      <c r="X1104" s="20" t="n"/>
      <c r="Y1104" s="23">
        <f>IF(OR(X1104="",W1104=0),"",X1104/W1104-1)</f>
        <v/>
      </c>
      <c r="Z1104" s="24" t="n"/>
      <c r="AA1104" s="21" t="n"/>
      <c r="AB1104" s="25" t="n"/>
      <c r="AC1104" s="26">
        <f>IF(T1104="","Chưa quyết định",IF(OR(Z1104="",AA1104=""),"⚠ Thiếu lý do/người duyệt",IF(AND(X1104&lt;&gt;"",N(X1104)+N(R1104)+N(S1104)&gt;M1104*1.001,R1104&lt;&gt;""),"⚠ Vượt mục tiêu P90",IF(AND(Y1104&lt;&gt;"",ABS(N(Y1104))&gt;0.3),"⚠ Lệch &gt; 30% so với nhu cầu",IF(Q1104="Có","ℹ Kiểm tra ngoại suy KM","✓ Hợp lệ")))))</f>
        <v/>
      </c>
    </row>
    <row r="1105">
      <c r="A1105" s="16" t="n">
        <v>1101</v>
      </c>
      <c r="B1105" s="17" t="inlineStr">
        <is>
          <t>DEC-S14-BOOKS</t>
        </is>
      </c>
      <c r="C1105" s="16" t="n">
        <v>14</v>
      </c>
      <c r="D1105" s="17" t="inlineStr">
        <is>
          <t>BOOKS</t>
        </is>
      </c>
      <c r="E1105" s="17" t="inlineStr">
        <is>
          <t>HIGH</t>
        </is>
      </c>
      <c r="F1105" s="17" t="inlineStr">
        <is>
          <t>TRUNG BÌNH</t>
        </is>
      </c>
      <c r="G1105" s="18" t="inlineStr">
        <is>
          <t>RISK_HIGH · PROMO_EXTRAPOLATION</t>
        </is>
      </c>
      <c r="H1105" s="19" t="n">
        <v>2.479953515529633</v>
      </c>
      <c r="I1105" s="19" t="n">
        <v>17.55008140206337</v>
      </c>
      <c r="J1105" s="19" t="n">
        <v>94.3222624361515</v>
      </c>
      <c r="K1105" s="19" t="n">
        <v>17.55008140206337</v>
      </c>
      <c r="L1105" s="19" t="n">
        <v>65.53269454836845</v>
      </c>
      <c r="M1105" s="19" t="n">
        <v>94.3222624361515</v>
      </c>
      <c r="N1105" s="17" t="inlineStr">
        <is>
          <t>B</t>
        </is>
      </c>
      <c r="O1105" s="19" t="n">
        <v>51.49262942671776</v>
      </c>
      <c r="P1105" s="18" t="inlineStr">
        <is>
          <t>KHÔNG ĐỀ XUẤT TĂNG</t>
        </is>
      </c>
      <c r="Q1105" s="17" t="inlineStr">
        <is>
          <t>Có</t>
        </is>
      </c>
      <c r="R1105" s="20" t="n"/>
      <c r="S1105" s="20" t="n"/>
      <c r="T1105" s="21" t="n"/>
      <c r="U1105" s="21" t="n"/>
      <c r="V1105" s="22">
        <f>IF(U1105="A",K1105,IF(U1105="B",L1105,IF(U1105="C",M1105,IF(N1105="A",K1105,IF(N1105="B",L1105,M1105)))))</f>
        <v/>
      </c>
      <c r="W1105" s="22">
        <f>IF(R1105="",O1105,MAX(V1105-R1105-N(S1105),0))</f>
        <v/>
      </c>
      <c r="X1105" s="20" t="n"/>
      <c r="Y1105" s="23">
        <f>IF(OR(X1105="",W1105=0),"",X1105/W1105-1)</f>
        <v/>
      </c>
      <c r="Z1105" s="24" t="n"/>
      <c r="AA1105" s="21" t="n"/>
      <c r="AB1105" s="25" t="n"/>
      <c r="AC1105" s="26">
        <f>IF(T1105="","Chưa quyết định",IF(OR(Z1105="",AA1105=""),"⚠ Thiếu lý do/người duyệt",IF(AND(X1105&lt;&gt;"",N(X1105)+N(R1105)+N(S1105)&gt;M1105*1.001,R1105&lt;&gt;""),"⚠ Vượt mục tiêu P90",IF(AND(Y1105&lt;&gt;"",ABS(N(Y1105))&gt;0.3),"⚠ Lệch &gt; 30% so với nhu cầu",IF(Q1105="Có","ℹ Kiểm tra ngoại suy KM","✓ Hợp lệ")))))</f>
        <v/>
      </c>
    </row>
    <row r="1106">
      <c r="A1106" s="16" t="n">
        <v>1102</v>
      </c>
      <c r="B1106" s="17" t="inlineStr">
        <is>
          <t>DEC-S54-HARDWARE</t>
        </is>
      </c>
      <c r="C1106" s="16" t="n">
        <v>54</v>
      </c>
      <c r="D1106" s="17" t="inlineStr">
        <is>
          <t>HARDWARE</t>
        </is>
      </c>
      <c r="E1106" s="17" t="inlineStr">
        <is>
          <t>HIGH</t>
        </is>
      </c>
      <c r="F1106" s="17" t="inlineStr">
        <is>
          <t>TRUNG BÌNH</t>
        </is>
      </c>
      <c r="G1106" s="18" t="inlineStr">
        <is>
          <t>RISK_HIGH · PROMO_EXTRAPOLATION</t>
        </is>
      </c>
      <c r="H1106" s="19" t="n">
        <v>1.889483630657196</v>
      </c>
      <c r="I1106" s="19" t="n">
        <v>17.52081675827503</v>
      </c>
      <c r="J1106" s="19" t="n">
        <v>94.29299779236317</v>
      </c>
      <c r="K1106" s="19" t="n">
        <v>17.52081675827503</v>
      </c>
      <c r="L1106" s="19" t="n">
        <v>65.50342990458012</v>
      </c>
      <c r="M1106" s="19" t="n">
        <v>94.29299779236317</v>
      </c>
      <c r="N1106" s="17" t="inlineStr">
        <is>
          <t>B</t>
        </is>
      </c>
      <c r="O1106" s="19" t="n">
        <v>51.48677649796009</v>
      </c>
      <c r="P1106" s="18" t="inlineStr">
        <is>
          <t>KHÔNG ĐỀ XUẤT TĂNG</t>
        </is>
      </c>
      <c r="Q1106" s="17" t="inlineStr">
        <is>
          <t>Có</t>
        </is>
      </c>
      <c r="R1106" s="20" t="n"/>
      <c r="S1106" s="20" t="n"/>
      <c r="T1106" s="21" t="n"/>
      <c r="U1106" s="21" t="n"/>
      <c r="V1106" s="22">
        <f>IF(U1106="A",K1106,IF(U1106="B",L1106,IF(U1106="C",M1106,IF(N1106="A",K1106,IF(N1106="B",L1106,M1106)))))</f>
        <v/>
      </c>
      <c r="W1106" s="22">
        <f>IF(R1106="",O1106,MAX(V1106-R1106-N(S1106),0))</f>
        <v/>
      </c>
      <c r="X1106" s="20" t="n"/>
      <c r="Y1106" s="23">
        <f>IF(OR(X1106="",W1106=0),"",X1106/W1106-1)</f>
        <v/>
      </c>
      <c r="Z1106" s="24" t="n"/>
      <c r="AA1106" s="21" t="n"/>
      <c r="AB1106" s="25" t="n"/>
      <c r="AC1106" s="26">
        <f>IF(T1106="","Chưa quyết định",IF(OR(Z1106="",AA1106=""),"⚠ Thiếu lý do/người duyệt",IF(AND(X1106&lt;&gt;"",N(X1106)+N(R1106)+N(S1106)&gt;M1106*1.001,R1106&lt;&gt;""),"⚠ Vượt mục tiêu P90",IF(AND(Y1106&lt;&gt;"",ABS(N(Y1106))&gt;0.3),"⚠ Lệch &gt; 30% so với nhu cầu",IF(Q1106="Có","ℹ Kiểm tra ngoại suy KM","✓ Hợp lệ")))))</f>
        <v/>
      </c>
    </row>
    <row r="1107">
      <c r="A1107" s="16" t="n">
        <v>1103</v>
      </c>
      <c r="B1107" s="17" t="inlineStr">
        <is>
          <t>DEC-S36-HOME_APPLIANCES</t>
        </is>
      </c>
      <c r="C1107" s="16" t="n">
        <v>36</v>
      </c>
      <c r="D1107" s="17" t="inlineStr">
        <is>
          <t>HOME APPLIANCES</t>
        </is>
      </c>
      <c r="E1107" s="17" t="inlineStr">
        <is>
          <t>HIGH</t>
        </is>
      </c>
      <c r="F1107" s="17" t="inlineStr">
        <is>
          <t>TRUNG BÌNH</t>
        </is>
      </c>
      <c r="G1107" s="18" t="inlineStr">
        <is>
          <t>RISK_HIGH · PROMO_EXTRAPOLATION</t>
        </is>
      </c>
      <c r="H1107" s="19" t="n">
        <v>3.772130173444748</v>
      </c>
      <c r="I1107" s="19" t="n">
        <v>17.51694089919329</v>
      </c>
      <c r="J1107" s="19" t="n">
        <v>92.16003624945878</v>
      </c>
      <c r="K1107" s="19" t="n">
        <v>17.51694089919329</v>
      </c>
      <c r="L1107" s="19" t="n">
        <v>64.16887549310923</v>
      </c>
      <c r="M1107" s="19" t="n">
        <v>92.16003624945878</v>
      </c>
      <c r="N1107" s="17" t="inlineStr">
        <is>
          <t>B</t>
        </is>
      </c>
      <c r="O1107" s="19" t="n">
        <v>50.1553227737546</v>
      </c>
      <c r="P1107" s="18" t="inlineStr">
        <is>
          <t>KHÔNG ĐỀ XUẤT TĂNG</t>
        </is>
      </c>
      <c r="Q1107" s="17" t="inlineStr">
        <is>
          <t>Có</t>
        </is>
      </c>
      <c r="R1107" s="20" t="n"/>
      <c r="S1107" s="20" t="n"/>
      <c r="T1107" s="21" t="n"/>
      <c r="U1107" s="21" t="n"/>
      <c r="V1107" s="22">
        <f>IF(U1107="A",K1107,IF(U1107="B",L1107,IF(U1107="C",M1107,IF(N1107="A",K1107,IF(N1107="B",L1107,M1107)))))</f>
        <v/>
      </c>
      <c r="W1107" s="22">
        <f>IF(R1107="",O1107,MAX(V1107-R1107-N(S1107),0))</f>
        <v/>
      </c>
      <c r="X1107" s="20" t="n"/>
      <c r="Y1107" s="23">
        <f>IF(OR(X1107="",W1107=0),"",X1107/W1107-1)</f>
        <v/>
      </c>
      <c r="Z1107" s="24" t="n"/>
      <c r="AA1107" s="21" t="n"/>
      <c r="AB1107" s="25" t="n"/>
      <c r="AC1107" s="26">
        <f>IF(T1107="","Chưa quyết định",IF(OR(Z1107="",AA1107=""),"⚠ Thiếu lý do/người duyệt",IF(AND(X1107&lt;&gt;"",N(X1107)+N(R1107)+N(S1107)&gt;M1107*1.001,R1107&lt;&gt;""),"⚠ Vượt mục tiêu P90",IF(AND(Y1107&lt;&gt;"",ABS(N(Y1107))&gt;0.3),"⚠ Lệch &gt; 30% so với nhu cầu",IF(Q1107="Có","ℹ Kiểm tra ngoại suy KM","✓ Hợp lệ")))))</f>
        <v/>
      </c>
    </row>
    <row r="1108">
      <c r="A1108" s="16" t="n">
        <v>1104</v>
      </c>
      <c r="B1108" s="17" t="inlineStr">
        <is>
          <t>DEC-S12-PET_SUPPLIES</t>
        </is>
      </c>
      <c r="C1108" s="16" t="n">
        <v>12</v>
      </c>
      <c r="D1108" s="17" t="inlineStr">
        <is>
          <t>PET SUPPLIES</t>
        </is>
      </c>
      <c r="E1108" s="17" t="inlineStr">
        <is>
          <t>HIGH</t>
        </is>
      </c>
      <c r="F1108" s="17" t="inlineStr">
        <is>
          <t>TRUNG BÌNH</t>
        </is>
      </c>
      <c r="G1108" s="18" t="inlineStr">
        <is>
          <t>RISK_HIGH · PROMO_EXTRAPOLATION</t>
        </is>
      </c>
      <c r="H1108" s="19" t="n">
        <v>3.794141513109208</v>
      </c>
      <c r="I1108" s="19" t="n">
        <v>17.50479170680046</v>
      </c>
      <c r="J1108" s="19" t="n">
        <v>92.14788705706596</v>
      </c>
      <c r="K1108" s="19" t="n">
        <v>17.50479170680046</v>
      </c>
      <c r="L1108" s="19" t="n">
        <v>64.1567263007164</v>
      </c>
      <c r="M1108" s="19" t="n">
        <v>92.14788705706596</v>
      </c>
      <c r="N1108" s="17" t="inlineStr">
        <is>
          <t>B</t>
        </is>
      </c>
      <c r="O1108" s="19" t="n">
        <v>50.15289293527603</v>
      </c>
      <c r="P1108" s="18" t="inlineStr">
        <is>
          <t>KHÔNG ĐỀ XUẤT TĂNG</t>
        </is>
      </c>
      <c r="Q1108" s="17" t="inlineStr">
        <is>
          <t>Có</t>
        </is>
      </c>
      <c r="R1108" s="20" t="n"/>
      <c r="S1108" s="20" t="n"/>
      <c r="T1108" s="21" t="n"/>
      <c r="U1108" s="21" t="n"/>
      <c r="V1108" s="22">
        <f>IF(U1108="A",K1108,IF(U1108="B",L1108,IF(U1108="C",M1108,IF(N1108="A",K1108,IF(N1108="B",L1108,M1108)))))</f>
        <v/>
      </c>
      <c r="W1108" s="22">
        <f>IF(R1108="",O1108,MAX(V1108-R1108-N(S1108),0))</f>
        <v/>
      </c>
      <c r="X1108" s="20" t="n"/>
      <c r="Y1108" s="23">
        <f>IF(OR(X1108="",W1108=0),"",X1108/W1108-1)</f>
        <v/>
      </c>
      <c r="Z1108" s="24" t="n"/>
      <c r="AA1108" s="21" t="n"/>
      <c r="AB1108" s="25" t="n"/>
      <c r="AC1108" s="26">
        <f>IF(T1108="","Chưa quyết định",IF(OR(Z1108="",AA1108=""),"⚠ Thiếu lý do/người duyệt",IF(AND(X1108&lt;&gt;"",N(X1108)+N(R1108)+N(S1108)&gt;M1108*1.001,R1108&lt;&gt;""),"⚠ Vượt mục tiêu P90",IF(AND(Y1108&lt;&gt;"",ABS(N(Y1108))&gt;0.3),"⚠ Lệch &gt; 30% so với nhu cầu",IF(Q1108="Có","ℹ Kiểm tra ngoại suy KM","✓ Hợp lệ")))))</f>
        <v/>
      </c>
    </row>
    <row r="1109">
      <c r="A1109" s="16" t="n">
        <v>1105</v>
      </c>
      <c r="B1109" s="17" t="inlineStr">
        <is>
          <t>DEC-S25-HARDWARE</t>
        </is>
      </c>
      <c r="C1109" s="16" t="n">
        <v>25</v>
      </c>
      <c r="D1109" s="17" t="inlineStr">
        <is>
          <t>HARDWARE</t>
        </is>
      </c>
      <c r="E1109" s="17" t="inlineStr">
        <is>
          <t>HIGH</t>
        </is>
      </c>
      <c r="F1109" s="17" t="inlineStr">
        <is>
          <t>TRUNG BÌNH</t>
        </is>
      </c>
      <c r="G1109" s="18" t="inlineStr">
        <is>
          <t>RISK_HIGH · PROMO_EXTRAPOLATION</t>
        </is>
      </c>
      <c r="H1109" s="19" t="n">
        <v>3.771461501717568</v>
      </c>
      <c r="I1109" s="19" t="n">
        <v>17.27795093506575</v>
      </c>
      <c r="J1109" s="19" t="n">
        <v>91.92104628533124</v>
      </c>
      <c r="K1109" s="19" t="n">
        <v>17.27795093506575</v>
      </c>
      <c r="L1109" s="19" t="n">
        <v>63.92988552898168</v>
      </c>
      <c r="M1109" s="19" t="n">
        <v>91.92104628533124</v>
      </c>
      <c r="N1109" s="17" t="inlineStr">
        <is>
          <t>B</t>
        </is>
      </c>
      <c r="O1109" s="19" t="n">
        <v>50.10752478092908</v>
      </c>
      <c r="P1109" s="18" t="inlineStr">
        <is>
          <t>KHÔNG ĐỀ XUẤT TĂNG</t>
        </is>
      </c>
      <c r="Q1109" s="17" t="inlineStr">
        <is>
          <t>Có</t>
        </is>
      </c>
      <c r="R1109" s="20" t="n"/>
      <c r="S1109" s="20" t="n"/>
      <c r="T1109" s="21" t="n"/>
      <c r="U1109" s="21" t="n"/>
      <c r="V1109" s="22">
        <f>IF(U1109="A",K1109,IF(U1109="B",L1109,IF(U1109="C",M1109,IF(N1109="A",K1109,IF(N1109="B",L1109,M1109)))))</f>
        <v/>
      </c>
      <c r="W1109" s="22">
        <f>IF(R1109="",O1109,MAX(V1109-R1109-N(S1109),0))</f>
        <v/>
      </c>
      <c r="X1109" s="20" t="n"/>
      <c r="Y1109" s="23">
        <f>IF(OR(X1109="",W1109=0),"",X1109/W1109-1)</f>
        <v/>
      </c>
      <c r="Z1109" s="24" t="n"/>
      <c r="AA1109" s="21" t="n"/>
      <c r="AB1109" s="25" t="n"/>
      <c r="AC1109" s="26">
        <f>IF(T1109="","Chưa quyết định",IF(OR(Z1109="",AA1109=""),"⚠ Thiếu lý do/người duyệt",IF(AND(X1109&lt;&gt;"",N(X1109)+N(R1109)+N(S1109)&gt;M1109*1.001,R1109&lt;&gt;""),"⚠ Vượt mục tiêu P90",IF(AND(Y1109&lt;&gt;"",ABS(N(Y1109))&gt;0.3),"⚠ Lệch &gt; 30% so với nhu cầu",IF(Q1109="Có","ℹ Kiểm tra ngoại suy KM","✓ Hợp lệ")))))</f>
        <v/>
      </c>
    </row>
    <row r="1110">
      <c r="A1110" s="16" t="n">
        <v>1106</v>
      </c>
      <c r="B1110" s="17" t="inlineStr">
        <is>
          <t>DEC-S22-HARDWARE</t>
        </is>
      </c>
      <c r="C1110" s="16" t="n">
        <v>22</v>
      </c>
      <c r="D1110" s="17" t="inlineStr">
        <is>
          <t>HARDWARE</t>
        </is>
      </c>
      <c r="E1110" s="17" t="inlineStr">
        <is>
          <t>HIGH</t>
        </is>
      </c>
      <c r="F1110" s="17" t="inlineStr">
        <is>
          <t>TRUNG BÌNH</t>
        </is>
      </c>
      <c r="G1110" s="18" t="inlineStr">
        <is>
          <t>RISK_HIGH · PROMO_EXTRAPOLATION</t>
        </is>
      </c>
      <c r="H1110" s="19" t="n">
        <v>2.751148188114167</v>
      </c>
      <c r="I1110" s="19" t="n">
        <v>17.23587970435619</v>
      </c>
      <c r="J1110" s="19" t="n">
        <v>94.00806073844431</v>
      </c>
      <c r="K1110" s="19" t="n">
        <v>17.23587970435619</v>
      </c>
      <c r="L1110" s="19" t="n">
        <v>65.21849285066126</v>
      </c>
      <c r="M1110" s="19" t="n">
        <v>94.00806073844431</v>
      </c>
      <c r="N1110" s="17" t="inlineStr">
        <is>
          <t>B</t>
        </is>
      </c>
      <c r="O1110" s="19" t="n">
        <v>51.42978908717631</v>
      </c>
      <c r="P1110" s="18" t="inlineStr">
        <is>
          <t>KHÔNG ĐỀ XUẤT TĂNG</t>
        </is>
      </c>
      <c r="Q1110" s="17" t="inlineStr">
        <is>
          <t>Có</t>
        </is>
      </c>
      <c r="R1110" s="20" t="n"/>
      <c r="S1110" s="20" t="n"/>
      <c r="T1110" s="21" t="n"/>
      <c r="U1110" s="21" t="n"/>
      <c r="V1110" s="22">
        <f>IF(U1110="A",K1110,IF(U1110="B",L1110,IF(U1110="C",M1110,IF(N1110="A",K1110,IF(N1110="B",L1110,M1110)))))</f>
        <v/>
      </c>
      <c r="W1110" s="22">
        <f>IF(R1110="",O1110,MAX(V1110-R1110-N(S1110),0))</f>
        <v/>
      </c>
      <c r="X1110" s="20" t="n"/>
      <c r="Y1110" s="23">
        <f>IF(OR(X1110="",W1110=0),"",X1110/W1110-1)</f>
        <v/>
      </c>
      <c r="Z1110" s="24" t="n"/>
      <c r="AA1110" s="21" t="n"/>
      <c r="AB1110" s="25" t="n"/>
      <c r="AC1110" s="26">
        <f>IF(T1110="","Chưa quyết định",IF(OR(Z1110="",AA1110=""),"⚠ Thiếu lý do/người duyệt",IF(AND(X1110&lt;&gt;"",N(X1110)+N(R1110)+N(S1110)&gt;M1110*1.001,R1110&lt;&gt;""),"⚠ Vượt mục tiêu P90",IF(AND(Y1110&lt;&gt;"",ABS(N(Y1110))&gt;0.3),"⚠ Lệch &gt; 30% so với nhu cầu",IF(Q1110="Có","ℹ Kiểm tra ngoại suy KM","✓ Hợp lệ")))))</f>
        <v/>
      </c>
    </row>
    <row r="1111">
      <c r="A1111" s="16" t="n">
        <v>1107</v>
      </c>
      <c r="B1111" s="17" t="inlineStr">
        <is>
          <t>DEC-S03-SCHOOL_AND_OFFICE_SUPPLIES</t>
        </is>
      </c>
      <c r="C1111" s="16" t="n">
        <v>3</v>
      </c>
      <c r="D1111" s="17" t="inlineStr">
        <is>
          <t>SCHOOL AND OFFICE SUPPLIES</t>
        </is>
      </c>
      <c r="E1111" s="17" t="inlineStr">
        <is>
          <t>HIGH</t>
        </is>
      </c>
      <c r="F1111" s="17" t="inlineStr">
        <is>
          <t>TRUNG BÌNH</t>
        </is>
      </c>
      <c r="G1111" s="18" t="inlineStr">
        <is>
          <t>RISK_HIGH · PROMO_EXTRAPOLATION</t>
        </is>
      </c>
      <c r="H1111" s="19" t="n">
        <v>5.999607121944427</v>
      </c>
      <c r="I1111" s="19" t="n">
        <v>17.01388466358185</v>
      </c>
      <c r="J1111" s="19" t="n">
        <v>89.78776066303253</v>
      </c>
      <c r="K1111" s="19" t="n">
        <v>17.01388466358185</v>
      </c>
      <c r="L1111" s="19" t="n">
        <v>62.49755716323852</v>
      </c>
      <c r="M1111" s="19" t="n">
        <v>89.78776066303253</v>
      </c>
      <c r="N1111" s="17" t="inlineStr">
        <is>
          <t>B</t>
        </is>
      </c>
      <c r="O1111" s="19" t="n">
        <v>48.88644943237304</v>
      </c>
      <c r="P1111" s="18" t="inlineStr">
        <is>
          <t>KHÔNG ĐỀ XUẤT TĂNG</t>
        </is>
      </c>
      <c r="Q1111" s="17" t="inlineStr">
        <is>
          <t>Có</t>
        </is>
      </c>
      <c r="R1111" s="20" t="n"/>
      <c r="S1111" s="20" t="n"/>
      <c r="T1111" s="21" t="n"/>
      <c r="U1111" s="21" t="n"/>
      <c r="V1111" s="22">
        <f>IF(U1111="A",K1111,IF(U1111="B",L1111,IF(U1111="C",M1111,IF(N1111="A",K1111,IF(N1111="B",L1111,M1111)))))</f>
        <v/>
      </c>
      <c r="W1111" s="22">
        <f>IF(R1111="",O1111,MAX(V1111-R1111-N(S1111),0))</f>
        <v/>
      </c>
      <c r="X1111" s="20" t="n"/>
      <c r="Y1111" s="23">
        <f>IF(OR(X1111="",W1111=0),"",X1111/W1111-1)</f>
        <v/>
      </c>
      <c r="Z1111" s="24" t="n"/>
      <c r="AA1111" s="21" t="n"/>
      <c r="AB1111" s="25" t="n"/>
      <c r="AC1111" s="26">
        <f>IF(T1111="","Chưa quyết định",IF(OR(Z1111="",AA1111=""),"⚠ Thiếu lý do/người duyệt",IF(AND(X1111&lt;&gt;"",N(X1111)+N(R1111)+N(S1111)&gt;M1111*1.001,R1111&lt;&gt;""),"⚠ Vượt mục tiêu P90",IF(AND(Y1111&lt;&gt;"",ABS(N(Y1111))&gt;0.3),"⚠ Lệch &gt; 30% so với nhu cầu",IF(Q1111="Có","ℹ Kiểm tra ngoại suy KM","✓ Hợp lệ")))))</f>
        <v/>
      </c>
    </row>
    <row r="1112">
      <c r="A1112" s="16" t="n">
        <v>1108</v>
      </c>
      <c r="B1112" s="17" t="inlineStr">
        <is>
          <t>DEC-S01-HOME_APPLIANCES</t>
        </is>
      </c>
      <c r="C1112" s="16" t="n">
        <v>1</v>
      </c>
      <c r="D1112" s="17" t="inlineStr">
        <is>
          <t>HOME APPLIANCES</t>
        </is>
      </c>
      <c r="E1112" s="17" t="inlineStr">
        <is>
          <t>HIGH</t>
        </is>
      </c>
      <c r="F1112" s="17" t="inlineStr">
        <is>
          <t>TRUNG BÌNH</t>
        </is>
      </c>
      <c r="G1112" s="18" t="inlineStr">
        <is>
          <t>RISK_HIGH · PROMO_EXTRAPOLATION</t>
        </is>
      </c>
      <c r="H1112" s="19" t="n">
        <v>2.597141420841218</v>
      </c>
      <c r="I1112" s="19" t="n">
        <v>16.87353305518627</v>
      </c>
      <c r="J1112" s="19" t="n">
        <v>91.51662840545175</v>
      </c>
      <c r="K1112" s="19" t="n">
        <v>16.87353305518627</v>
      </c>
      <c r="L1112" s="19" t="n">
        <v>63.5254676491022</v>
      </c>
      <c r="M1112" s="19" t="n">
        <v>91.51662840545175</v>
      </c>
      <c r="N1112" s="17" t="inlineStr">
        <is>
          <t>B</t>
        </is>
      </c>
      <c r="O1112" s="19" t="n">
        <v>50.02664120495318</v>
      </c>
      <c r="P1112" s="18" t="inlineStr">
        <is>
          <t>KHÔNG ĐỀ XUẤT TĂNG</t>
        </is>
      </c>
      <c r="Q1112" s="17" t="inlineStr">
        <is>
          <t>Có</t>
        </is>
      </c>
      <c r="R1112" s="20" t="n"/>
      <c r="S1112" s="20" t="n"/>
      <c r="T1112" s="21" t="n"/>
      <c r="U1112" s="21" t="n"/>
      <c r="V1112" s="22">
        <f>IF(U1112="A",K1112,IF(U1112="B",L1112,IF(U1112="C",M1112,IF(N1112="A",K1112,IF(N1112="B",L1112,M1112)))))</f>
        <v/>
      </c>
      <c r="W1112" s="22">
        <f>IF(R1112="",O1112,MAX(V1112-R1112-N(S1112),0))</f>
        <v/>
      </c>
      <c r="X1112" s="20" t="n"/>
      <c r="Y1112" s="23">
        <f>IF(OR(X1112="",W1112=0),"",X1112/W1112-1)</f>
        <v/>
      </c>
      <c r="Z1112" s="24" t="n"/>
      <c r="AA1112" s="21" t="n"/>
      <c r="AB1112" s="25" t="n"/>
      <c r="AC1112" s="26">
        <f>IF(T1112="","Chưa quyết định",IF(OR(Z1112="",AA1112=""),"⚠ Thiếu lý do/người duyệt",IF(AND(X1112&lt;&gt;"",N(X1112)+N(R1112)+N(S1112)&gt;M1112*1.001,R1112&lt;&gt;""),"⚠ Vượt mục tiêu P90",IF(AND(Y1112&lt;&gt;"",ABS(N(Y1112))&gt;0.3),"⚠ Lệch &gt; 30% so với nhu cầu",IF(Q1112="Có","ℹ Kiểm tra ngoại suy KM","✓ Hợp lệ")))))</f>
        <v/>
      </c>
    </row>
    <row r="1113">
      <c r="A1113" s="16" t="n">
        <v>1109</v>
      </c>
      <c r="B1113" s="17" t="inlineStr">
        <is>
          <t>DEC-S26-SEAFOOD</t>
        </is>
      </c>
      <c r="C1113" s="16" t="n">
        <v>26</v>
      </c>
      <c r="D1113" s="17" t="inlineStr">
        <is>
          <t>SEAFOOD</t>
        </is>
      </c>
      <c r="E1113" s="17" t="inlineStr">
        <is>
          <t>HIGH</t>
        </is>
      </c>
      <c r="F1113" s="17" t="inlineStr">
        <is>
          <t>TRUNG BÌNH</t>
        </is>
      </c>
      <c r="G1113" s="18" t="inlineStr">
        <is>
          <t>RISK_HIGH · PROMO_EXTRAPOLATION</t>
        </is>
      </c>
      <c r="H1113" s="19" t="n">
        <v>4.252192497253418</v>
      </c>
      <c r="I1113" s="19" t="n">
        <v>16.854660987854</v>
      </c>
      <c r="J1113" s="19" t="n">
        <v>89.88840332031251</v>
      </c>
      <c r="K1113" s="19" t="n">
        <v>16.854660987854</v>
      </c>
      <c r="L1113" s="19" t="n">
        <v>62.50074994564056</v>
      </c>
      <c r="M1113" s="19" t="n">
        <v>89.88840332031251</v>
      </c>
      <c r="N1113" s="17" t="inlineStr">
        <is>
          <t>B</t>
        </is>
      </c>
      <c r="O1113" s="19" t="n">
        <v>49.01702115535736</v>
      </c>
      <c r="P1113" s="18" t="inlineStr">
        <is>
          <t>KHÔNG ĐỀ XUẤT TĂNG</t>
        </is>
      </c>
      <c r="Q1113" s="17" t="inlineStr">
        <is>
          <t>Có</t>
        </is>
      </c>
      <c r="R1113" s="20" t="n"/>
      <c r="S1113" s="20" t="n"/>
      <c r="T1113" s="21" t="n"/>
      <c r="U1113" s="21" t="n"/>
      <c r="V1113" s="22">
        <f>IF(U1113="A",K1113,IF(U1113="B",L1113,IF(U1113="C",M1113,IF(N1113="A",K1113,IF(N1113="B",L1113,M1113)))))</f>
        <v/>
      </c>
      <c r="W1113" s="22">
        <f>IF(R1113="",O1113,MAX(V1113-R1113-N(S1113),0))</f>
        <v/>
      </c>
      <c r="X1113" s="20" t="n"/>
      <c r="Y1113" s="23">
        <f>IF(OR(X1113="",W1113=0),"",X1113/W1113-1)</f>
        <v/>
      </c>
      <c r="Z1113" s="24" t="n"/>
      <c r="AA1113" s="21" t="n"/>
      <c r="AB1113" s="25" t="n"/>
      <c r="AC1113" s="26">
        <f>IF(T1113="","Chưa quyết định",IF(OR(Z1113="",AA1113=""),"⚠ Thiếu lý do/người duyệt",IF(AND(X1113&lt;&gt;"",N(X1113)+N(R1113)+N(S1113)&gt;M1113*1.001,R1113&lt;&gt;""),"⚠ Vượt mục tiêu P90",IF(AND(Y1113&lt;&gt;"",ABS(N(Y1113))&gt;0.3),"⚠ Lệch &gt; 30% so với nhu cầu",IF(Q1113="Có","ℹ Kiểm tra ngoại suy KM","✓ Hợp lệ")))))</f>
        <v/>
      </c>
    </row>
    <row r="1114">
      <c r="A1114" s="16" t="n">
        <v>1110</v>
      </c>
      <c r="B1114" s="17" t="inlineStr">
        <is>
          <t>DEC-S16-MAGAZINES</t>
        </is>
      </c>
      <c r="C1114" s="16" t="n">
        <v>16</v>
      </c>
      <c r="D1114" s="17" t="inlineStr">
        <is>
          <t>MAGAZINES</t>
        </is>
      </c>
      <c r="E1114" s="17" t="inlineStr">
        <is>
          <t>HIGH</t>
        </is>
      </c>
      <c r="F1114" s="17" t="inlineStr">
        <is>
          <t>TRUNG BÌNH</t>
        </is>
      </c>
      <c r="G1114" s="18" t="inlineStr">
        <is>
          <t>RISK_HIGH · PROMO_EXTRAPOLATION</t>
        </is>
      </c>
      <c r="H1114" s="19" t="n">
        <v>3.460440480709076</v>
      </c>
      <c r="I1114" s="19" t="n">
        <v>16.71290981769562</v>
      </c>
      <c r="J1114" s="19" t="n">
        <v>91.35600516796111</v>
      </c>
      <c r="K1114" s="19" t="n">
        <v>16.71290981769562</v>
      </c>
      <c r="L1114" s="19" t="n">
        <v>63.36484441161155</v>
      </c>
      <c r="M1114" s="19" t="n">
        <v>91.35600516796111</v>
      </c>
      <c r="N1114" s="17" t="inlineStr">
        <is>
          <t>B</t>
        </is>
      </c>
      <c r="O1114" s="19" t="n">
        <v>49.99451655745506</v>
      </c>
      <c r="P1114" s="18" t="inlineStr">
        <is>
          <t>KHÔNG ĐỀ XUẤT TĂNG</t>
        </is>
      </c>
      <c r="Q1114" s="17" t="inlineStr">
        <is>
          <t>Có</t>
        </is>
      </c>
      <c r="R1114" s="20" t="n"/>
      <c r="S1114" s="20" t="n"/>
      <c r="T1114" s="21" t="n"/>
      <c r="U1114" s="21" t="n"/>
      <c r="V1114" s="22">
        <f>IF(U1114="A",K1114,IF(U1114="B",L1114,IF(U1114="C",M1114,IF(N1114="A",K1114,IF(N1114="B",L1114,M1114)))))</f>
        <v/>
      </c>
      <c r="W1114" s="22">
        <f>IF(R1114="",O1114,MAX(V1114-R1114-N(S1114),0))</f>
        <v/>
      </c>
      <c r="X1114" s="20" t="n"/>
      <c r="Y1114" s="23">
        <f>IF(OR(X1114="",W1114=0),"",X1114/W1114-1)</f>
        <v/>
      </c>
      <c r="Z1114" s="24" t="n"/>
      <c r="AA1114" s="21" t="n"/>
      <c r="AB1114" s="25" t="n"/>
      <c r="AC1114" s="26">
        <f>IF(T1114="","Chưa quyết định",IF(OR(Z1114="",AA1114=""),"⚠ Thiếu lý do/người duyệt",IF(AND(X1114&lt;&gt;"",N(X1114)+N(R1114)+N(S1114)&gt;M1114*1.001,R1114&lt;&gt;""),"⚠ Vượt mục tiêu P90",IF(AND(Y1114&lt;&gt;"",ABS(N(Y1114))&gt;0.3),"⚠ Lệch &gt; 30% so với nhu cầu",IF(Q1114="Có","ℹ Kiểm tra ngoại suy KM","✓ Hợp lệ")))))</f>
        <v/>
      </c>
    </row>
    <row r="1115">
      <c r="A1115" s="16" t="n">
        <v>1111</v>
      </c>
      <c r="B1115" s="17" t="inlineStr">
        <is>
          <t>DEC-S01-BOOKS</t>
        </is>
      </c>
      <c r="C1115" s="16" t="n">
        <v>1</v>
      </c>
      <c r="D1115" s="17" t="inlineStr">
        <is>
          <t>BOOKS</t>
        </is>
      </c>
      <c r="E1115" s="17" t="inlineStr">
        <is>
          <t>HIGH</t>
        </is>
      </c>
      <c r="F1115" s="17" t="inlineStr">
        <is>
          <t>TRUNG BÌNH</t>
        </is>
      </c>
      <c r="G1115" s="18" t="inlineStr">
        <is>
          <t>RISK_HIGH · PROMO_EXTRAPOLATION</t>
        </is>
      </c>
      <c r="H1115" s="19" t="n">
        <v>4.464031779766083</v>
      </c>
      <c r="I1115" s="19" t="n">
        <v>16.66362674534321</v>
      </c>
      <c r="J1115" s="19" t="n">
        <v>89.17763641178608</v>
      </c>
      <c r="K1115" s="19" t="n">
        <v>16.66362674534321</v>
      </c>
      <c r="L1115" s="19" t="n">
        <v>61.98488278687</v>
      </c>
      <c r="M1115" s="19" t="n">
        <v>89.17763641178608</v>
      </c>
      <c r="N1115" s="17" t="inlineStr">
        <is>
          <t>B</t>
        </is>
      </c>
      <c r="O1115" s="19" t="n">
        <v>48.65398139059543</v>
      </c>
      <c r="P1115" s="18" t="inlineStr">
        <is>
          <t>KHÔNG ĐỀ XUẤT TĂNG</t>
        </is>
      </c>
      <c r="Q1115" s="17" t="inlineStr">
        <is>
          <t>Có</t>
        </is>
      </c>
      <c r="R1115" s="20" t="n"/>
      <c r="S1115" s="20" t="n"/>
      <c r="T1115" s="21" t="n"/>
      <c r="U1115" s="21" t="n"/>
      <c r="V1115" s="22">
        <f>IF(U1115="A",K1115,IF(U1115="B",L1115,IF(U1115="C",M1115,IF(N1115="A",K1115,IF(N1115="B",L1115,M1115)))))</f>
        <v/>
      </c>
      <c r="W1115" s="22">
        <f>IF(R1115="",O1115,MAX(V1115-R1115-N(S1115),0))</f>
        <v/>
      </c>
      <c r="X1115" s="20" t="n"/>
      <c r="Y1115" s="23">
        <f>IF(OR(X1115="",W1115=0),"",X1115/W1115-1)</f>
        <v/>
      </c>
      <c r="Z1115" s="24" t="n"/>
      <c r="AA1115" s="21" t="n"/>
      <c r="AB1115" s="25" t="n"/>
      <c r="AC1115" s="26">
        <f>IF(T1115="","Chưa quyết định",IF(OR(Z1115="",AA1115=""),"⚠ Thiếu lý do/người duyệt",IF(AND(X1115&lt;&gt;"",N(X1115)+N(R1115)+N(S1115)&gt;M1115*1.001,R1115&lt;&gt;""),"⚠ Vượt mục tiêu P90",IF(AND(Y1115&lt;&gt;"",ABS(N(Y1115))&gt;0.3),"⚠ Lệch &gt; 30% so với nhu cầu",IF(Q1115="Có","ℹ Kiểm tra ngoại suy KM","✓ Hợp lệ")))))</f>
        <v/>
      </c>
    </row>
    <row r="1116">
      <c r="A1116" s="16" t="n">
        <v>1112</v>
      </c>
      <c r="B1116" s="17" t="inlineStr">
        <is>
          <t>DEC-S13-SEAFOOD</t>
        </is>
      </c>
      <c r="C1116" s="16" t="n">
        <v>13</v>
      </c>
      <c r="D1116" s="17" t="inlineStr">
        <is>
          <t>SEAFOOD</t>
        </is>
      </c>
      <c r="E1116" s="17" t="inlineStr">
        <is>
          <t>HIGH</t>
        </is>
      </c>
      <c r="F1116" s="17" t="inlineStr">
        <is>
          <t>TRUNG BÌNH</t>
        </is>
      </c>
      <c r="G1116" s="18" t="inlineStr">
        <is>
          <t>RISK_HIGH · PROMO_EXTRAPOLATION</t>
        </is>
      </c>
      <c r="H1116" s="19" t="n">
        <v>3.937842607498169</v>
      </c>
      <c r="I1116" s="19" t="n">
        <v>16.54031109809875</v>
      </c>
      <c r="J1116" s="19" t="n">
        <v>89.57405343055726</v>
      </c>
      <c r="K1116" s="19" t="n">
        <v>16.54031109809875</v>
      </c>
      <c r="L1116" s="19" t="n">
        <v>62.18640005588531</v>
      </c>
      <c r="M1116" s="19" t="n">
        <v>89.57405343055726</v>
      </c>
      <c r="N1116" s="17" t="inlineStr">
        <is>
          <t>B</t>
        </is>
      </c>
      <c r="O1116" s="19" t="n">
        <v>48.95415117740631</v>
      </c>
      <c r="P1116" s="18" t="inlineStr">
        <is>
          <t>KHÔNG ĐỀ XUẤT TĂNG</t>
        </is>
      </c>
      <c r="Q1116" s="17" t="inlineStr">
        <is>
          <t>Có</t>
        </is>
      </c>
      <c r="R1116" s="20" t="n"/>
      <c r="S1116" s="20" t="n"/>
      <c r="T1116" s="21" t="n"/>
      <c r="U1116" s="21" t="n"/>
      <c r="V1116" s="22">
        <f>IF(U1116="A",K1116,IF(U1116="B",L1116,IF(U1116="C",M1116,IF(N1116="A",K1116,IF(N1116="B",L1116,M1116)))))</f>
        <v/>
      </c>
      <c r="W1116" s="22">
        <f>IF(R1116="",O1116,MAX(V1116-R1116-N(S1116),0))</f>
        <v/>
      </c>
      <c r="X1116" s="20" t="n"/>
      <c r="Y1116" s="23">
        <f>IF(OR(X1116="",W1116=0),"",X1116/W1116-1)</f>
        <v/>
      </c>
      <c r="Z1116" s="24" t="n"/>
      <c r="AA1116" s="21" t="n"/>
      <c r="AB1116" s="25" t="n"/>
      <c r="AC1116" s="26">
        <f>IF(T1116="","Chưa quyết định",IF(OR(Z1116="",AA1116=""),"⚠ Thiếu lý do/người duyệt",IF(AND(X1116&lt;&gt;"",N(X1116)+N(R1116)+N(S1116)&gt;M1116*1.001,R1116&lt;&gt;""),"⚠ Vượt mục tiêu P90",IF(AND(Y1116&lt;&gt;"",ABS(N(Y1116))&gt;0.3),"⚠ Lệch &gt; 30% so với nhu cầu",IF(Q1116="Có","ℹ Kiểm tra ngoại suy KM","✓ Hợp lệ")))))</f>
        <v/>
      </c>
    </row>
    <row r="1117">
      <c r="A1117" s="16" t="n">
        <v>1113</v>
      </c>
      <c r="B1117" s="17" t="inlineStr">
        <is>
          <t>DEC-S23-HOME_APPLIANCES</t>
        </is>
      </c>
      <c r="C1117" s="16" t="n">
        <v>23</v>
      </c>
      <c r="D1117" s="17" t="inlineStr">
        <is>
          <t>HOME APPLIANCES</t>
        </is>
      </c>
      <c r="E1117" s="17" t="inlineStr">
        <is>
          <t>HIGH</t>
        </is>
      </c>
      <c r="F1117" s="17" t="inlineStr">
        <is>
          <t>TRUNG BÌNH</t>
        </is>
      </c>
      <c r="G1117" s="18" t="inlineStr">
        <is>
          <t>RISK_HIGH · PROMO_EXTRAPOLATION</t>
        </is>
      </c>
      <c r="H1117" s="19" t="n">
        <v>2.815017288923264</v>
      </c>
      <c r="I1117" s="19" t="n">
        <v>16.47721728682518</v>
      </c>
      <c r="J1117" s="19" t="n">
        <v>91.12031263709068</v>
      </c>
      <c r="K1117" s="19" t="n">
        <v>16.47721728682518</v>
      </c>
      <c r="L1117" s="19" t="n">
        <v>63.12915188074111</v>
      </c>
      <c r="M1117" s="19" t="n">
        <v>91.12031263709068</v>
      </c>
      <c r="N1117" s="17" t="inlineStr">
        <is>
          <t>B</t>
        </is>
      </c>
      <c r="O1117" s="19" t="n">
        <v>49.94737805128096</v>
      </c>
      <c r="P1117" s="18" t="inlineStr">
        <is>
          <t>KHÔNG ĐỀ XUẤT TĂNG</t>
        </is>
      </c>
      <c r="Q1117" s="17" t="inlineStr">
        <is>
          <t>Có</t>
        </is>
      </c>
      <c r="R1117" s="20" t="n"/>
      <c r="S1117" s="20" t="n"/>
      <c r="T1117" s="21" t="n"/>
      <c r="U1117" s="21" t="n"/>
      <c r="V1117" s="22">
        <f>IF(U1117="A",K1117,IF(U1117="B",L1117,IF(U1117="C",M1117,IF(N1117="A",K1117,IF(N1117="B",L1117,M1117)))))</f>
        <v/>
      </c>
      <c r="W1117" s="22">
        <f>IF(R1117="",O1117,MAX(V1117-R1117-N(S1117),0))</f>
        <v/>
      </c>
      <c r="X1117" s="20" t="n"/>
      <c r="Y1117" s="23">
        <f>IF(OR(X1117="",W1117=0),"",X1117/W1117-1)</f>
        <v/>
      </c>
      <c r="Z1117" s="24" t="n"/>
      <c r="AA1117" s="21" t="n"/>
      <c r="AB1117" s="25" t="n"/>
      <c r="AC1117" s="26">
        <f>IF(T1117="","Chưa quyết định",IF(OR(Z1117="",AA1117=""),"⚠ Thiếu lý do/người duyệt",IF(AND(X1117&lt;&gt;"",N(X1117)+N(R1117)+N(S1117)&gt;M1117*1.001,R1117&lt;&gt;""),"⚠ Vượt mục tiêu P90",IF(AND(Y1117&lt;&gt;"",ABS(N(Y1117))&gt;0.3),"⚠ Lệch &gt; 30% so với nhu cầu",IF(Q1117="Có","ℹ Kiểm tra ngoại suy KM","✓ Hợp lệ")))))</f>
        <v/>
      </c>
    </row>
    <row r="1118">
      <c r="A1118" s="16" t="n">
        <v>1114</v>
      </c>
      <c r="B1118" s="17" t="inlineStr">
        <is>
          <t>DEC-S29-LADIESWEAR</t>
        </is>
      </c>
      <c r="C1118" s="16" t="n">
        <v>29</v>
      </c>
      <c r="D1118" s="17" t="inlineStr">
        <is>
          <t>LADIESWEAR</t>
        </is>
      </c>
      <c r="E1118" s="17" t="inlineStr">
        <is>
          <t>HIGH</t>
        </is>
      </c>
      <c r="F1118" s="17" t="inlineStr">
        <is>
          <t>TRUNG BÌNH</t>
        </is>
      </c>
      <c r="G1118" s="18" t="inlineStr">
        <is>
          <t>RISK_HIGH · PROMO_EXTRAPOLATION</t>
        </is>
      </c>
      <c r="H1118" s="19" t="n">
        <v>2.982526129484177</v>
      </c>
      <c r="I1118" s="19" t="n">
        <v>16.47658038884401</v>
      </c>
      <c r="J1118" s="19" t="n">
        <v>91.11967573910952</v>
      </c>
      <c r="K1118" s="19" t="n">
        <v>16.47658038884401</v>
      </c>
      <c r="L1118" s="19" t="n">
        <v>63.12851498275995</v>
      </c>
      <c r="M1118" s="19" t="n">
        <v>91.11967573910952</v>
      </c>
      <c r="N1118" s="17" t="inlineStr">
        <is>
          <t>B</t>
        </is>
      </c>
      <c r="O1118" s="19" t="n">
        <v>49.94725067168474</v>
      </c>
      <c r="P1118" s="18" t="inlineStr">
        <is>
          <t>KHÔNG ĐỀ XUẤT TĂNG</t>
        </is>
      </c>
      <c r="Q1118" s="17" t="inlineStr">
        <is>
          <t>Có</t>
        </is>
      </c>
      <c r="R1118" s="20" t="n"/>
      <c r="S1118" s="20" t="n"/>
      <c r="T1118" s="21" t="n"/>
      <c r="U1118" s="21" t="n"/>
      <c r="V1118" s="22">
        <f>IF(U1118="A",K1118,IF(U1118="B",L1118,IF(U1118="C",M1118,IF(N1118="A",K1118,IF(N1118="B",L1118,M1118)))))</f>
        <v/>
      </c>
      <c r="W1118" s="22">
        <f>IF(R1118="",O1118,MAX(V1118-R1118-N(S1118),0))</f>
        <v/>
      </c>
      <c r="X1118" s="20" t="n"/>
      <c r="Y1118" s="23">
        <f>IF(OR(X1118="",W1118=0),"",X1118/W1118-1)</f>
        <v/>
      </c>
      <c r="Z1118" s="24" t="n"/>
      <c r="AA1118" s="21" t="n"/>
      <c r="AB1118" s="25" t="n"/>
      <c r="AC1118" s="26">
        <f>IF(T1118="","Chưa quyết định",IF(OR(Z1118="",AA1118=""),"⚠ Thiếu lý do/người duyệt",IF(AND(X1118&lt;&gt;"",N(X1118)+N(R1118)+N(S1118)&gt;M1118*1.001,R1118&lt;&gt;""),"⚠ Vượt mục tiêu P90",IF(AND(Y1118&lt;&gt;"",ABS(N(Y1118))&gt;0.3),"⚠ Lệch &gt; 30% so với nhu cầu",IF(Q1118="Có","ℹ Kiểm tra ngoại suy KM","✓ Hợp lệ")))))</f>
        <v/>
      </c>
    </row>
    <row r="1119">
      <c r="A1119" s="16" t="n">
        <v>1115</v>
      </c>
      <c r="B1119" s="17" t="inlineStr">
        <is>
          <t>DEC-S36-LADIESWEAR</t>
        </is>
      </c>
      <c r="C1119" s="16" t="n">
        <v>36</v>
      </c>
      <c r="D1119" s="17" t="inlineStr">
        <is>
          <t>LADIESWEAR</t>
        </is>
      </c>
      <c r="E1119" s="17" t="inlineStr">
        <is>
          <t>HIGH</t>
        </is>
      </c>
      <c r="F1119" s="17" t="inlineStr">
        <is>
          <t>TRUNG BÌNH</t>
        </is>
      </c>
      <c r="G1119" s="18" t="inlineStr">
        <is>
          <t>RISK_HIGH · PROMO_EXTRAPOLATION</t>
        </is>
      </c>
      <c r="H1119" s="19" t="n">
        <v>2.982526129484177</v>
      </c>
      <c r="I1119" s="19" t="n">
        <v>16.47658038884401</v>
      </c>
      <c r="J1119" s="19" t="n">
        <v>91.11967573910952</v>
      </c>
      <c r="K1119" s="19" t="n">
        <v>16.47658038884401</v>
      </c>
      <c r="L1119" s="19" t="n">
        <v>63.12851498275995</v>
      </c>
      <c r="M1119" s="19" t="n">
        <v>91.11967573910952</v>
      </c>
      <c r="N1119" s="17" t="inlineStr">
        <is>
          <t>B</t>
        </is>
      </c>
      <c r="O1119" s="19" t="n">
        <v>49.94725067168474</v>
      </c>
      <c r="P1119" s="18" t="inlineStr">
        <is>
          <t>KHÔNG ĐỀ XUẤT TĂNG</t>
        </is>
      </c>
      <c r="Q1119" s="17" t="inlineStr">
        <is>
          <t>Có</t>
        </is>
      </c>
      <c r="R1119" s="20" t="n"/>
      <c r="S1119" s="20" t="n"/>
      <c r="T1119" s="21" t="n"/>
      <c r="U1119" s="21" t="n"/>
      <c r="V1119" s="22">
        <f>IF(U1119="A",K1119,IF(U1119="B",L1119,IF(U1119="C",M1119,IF(N1119="A",K1119,IF(N1119="B",L1119,M1119)))))</f>
        <v/>
      </c>
      <c r="W1119" s="22">
        <f>IF(R1119="",O1119,MAX(V1119-R1119-N(S1119),0))</f>
        <v/>
      </c>
      <c r="X1119" s="20" t="n"/>
      <c r="Y1119" s="23">
        <f>IF(OR(X1119="",W1119=0),"",X1119/W1119-1)</f>
        <v/>
      </c>
      <c r="Z1119" s="24" t="n"/>
      <c r="AA1119" s="21" t="n"/>
      <c r="AB1119" s="25" t="n"/>
      <c r="AC1119" s="26">
        <f>IF(T1119="","Chưa quyết định",IF(OR(Z1119="",AA1119=""),"⚠ Thiếu lý do/người duyệt",IF(AND(X1119&lt;&gt;"",N(X1119)+N(R1119)+N(S1119)&gt;M1119*1.001,R1119&lt;&gt;""),"⚠ Vượt mục tiêu P90",IF(AND(Y1119&lt;&gt;"",ABS(N(Y1119))&gt;0.3),"⚠ Lệch &gt; 30% so với nhu cầu",IF(Q1119="Có","ℹ Kiểm tra ngoại suy KM","✓ Hợp lệ")))))</f>
        <v/>
      </c>
    </row>
    <row r="1120">
      <c r="A1120" s="16" t="n">
        <v>1116</v>
      </c>
      <c r="B1120" s="17" t="inlineStr">
        <is>
          <t>DEC-S10-PET_SUPPLIES</t>
        </is>
      </c>
      <c r="C1120" s="16" t="n">
        <v>10</v>
      </c>
      <c r="D1120" s="17" t="inlineStr">
        <is>
          <t>PET SUPPLIES</t>
        </is>
      </c>
      <c r="E1120" s="17" t="inlineStr">
        <is>
          <t>HIGH</t>
        </is>
      </c>
      <c r="F1120" s="17" t="inlineStr">
        <is>
          <t>TRUNG BÌNH</t>
        </is>
      </c>
      <c r="G1120" s="18" t="inlineStr">
        <is>
          <t>RISK_HIGH · PROMO_EXTRAPOLATION</t>
        </is>
      </c>
      <c r="H1120" s="19" t="n">
        <v>3.359694272279739</v>
      </c>
      <c r="I1120" s="19" t="n">
        <v>16.45200070738792</v>
      </c>
      <c r="J1120" s="19" t="n">
        <v>91.09509605765342</v>
      </c>
      <c r="K1120" s="19" t="n">
        <v>16.45200070738792</v>
      </c>
      <c r="L1120" s="19" t="n">
        <v>63.10393530130386</v>
      </c>
      <c r="M1120" s="19" t="n">
        <v>91.09509605765342</v>
      </c>
      <c r="N1120" s="17" t="inlineStr">
        <is>
          <t>B</t>
        </is>
      </c>
      <c r="O1120" s="19" t="n">
        <v>49.94233473539352</v>
      </c>
      <c r="P1120" s="18" t="inlineStr">
        <is>
          <t>KHÔNG ĐỀ XUẤT TĂNG</t>
        </is>
      </c>
      <c r="Q1120" s="17" t="inlineStr">
        <is>
          <t>Có</t>
        </is>
      </c>
      <c r="R1120" s="20" t="n"/>
      <c r="S1120" s="20" t="n"/>
      <c r="T1120" s="21" t="n"/>
      <c r="U1120" s="21" t="n"/>
      <c r="V1120" s="22">
        <f>IF(U1120="A",K1120,IF(U1120="B",L1120,IF(U1120="C",M1120,IF(N1120="A",K1120,IF(N1120="B",L1120,M1120)))))</f>
        <v/>
      </c>
      <c r="W1120" s="22">
        <f>IF(R1120="",O1120,MAX(V1120-R1120-N(S1120),0))</f>
        <v/>
      </c>
      <c r="X1120" s="20" t="n"/>
      <c r="Y1120" s="23">
        <f>IF(OR(X1120="",W1120=0),"",X1120/W1120-1)</f>
        <v/>
      </c>
      <c r="Z1120" s="24" t="n"/>
      <c r="AA1120" s="21" t="n"/>
      <c r="AB1120" s="25" t="n"/>
      <c r="AC1120" s="26">
        <f>IF(T1120="","Chưa quyết định",IF(OR(Z1120="",AA1120=""),"⚠ Thiếu lý do/người duyệt",IF(AND(X1120&lt;&gt;"",N(X1120)+N(R1120)+N(S1120)&gt;M1120*1.001,R1120&lt;&gt;""),"⚠ Vượt mục tiêu P90",IF(AND(Y1120&lt;&gt;"",ABS(N(Y1120))&gt;0.3),"⚠ Lệch &gt; 30% so với nhu cầu",IF(Q1120="Có","ℹ Kiểm tra ngoại suy KM","✓ Hợp lệ")))))</f>
        <v/>
      </c>
    </row>
    <row r="1121">
      <c r="A1121" s="16" t="n">
        <v>1117</v>
      </c>
      <c r="B1121" s="17" t="inlineStr">
        <is>
          <t>DEC-S30-MAGAZINES</t>
        </is>
      </c>
      <c r="C1121" s="16" t="n">
        <v>30</v>
      </c>
      <c r="D1121" s="17" t="inlineStr">
        <is>
          <t>MAGAZINES</t>
        </is>
      </c>
      <c r="E1121" s="17" t="inlineStr">
        <is>
          <t>HIGH</t>
        </is>
      </c>
      <c r="F1121" s="17" t="inlineStr">
        <is>
          <t>TRUNG BÌNH</t>
        </is>
      </c>
      <c r="G1121" s="18" t="inlineStr">
        <is>
          <t>RISK_HIGH · PROMO_EXTRAPOLATION</t>
        </is>
      </c>
      <c r="H1121" s="19" t="n">
        <v>1.60409803390503</v>
      </c>
      <c r="I1121" s="19" t="n">
        <v>16.25110749900341</v>
      </c>
      <c r="J1121" s="19" t="n">
        <v>93.02328853309156</v>
      </c>
      <c r="K1121" s="19" t="n">
        <v>16.25110749900341</v>
      </c>
      <c r="L1121" s="19" t="n">
        <v>64.23372064530849</v>
      </c>
      <c r="M1121" s="19" t="n">
        <v>93.02328853309156</v>
      </c>
      <c r="N1121" s="17" t="inlineStr">
        <is>
          <t>B</t>
        </is>
      </c>
      <c r="O1121" s="19" t="n">
        <v>51.23283464610576</v>
      </c>
      <c r="P1121" s="18" t="inlineStr">
        <is>
          <t>KHÔNG ĐỀ XUẤT TĂNG</t>
        </is>
      </c>
      <c r="Q1121" s="17" t="inlineStr">
        <is>
          <t>Có</t>
        </is>
      </c>
      <c r="R1121" s="20" t="n"/>
      <c r="S1121" s="20" t="n"/>
      <c r="T1121" s="21" t="n"/>
      <c r="U1121" s="21" t="n"/>
      <c r="V1121" s="22">
        <f>IF(U1121="A",K1121,IF(U1121="B",L1121,IF(U1121="C",M1121,IF(N1121="A",K1121,IF(N1121="B",L1121,M1121)))))</f>
        <v/>
      </c>
      <c r="W1121" s="22">
        <f>IF(R1121="",O1121,MAX(V1121-R1121-N(S1121),0))</f>
        <v/>
      </c>
      <c r="X1121" s="20" t="n"/>
      <c r="Y1121" s="23">
        <f>IF(OR(X1121="",W1121=0),"",X1121/W1121-1)</f>
        <v/>
      </c>
      <c r="Z1121" s="24" t="n"/>
      <c r="AA1121" s="21" t="n"/>
      <c r="AB1121" s="25" t="n"/>
      <c r="AC1121" s="26">
        <f>IF(T1121="","Chưa quyết định",IF(OR(Z1121="",AA1121=""),"⚠ Thiếu lý do/người duyệt",IF(AND(X1121&lt;&gt;"",N(X1121)+N(R1121)+N(S1121)&gt;M1121*1.001,R1121&lt;&gt;""),"⚠ Vượt mục tiêu P90",IF(AND(Y1121&lt;&gt;"",ABS(N(Y1121))&gt;0.3),"⚠ Lệch &gt; 30% so với nhu cầu",IF(Q1121="Có","ℹ Kiểm tra ngoại suy KM","✓ Hợp lệ")))))</f>
        <v/>
      </c>
    </row>
    <row r="1122">
      <c r="A1122" s="16" t="n">
        <v>1118</v>
      </c>
      <c r="B1122" s="17" t="inlineStr">
        <is>
          <t>DEC-S18-BOOKS</t>
        </is>
      </c>
      <c r="C1122" s="16" t="n">
        <v>18</v>
      </c>
      <c r="D1122" s="17" t="inlineStr">
        <is>
          <t>BOOKS</t>
        </is>
      </c>
      <c r="E1122" s="17" t="inlineStr">
        <is>
          <t>HIGH</t>
        </is>
      </c>
      <c r="F1122" s="17" t="inlineStr">
        <is>
          <t>TRUNG BÌNH</t>
        </is>
      </c>
      <c r="G1122" s="18" t="inlineStr">
        <is>
          <t>RISK_HIGH · PROMO_EXTRAPOLATION</t>
        </is>
      </c>
      <c r="H1122" s="19" t="n">
        <v>1.92266406416893</v>
      </c>
      <c r="I1122" s="19" t="n">
        <v>16.18290497362614</v>
      </c>
      <c r="J1122" s="19" t="n">
        <v>92.95508600771429</v>
      </c>
      <c r="K1122" s="19" t="n">
        <v>16.18290497362614</v>
      </c>
      <c r="L1122" s="19" t="n">
        <v>64.16551811993122</v>
      </c>
      <c r="M1122" s="19" t="n">
        <v>92.95508600771429</v>
      </c>
      <c r="N1122" s="17" t="inlineStr">
        <is>
          <t>B</t>
        </is>
      </c>
      <c r="O1122" s="19" t="n">
        <v>51.21919414103032</v>
      </c>
      <c r="P1122" s="18" t="inlineStr">
        <is>
          <t>KHÔNG ĐỀ XUẤT TĂNG</t>
        </is>
      </c>
      <c r="Q1122" s="17" t="inlineStr">
        <is>
          <t>Có</t>
        </is>
      </c>
      <c r="R1122" s="20" t="n"/>
      <c r="S1122" s="20" t="n"/>
      <c r="T1122" s="21" t="n"/>
      <c r="U1122" s="21" t="n"/>
      <c r="V1122" s="22">
        <f>IF(U1122="A",K1122,IF(U1122="B",L1122,IF(U1122="C",M1122,IF(N1122="A",K1122,IF(N1122="B",L1122,M1122)))))</f>
        <v/>
      </c>
      <c r="W1122" s="22">
        <f>IF(R1122="",O1122,MAX(V1122-R1122-N(S1122),0))</f>
        <v/>
      </c>
      <c r="X1122" s="20" t="n"/>
      <c r="Y1122" s="23">
        <f>IF(OR(X1122="",W1122=0),"",X1122/W1122-1)</f>
        <v/>
      </c>
      <c r="Z1122" s="24" t="n"/>
      <c r="AA1122" s="21" t="n"/>
      <c r="AB1122" s="25" t="n"/>
      <c r="AC1122" s="26">
        <f>IF(T1122="","Chưa quyết định",IF(OR(Z1122="",AA1122=""),"⚠ Thiếu lý do/người duyệt",IF(AND(X1122&lt;&gt;"",N(X1122)+N(R1122)+N(S1122)&gt;M1122*1.001,R1122&lt;&gt;""),"⚠ Vượt mục tiêu P90",IF(AND(Y1122&lt;&gt;"",ABS(N(Y1122))&gt;0.3),"⚠ Lệch &gt; 30% so với nhu cầu",IF(Q1122="Có","ℹ Kiểm tra ngoại suy KM","✓ Hợp lệ")))))</f>
        <v/>
      </c>
    </row>
    <row r="1123">
      <c r="A1123" s="16" t="n">
        <v>1119</v>
      </c>
      <c r="B1123" s="17" t="inlineStr">
        <is>
          <t>DEC-S23-BABY_CARE</t>
        </is>
      </c>
      <c r="C1123" s="16" t="n">
        <v>23</v>
      </c>
      <c r="D1123" s="17" t="inlineStr">
        <is>
          <t>BABY CARE</t>
        </is>
      </c>
      <c r="E1123" s="17" t="inlineStr">
        <is>
          <t>HIGH</t>
        </is>
      </c>
      <c r="F1123" s="17" t="inlineStr">
        <is>
          <t>TRUNG BÌNH</t>
        </is>
      </c>
      <c r="G1123" s="18" t="inlineStr">
        <is>
          <t>RISK_HIGH · PROMO_EXTRAPOLATION</t>
        </is>
      </c>
      <c r="H1123" s="19" t="n">
        <v>2.697113937139511</v>
      </c>
      <c r="I1123" s="19" t="n">
        <v>16.01709104329348</v>
      </c>
      <c r="J1123" s="19" t="n">
        <v>90.66018639355896</v>
      </c>
      <c r="K1123" s="19" t="n">
        <v>16.01709104329348</v>
      </c>
      <c r="L1123" s="19" t="n">
        <v>62.6690256372094</v>
      </c>
      <c r="M1123" s="19" t="n">
        <v>90.66018639355896</v>
      </c>
      <c r="N1123" s="17" t="inlineStr">
        <is>
          <t>B</t>
        </is>
      </c>
      <c r="O1123" s="19" t="n">
        <v>49.85535280257462</v>
      </c>
      <c r="P1123" s="18" t="inlineStr">
        <is>
          <t>KHÔNG ĐỀ XUẤT TĂNG</t>
        </is>
      </c>
      <c r="Q1123" s="17" t="inlineStr">
        <is>
          <t>Có</t>
        </is>
      </c>
      <c r="R1123" s="20" t="n"/>
      <c r="S1123" s="20" t="n"/>
      <c r="T1123" s="21" t="n"/>
      <c r="U1123" s="21" t="n"/>
      <c r="V1123" s="22">
        <f>IF(U1123="A",K1123,IF(U1123="B",L1123,IF(U1123="C",M1123,IF(N1123="A",K1123,IF(N1123="B",L1123,M1123)))))</f>
        <v/>
      </c>
      <c r="W1123" s="22">
        <f>IF(R1123="",O1123,MAX(V1123-R1123-N(S1123),0))</f>
        <v/>
      </c>
      <c r="X1123" s="20" t="n"/>
      <c r="Y1123" s="23">
        <f>IF(OR(X1123="",W1123=0),"",X1123/W1123-1)</f>
        <v/>
      </c>
      <c r="Z1123" s="24" t="n"/>
      <c r="AA1123" s="21" t="n"/>
      <c r="AB1123" s="25" t="n"/>
      <c r="AC1123" s="26">
        <f>IF(T1123="","Chưa quyết định",IF(OR(Z1123="",AA1123=""),"⚠ Thiếu lý do/người duyệt",IF(AND(X1123&lt;&gt;"",N(X1123)+N(R1123)+N(S1123)&gt;M1123*1.001,R1123&lt;&gt;""),"⚠ Vượt mục tiêu P90",IF(AND(Y1123&lt;&gt;"",ABS(N(Y1123))&gt;0.3),"⚠ Lệch &gt; 30% so với nhu cầu",IF(Q1123="Có","ℹ Kiểm tra ngoại suy KM","✓ Hợp lệ")))))</f>
        <v/>
      </c>
    </row>
    <row r="1124">
      <c r="A1124" s="16" t="n">
        <v>1120</v>
      </c>
      <c r="B1124" s="17" t="inlineStr">
        <is>
          <t>DEC-S23-BOOKS</t>
        </is>
      </c>
      <c r="C1124" s="16" t="n">
        <v>23</v>
      </c>
      <c r="D1124" s="17" t="inlineStr">
        <is>
          <t>BOOKS</t>
        </is>
      </c>
      <c r="E1124" s="17" t="inlineStr">
        <is>
          <t>HIGH</t>
        </is>
      </c>
      <c r="F1124" s="17" t="inlineStr">
        <is>
          <t>TRUNG BÌNH</t>
        </is>
      </c>
      <c r="G1124" s="18" t="inlineStr">
        <is>
          <t>RISK_HIGH · PROMO_EXTRAPOLATION</t>
        </is>
      </c>
      <c r="H1124" s="19" t="n">
        <v>2.697113937139511</v>
      </c>
      <c r="I1124" s="19" t="n">
        <v>16.01709104329348</v>
      </c>
      <c r="J1124" s="19" t="n">
        <v>90.66018639355896</v>
      </c>
      <c r="K1124" s="19" t="n">
        <v>16.01709104329348</v>
      </c>
      <c r="L1124" s="19" t="n">
        <v>62.6690256372094</v>
      </c>
      <c r="M1124" s="19" t="n">
        <v>90.66018639355896</v>
      </c>
      <c r="N1124" s="17" t="inlineStr">
        <is>
          <t>B</t>
        </is>
      </c>
      <c r="O1124" s="19" t="n">
        <v>49.85535280257462</v>
      </c>
      <c r="P1124" s="18" t="inlineStr">
        <is>
          <t>KHÔNG ĐỀ XUẤT TĂNG</t>
        </is>
      </c>
      <c r="Q1124" s="17" t="inlineStr">
        <is>
          <t>Có</t>
        </is>
      </c>
      <c r="R1124" s="20" t="n"/>
      <c r="S1124" s="20" t="n"/>
      <c r="T1124" s="21" t="n"/>
      <c r="U1124" s="21" t="n"/>
      <c r="V1124" s="22">
        <f>IF(U1124="A",K1124,IF(U1124="B",L1124,IF(U1124="C",M1124,IF(N1124="A",K1124,IF(N1124="B",L1124,M1124)))))</f>
        <v/>
      </c>
      <c r="W1124" s="22">
        <f>IF(R1124="",O1124,MAX(V1124-R1124-N(S1124),0))</f>
        <v/>
      </c>
      <c r="X1124" s="20" t="n"/>
      <c r="Y1124" s="23">
        <f>IF(OR(X1124="",W1124=0),"",X1124/W1124-1)</f>
        <v/>
      </c>
      <c r="Z1124" s="24" t="n"/>
      <c r="AA1124" s="21" t="n"/>
      <c r="AB1124" s="25" t="n"/>
      <c r="AC1124" s="26">
        <f>IF(T1124="","Chưa quyết định",IF(OR(Z1124="",AA1124=""),"⚠ Thiếu lý do/người duyệt",IF(AND(X1124&lt;&gt;"",N(X1124)+N(R1124)+N(S1124)&gt;M1124*1.001,R1124&lt;&gt;""),"⚠ Vượt mục tiêu P90",IF(AND(Y1124&lt;&gt;"",ABS(N(Y1124))&gt;0.3),"⚠ Lệch &gt; 30% so với nhu cầu",IF(Q1124="Có","ℹ Kiểm tra ngoại suy KM","✓ Hợp lệ")))))</f>
        <v/>
      </c>
    </row>
    <row r="1125">
      <c r="A1125" s="16" t="n">
        <v>1121</v>
      </c>
      <c r="B1125" s="17" t="inlineStr">
        <is>
          <t>DEC-S25-HOME_APPLIANCES</t>
        </is>
      </c>
      <c r="C1125" s="16" t="n">
        <v>25</v>
      </c>
      <c r="D1125" s="17" t="inlineStr">
        <is>
          <t>HOME APPLIANCES</t>
        </is>
      </c>
      <c r="E1125" s="17" t="inlineStr">
        <is>
          <t>HIGH</t>
        </is>
      </c>
      <c r="F1125" s="17" t="inlineStr">
        <is>
          <t>TRUNG BÌNH</t>
        </is>
      </c>
      <c r="G1125" s="18" t="inlineStr">
        <is>
          <t>RISK_HIGH · PROMO_EXTRAPOLATION</t>
        </is>
      </c>
      <c r="H1125" s="19" t="n">
        <v>1.007408481836319</v>
      </c>
      <c r="I1125" s="19" t="n">
        <v>15.79215706884861</v>
      </c>
      <c r="J1125" s="19" t="n">
        <v>92.56433810293674</v>
      </c>
      <c r="K1125" s="19" t="n">
        <v>15.79215706884861</v>
      </c>
      <c r="L1125" s="19" t="n">
        <v>63.77477021515369</v>
      </c>
      <c r="M1125" s="19" t="n">
        <v>92.56433810293674</v>
      </c>
      <c r="N1125" s="17" t="inlineStr">
        <is>
          <t>B</t>
        </is>
      </c>
      <c r="O1125" s="19" t="n">
        <v>51.1410445600748</v>
      </c>
      <c r="P1125" s="18" t="inlineStr">
        <is>
          <t>KHÔNG ĐỀ XUẤT TĂNG</t>
        </is>
      </c>
      <c r="Q1125" s="17" t="inlineStr">
        <is>
          <t>Có</t>
        </is>
      </c>
      <c r="R1125" s="20" t="n"/>
      <c r="S1125" s="20" t="n"/>
      <c r="T1125" s="21" t="n"/>
      <c r="U1125" s="21" t="n"/>
      <c r="V1125" s="22">
        <f>IF(U1125="A",K1125,IF(U1125="B",L1125,IF(U1125="C",M1125,IF(N1125="A",K1125,IF(N1125="B",L1125,M1125)))))</f>
        <v/>
      </c>
      <c r="W1125" s="22">
        <f>IF(R1125="",O1125,MAX(V1125-R1125-N(S1125),0))</f>
        <v/>
      </c>
      <c r="X1125" s="20" t="n"/>
      <c r="Y1125" s="23">
        <f>IF(OR(X1125="",W1125=0),"",X1125/W1125-1)</f>
        <v/>
      </c>
      <c r="Z1125" s="24" t="n"/>
      <c r="AA1125" s="21" t="n"/>
      <c r="AB1125" s="25" t="n"/>
      <c r="AC1125" s="26">
        <f>IF(T1125="","Chưa quyết định",IF(OR(Z1125="",AA1125=""),"⚠ Thiếu lý do/người duyệt",IF(AND(X1125&lt;&gt;"",N(X1125)+N(R1125)+N(S1125)&gt;M1125*1.001,R1125&lt;&gt;""),"⚠ Vượt mục tiêu P90",IF(AND(Y1125&lt;&gt;"",ABS(N(Y1125))&gt;0.3),"⚠ Lệch &gt; 30% so với nhu cầu",IF(Q1125="Có","ℹ Kiểm tra ngoại suy KM","✓ Hợp lệ")))))</f>
        <v/>
      </c>
    </row>
    <row r="1126">
      <c r="A1126" s="16" t="n">
        <v>1122</v>
      </c>
      <c r="B1126" s="17" t="inlineStr">
        <is>
          <t>DEC-S33-HARDWARE</t>
        </is>
      </c>
      <c r="C1126" s="16" t="n">
        <v>33</v>
      </c>
      <c r="D1126" s="17" t="inlineStr">
        <is>
          <t>HARDWARE</t>
        </is>
      </c>
      <c r="E1126" s="17" t="inlineStr">
        <is>
          <t>HIGH</t>
        </is>
      </c>
      <c r="F1126" s="17" t="inlineStr">
        <is>
          <t>TRUNG BÌNH</t>
        </is>
      </c>
      <c r="G1126" s="18" t="inlineStr">
        <is>
          <t>RISK_HIGH · PROMO_EXTRAPOLATION</t>
        </is>
      </c>
      <c r="H1126" s="19" t="n">
        <v>2.429124093055725</v>
      </c>
      <c r="I1126" s="19" t="n">
        <v>15.65860922634602</v>
      </c>
      <c r="J1126" s="19" t="n">
        <v>90.30170457661151</v>
      </c>
      <c r="K1126" s="19" t="n">
        <v>15.65860922634602</v>
      </c>
      <c r="L1126" s="19" t="n">
        <v>62.31054382026195</v>
      </c>
      <c r="M1126" s="19" t="n">
        <v>90.30170457661151</v>
      </c>
      <c r="N1126" s="17" t="inlineStr">
        <is>
          <t>B</t>
        </is>
      </c>
      <c r="O1126" s="19" t="n">
        <v>49.78365643918514</v>
      </c>
      <c r="P1126" s="18" t="inlineStr">
        <is>
          <t>KHÔNG ĐỀ XUẤT TĂNG</t>
        </is>
      </c>
      <c r="Q1126" s="17" t="inlineStr">
        <is>
          <t>Có</t>
        </is>
      </c>
      <c r="R1126" s="20" t="n"/>
      <c r="S1126" s="20" t="n"/>
      <c r="T1126" s="21" t="n"/>
      <c r="U1126" s="21" t="n"/>
      <c r="V1126" s="22">
        <f>IF(U1126="A",K1126,IF(U1126="B",L1126,IF(U1126="C",M1126,IF(N1126="A",K1126,IF(N1126="B",L1126,M1126)))))</f>
        <v/>
      </c>
      <c r="W1126" s="22">
        <f>IF(R1126="",O1126,MAX(V1126-R1126-N(S1126),0))</f>
        <v/>
      </c>
      <c r="X1126" s="20" t="n"/>
      <c r="Y1126" s="23">
        <f>IF(OR(X1126="",W1126=0),"",X1126/W1126-1)</f>
        <v/>
      </c>
      <c r="Z1126" s="24" t="n"/>
      <c r="AA1126" s="21" t="n"/>
      <c r="AB1126" s="25" t="n"/>
      <c r="AC1126" s="26">
        <f>IF(T1126="","Chưa quyết định",IF(OR(Z1126="",AA1126=""),"⚠ Thiếu lý do/người duyệt",IF(AND(X1126&lt;&gt;"",N(X1126)+N(R1126)+N(S1126)&gt;M1126*1.001,R1126&lt;&gt;""),"⚠ Vượt mục tiêu P90",IF(AND(Y1126&lt;&gt;"",ABS(N(Y1126))&gt;0.3),"⚠ Lệch &gt; 30% so với nhu cầu",IF(Q1126="Có","ℹ Kiểm tra ngoại suy KM","✓ Hợp lệ")))))</f>
        <v/>
      </c>
    </row>
    <row r="1127">
      <c r="A1127" s="16" t="n">
        <v>1123</v>
      </c>
      <c r="B1127" s="17" t="inlineStr">
        <is>
          <t>DEC-S12-HARDWARE</t>
        </is>
      </c>
      <c r="C1127" s="16" t="n">
        <v>12</v>
      </c>
      <c r="D1127" s="17" t="inlineStr">
        <is>
          <t>HARDWARE</t>
        </is>
      </c>
      <c r="E1127" s="17" t="inlineStr">
        <is>
          <t>HIGH</t>
        </is>
      </c>
      <c r="F1127" s="17" t="inlineStr">
        <is>
          <t>TRUNG BÌNH</t>
        </is>
      </c>
      <c r="G1127" s="18" t="inlineStr">
        <is>
          <t>RISK_HIGH · PROMO_EXTRAPOLATION</t>
        </is>
      </c>
      <c r="H1127" s="19" t="n">
        <v>1.983625501394272</v>
      </c>
      <c r="I1127" s="19" t="n">
        <v>15.61599746346474</v>
      </c>
      <c r="J1127" s="19" t="n">
        <v>90.25909281373023</v>
      </c>
      <c r="K1127" s="19" t="n">
        <v>15.61599746346474</v>
      </c>
      <c r="L1127" s="19" t="n">
        <v>62.26793205738067</v>
      </c>
      <c r="M1127" s="19" t="n">
        <v>90.25909281373023</v>
      </c>
      <c r="N1127" s="17" t="inlineStr">
        <is>
          <t>B</t>
        </is>
      </c>
      <c r="O1127" s="19" t="n">
        <v>49.77513408660888</v>
      </c>
      <c r="P1127" s="18" t="inlineStr">
        <is>
          <t>KHÔNG ĐỀ XUẤT TĂNG</t>
        </is>
      </c>
      <c r="Q1127" s="17" t="inlineStr">
        <is>
          <t>Có</t>
        </is>
      </c>
      <c r="R1127" s="20" t="n"/>
      <c r="S1127" s="20" t="n"/>
      <c r="T1127" s="21" t="n"/>
      <c r="U1127" s="21" t="n"/>
      <c r="V1127" s="22">
        <f>IF(U1127="A",K1127,IF(U1127="B",L1127,IF(U1127="C",M1127,IF(N1127="A",K1127,IF(N1127="B",L1127,M1127)))))</f>
        <v/>
      </c>
      <c r="W1127" s="22">
        <f>IF(R1127="",O1127,MAX(V1127-R1127-N(S1127),0))</f>
        <v/>
      </c>
      <c r="X1127" s="20" t="n"/>
      <c r="Y1127" s="23">
        <f>IF(OR(X1127="",W1127=0),"",X1127/W1127-1)</f>
        <v/>
      </c>
      <c r="Z1127" s="24" t="n"/>
      <c r="AA1127" s="21" t="n"/>
      <c r="AB1127" s="25" t="n"/>
      <c r="AC1127" s="26">
        <f>IF(T1127="","Chưa quyết định",IF(OR(Z1127="",AA1127=""),"⚠ Thiếu lý do/người duyệt",IF(AND(X1127&lt;&gt;"",N(X1127)+N(R1127)+N(S1127)&gt;M1127*1.001,R1127&lt;&gt;""),"⚠ Vượt mục tiêu P90",IF(AND(Y1127&lt;&gt;"",ABS(N(Y1127))&gt;0.3),"⚠ Lệch &gt; 30% so với nhu cầu",IF(Q1127="Có","ℹ Kiểm tra ngoại suy KM","✓ Hợp lệ")))))</f>
        <v/>
      </c>
    </row>
    <row r="1128">
      <c r="A1128" s="16" t="n">
        <v>1124</v>
      </c>
      <c r="B1128" s="17" t="inlineStr">
        <is>
          <t>DEC-S05-HARDWARE</t>
        </is>
      </c>
      <c r="C1128" s="16" t="n">
        <v>5</v>
      </c>
      <c r="D1128" s="17" t="inlineStr">
        <is>
          <t>HARDWARE</t>
        </is>
      </c>
      <c r="E1128" s="17" t="inlineStr">
        <is>
          <t>HIGH</t>
        </is>
      </c>
      <c r="F1128" s="17" t="inlineStr">
        <is>
          <t>TRUNG BÌNH</t>
        </is>
      </c>
      <c r="G1128" s="18" t="inlineStr">
        <is>
          <t>RISK_HIGH · PROMO_EXTRAPOLATION</t>
        </is>
      </c>
      <c r="H1128" s="19" t="n">
        <v>2.417977470159531</v>
      </c>
      <c r="I1128" s="19" t="n">
        <v>15.55992692708969</v>
      </c>
      <c r="J1128" s="19" t="n">
        <v>90.2030222773552</v>
      </c>
      <c r="K1128" s="19" t="n">
        <v>15.55992692708969</v>
      </c>
      <c r="L1128" s="19" t="n">
        <v>62.21186152100563</v>
      </c>
      <c r="M1128" s="19" t="n">
        <v>90.2030222773552</v>
      </c>
      <c r="N1128" s="17" t="inlineStr">
        <is>
          <t>B</t>
        </is>
      </c>
      <c r="O1128" s="19" t="n">
        <v>49.76391997933388</v>
      </c>
      <c r="P1128" s="18" t="inlineStr">
        <is>
          <t>KHÔNG ĐỀ XUẤT TĂNG</t>
        </is>
      </c>
      <c r="Q1128" s="17" t="inlineStr">
        <is>
          <t>Có</t>
        </is>
      </c>
      <c r="R1128" s="20" t="n"/>
      <c r="S1128" s="20" t="n"/>
      <c r="T1128" s="21" t="n"/>
      <c r="U1128" s="21" t="n"/>
      <c r="V1128" s="22">
        <f>IF(U1128="A",K1128,IF(U1128="B",L1128,IF(U1128="C",M1128,IF(N1128="A",K1128,IF(N1128="B",L1128,M1128)))))</f>
        <v/>
      </c>
      <c r="W1128" s="22">
        <f>IF(R1128="",O1128,MAX(V1128-R1128-N(S1128),0))</f>
        <v/>
      </c>
      <c r="X1128" s="20" t="n"/>
      <c r="Y1128" s="23">
        <f>IF(OR(X1128="",W1128=0),"",X1128/W1128-1)</f>
        <v/>
      </c>
      <c r="Z1128" s="24" t="n"/>
      <c r="AA1128" s="21" t="n"/>
      <c r="AB1128" s="25" t="n"/>
      <c r="AC1128" s="26">
        <f>IF(T1128="","Chưa quyết định",IF(OR(Z1128="",AA1128=""),"⚠ Thiếu lý do/người duyệt",IF(AND(X1128&lt;&gt;"",N(X1128)+N(R1128)+N(S1128)&gt;M1128*1.001,R1128&lt;&gt;""),"⚠ Vượt mục tiêu P90",IF(AND(Y1128&lt;&gt;"",ABS(N(Y1128))&gt;0.3),"⚠ Lệch &gt; 30% so với nhu cầu",IF(Q1128="Có","ℹ Kiểm tra ngoại suy KM","✓ Hợp lệ")))))</f>
        <v/>
      </c>
    </row>
    <row r="1129">
      <c r="A1129" s="16" t="n">
        <v>1125</v>
      </c>
      <c r="B1129" s="17" t="inlineStr">
        <is>
          <t>DEC-S14-LAWN_AND_GARDEN</t>
        </is>
      </c>
      <c r="C1129" s="16" t="n">
        <v>14</v>
      </c>
      <c r="D1129" s="17" t="inlineStr">
        <is>
          <t>LAWN AND GARDEN</t>
        </is>
      </c>
      <c r="E1129" s="17" t="inlineStr">
        <is>
          <t>HIGH</t>
        </is>
      </c>
      <c r="F1129" s="17" t="inlineStr">
        <is>
          <t>TRUNG BÌNH</t>
        </is>
      </c>
      <c r="G1129" s="18" t="inlineStr">
        <is>
          <t>RISK_HIGH · PROMO_EXTRAPOLATION</t>
        </is>
      </c>
      <c r="H1129" s="19" t="n">
        <v>2.724004411697388</v>
      </c>
      <c r="I1129" s="19" t="n">
        <v>15.39040721952915</v>
      </c>
      <c r="J1129" s="19" t="n">
        <v>90.03350256979465</v>
      </c>
      <c r="K1129" s="19" t="n">
        <v>15.39040721952915</v>
      </c>
      <c r="L1129" s="19" t="n">
        <v>62.04234181344508</v>
      </c>
      <c r="M1129" s="19" t="n">
        <v>90.03350256979465</v>
      </c>
      <c r="N1129" s="17" t="inlineStr">
        <is>
          <t>B</t>
        </is>
      </c>
      <c r="O1129" s="19" t="n">
        <v>49.73001603782176</v>
      </c>
      <c r="P1129" s="18" t="inlineStr">
        <is>
          <t>KHÔNG ĐỀ XUẤT TĂNG</t>
        </is>
      </c>
      <c r="Q1129" s="17" t="inlineStr">
        <is>
          <t>Có</t>
        </is>
      </c>
      <c r="R1129" s="20" t="n"/>
      <c r="S1129" s="20" t="n"/>
      <c r="T1129" s="21" t="n"/>
      <c r="U1129" s="21" t="n"/>
      <c r="V1129" s="22">
        <f>IF(U1129="A",K1129,IF(U1129="B",L1129,IF(U1129="C",M1129,IF(N1129="A",K1129,IF(N1129="B",L1129,M1129)))))</f>
        <v/>
      </c>
      <c r="W1129" s="22">
        <f>IF(R1129="",O1129,MAX(V1129-R1129-N(S1129),0))</f>
        <v/>
      </c>
      <c r="X1129" s="20" t="n"/>
      <c r="Y1129" s="23">
        <f>IF(OR(X1129="",W1129=0),"",X1129/W1129-1)</f>
        <v/>
      </c>
      <c r="Z1129" s="24" t="n"/>
      <c r="AA1129" s="21" t="n"/>
      <c r="AB1129" s="25" t="n"/>
      <c r="AC1129" s="26">
        <f>IF(T1129="","Chưa quyết định",IF(OR(Z1129="",AA1129=""),"⚠ Thiếu lý do/người duyệt",IF(AND(X1129&lt;&gt;"",N(X1129)+N(R1129)+N(S1129)&gt;M1129*1.001,R1129&lt;&gt;""),"⚠ Vượt mục tiêu P90",IF(AND(Y1129&lt;&gt;"",ABS(N(Y1129))&gt;0.3),"⚠ Lệch &gt; 30% so với nhu cầu",IF(Q1129="Có","ℹ Kiểm tra ngoại suy KM","✓ Hợp lệ")))))</f>
        <v/>
      </c>
    </row>
    <row r="1130">
      <c r="A1130" s="16" t="n">
        <v>1126</v>
      </c>
      <c r="B1130" s="17" t="inlineStr">
        <is>
          <t>DEC-S16-HARDWARE</t>
        </is>
      </c>
      <c r="C1130" s="16" t="n">
        <v>16</v>
      </c>
      <c r="D1130" s="17" t="inlineStr">
        <is>
          <t>HARDWARE</t>
        </is>
      </c>
      <c r="E1130" s="17" t="inlineStr">
        <is>
          <t>HIGH</t>
        </is>
      </c>
      <c r="F1130" s="17" t="inlineStr">
        <is>
          <t>TRUNG BÌNH</t>
        </is>
      </c>
      <c r="G1130" s="18" t="inlineStr">
        <is>
          <t>RISK_HIGH · PROMO_EXTRAPOLATION</t>
        </is>
      </c>
      <c r="H1130" s="19" t="n">
        <v>2.544463509321213</v>
      </c>
      <c r="I1130" s="19" t="n">
        <v>15.19149416685104</v>
      </c>
      <c r="J1130" s="19" t="n">
        <v>89.83458951711654</v>
      </c>
      <c r="K1130" s="19" t="n">
        <v>15.19149416685104</v>
      </c>
      <c r="L1130" s="19" t="n">
        <v>61.84342876076698</v>
      </c>
      <c r="M1130" s="19" t="n">
        <v>89.83458951711654</v>
      </c>
      <c r="N1130" s="17" t="inlineStr">
        <is>
          <t>B</t>
        </is>
      </c>
      <c r="O1130" s="19" t="n">
        <v>49.69023342728614</v>
      </c>
      <c r="P1130" s="18" t="inlineStr">
        <is>
          <t>KHÔNG ĐỀ XUẤT TĂNG</t>
        </is>
      </c>
      <c r="Q1130" s="17" t="inlineStr">
        <is>
          <t>Có</t>
        </is>
      </c>
      <c r="R1130" s="20" t="n"/>
      <c r="S1130" s="20" t="n"/>
      <c r="T1130" s="21" t="n"/>
      <c r="U1130" s="21" t="n"/>
      <c r="V1130" s="22">
        <f>IF(U1130="A",K1130,IF(U1130="B",L1130,IF(U1130="C",M1130,IF(N1130="A",K1130,IF(N1130="B",L1130,M1130)))))</f>
        <v/>
      </c>
      <c r="W1130" s="22">
        <f>IF(R1130="",O1130,MAX(V1130-R1130-N(S1130),0))</f>
        <v/>
      </c>
      <c r="X1130" s="20" t="n"/>
      <c r="Y1130" s="23">
        <f>IF(OR(X1130="",W1130=0),"",X1130/W1130-1)</f>
        <v/>
      </c>
      <c r="Z1130" s="24" t="n"/>
      <c r="AA1130" s="21" t="n"/>
      <c r="AB1130" s="25" t="n"/>
      <c r="AC1130" s="26">
        <f>IF(T1130="","Chưa quyết định",IF(OR(Z1130="",AA1130=""),"⚠ Thiếu lý do/người duyệt",IF(AND(X1130&lt;&gt;"",N(X1130)+N(R1130)+N(S1130)&gt;M1130*1.001,R1130&lt;&gt;""),"⚠ Vượt mục tiêu P90",IF(AND(Y1130&lt;&gt;"",ABS(N(Y1130))&gt;0.3),"⚠ Lệch &gt; 30% so với nhu cầu",IF(Q1130="Có","ℹ Kiểm tra ngoại suy KM","✓ Hợp lệ")))))</f>
        <v/>
      </c>
    </row>
    <row r="1131">
      <c r="A1131" s="16" t="n">
        <v>1127</v>
      </c>
      <c r="B1131" s="17" t="inlineStr">
        <is>
          <t>DEC-S15-HOME_APPLIANCES</t>
        </is>
      </c>
      <c r="C1131" s="16" t="n">
        <v>15</v>
      </c>
      <c r="D1131" s="17" t="inlineStr">
        <is>
          <t>HOME APPLIANCES</t>
        </is>
      </c>
      <c r="E1131" s="17" t="inlineStr">
        <is>
          <t>HIGH</t>
        </is>
      </c>
      <c r="F1131" s="17" t="inlineStr">
        <is>
          <t>TRUNG BÌNH</t>
        </is>
      </c>
      <c r="G1131" s="18" t="inlineStr">
        <is>
          <t>RISK_HIGH · PROMO_EXTRAPOLATION</t>
        </is>
      </c>
      <c r="H1131" s="19" t="n">
        <v>1.234519022703171</v>
      </c>
      <c r="I1131" s="19" t="n">
        <v>14.89682313799858</v>
      </c>
      <c r="J1131" s="19" t="n">
        <v>91.66900417208672</v>
      </c>
      <c r="K1131" s="19" t="n">
        <v>14.89682313799858</v>
      </c>
      <c r="L1131" s="19" t="n">
        <v>62.87943628430367</v>
      </c>
      <c r="M1131" s="19" t="n">
        <v>91.66900417208672</v>
      </c>
      <c r="N1131" s="17" t="inlineStr">
        <is>
          <t>B</t>
        </is>
      </c>
      <c r="O1131" s="19" t="n">
        <v>50.9619777739048</v>
      </c>
      <c r="P1131" s="18" t="inlineStr">
        <is>
          <t>KHÔNG ĐỀ XUẤT TĂNG</t>
        </is>
      </c>
      <c r="Q1131" s="17" t="inlineStr">
        <is>
          <t>Có</t>
        </is>
      </c>
      <c r="R1131" s="20" t="n"/>
      <c r="S1131" s="20" t="n"/>
      <c r="T1131" s="21" t="n"/>
      <c r="U1131" s="21" t="n"/>
      <c r="V1131" s="22">
        <f>IF(U1131="A",K1131,IF(U1131="B",L1131,IF(U1131="C",M1131,IF(N1131="A",K1131,IF(N1131="B",L1131,M1131)))))</f>
        <v/>
      </c>
      <c r="W1131" s="22">
        <f>IF(R1131="",O1131,MAX(V1131-R1131-N(S1131),0))</f>
        <v/>
      </c>
      <c r="X1131" s="20" t="n"/>
      <c r="Y1131" s="23">
        <f>IF(OR(X1131="",W1131=0),"",X1131/W1131-1)</f>
        <v/>
      </c>
      <c r="Z1131" s="24" t="n"/>
      <c r="AA1131" s="21" t="n"/>
      <c r="AB1131" s="25" t="n"/>
      <c r="AC1131" s="26">
        <f>IF(T1131="","Chưa quyết định",IF(OR(Z1131="",AA1131=""),"⚠ Thiếu lý do/người duyệt",IF(AND(X1131&lt;&gt;"",N(X1131)+N(R1131)+N(S1131)&gt;M1131*1.001,R1131&lt;&gt;""),"⚠ Vượt mục tiêu P90",IF(AND(Y1131&lt;&gt;"",ABS(N(Y1131))&gt;0.3),"⚠ Lệch &gt; 30% so với nhu cầu",IF(Q1131="Có","ℹ Kiểm tra ngoại suy KM","✓ Hợp lệ")))))</f>
        <v/>
      </c>
    </row>
    <row r="1132">
      <c r="A1132" s="16" t="n">
        <v>1128</v>
      </c>
      <c r="B1132" s="17" t="inlineStr">
        <is>
          <t>DEC-S12-MAGAZINES</t>
        </is>
      </c>
      <c r="C1132" s="16" t="n">
        <v>12</v>
      </c>
      <c r="D1132" s="17" t="inlineStr">
        <is>
          <t>MAGAZINES</t>
        </is>
      </c>
      <c r="E1132" s="17" t="inlineStr">
        <is>
          <t>HIGH</t>
        </is>
      </c>
      <c r="F1132" s="17" t="inlineStr">
        <is>
          <t>TRUNG BÌNH</t>
        </is>
      </c>
      <c r="G1132" s="18" t="inlineStr">
        <is>
          <t>RISK_HIGH · PROMO_EXTRAPOLATION</t>
        </is>
      </c>
      <c r="H1132" s="19" t="n">
        <v>5.195187401771546</v>
      </c>
      <c r="I1132" s="19" t="n">
        <v>14.85458308458328</v>
      </c>
      <c r="J1132" s="19" t="n">
        <v>85.23950706720352</v>
      </c>
      <c r="K1132" s="19" t="n">
        <v>14.85458308458328</v>
      </c>
      <c r="L1132" s="19" t="n">
        <v>58.84516057372092</v>
      </c>
      <c r="M1132" s="19" t="n">
        <v>85.23950706720352</v>
      </c>
      <c r="N1132" s="17" t="inlineStr">
        <is>
          <t>B</t>
        </is>
      </c>
      <c r="O1132" s="19" t="n">
        <v>46.9614941060543</v>
      </c>
      <c r="P1132" s="18" t="inlineStr">
        <is>
          <t>KHÔNG ĐỀ XUẤT TĂNG</t>
        </is>
      </c>
      <c r="Q1132" s="17" t="inlineStr">
        <is>
          <t>Có</t>
        </is>
      </c>
      <c r="R1132" s="20" t="n"/>
      <c r="S1132" s="20" t="n"/>
      <c r="T1132" s="21" t="n"/>
      <c r="U1132" s="21" t="n"/>
      <c r="V1132" s="22">
        <f>IF(U1132="A",K1132,IF(U1132="B",L1132,IF(U1132="C",M1132,IF(N1132="A",K1132,IF(N1132="B",L1132,M1132)))))</f>
        <v/>
      </c>
      <c r="W1132" s="22">
        <f>IF(R1132="",O1132,MAX(V1132-R1132-N(S1132),0))</f>
        <v/>
      </c>
      <c r="X1132" s="20" t="n"/>
      <c r="Y1132" s="23">
        <f>IF(OR(X1132="",W1132=0),"",X1132/W1132-1)</f>
        <v/>
      </c>
      <c r="Z1132" s="24" t="n"/>
      <c r="AA1132" s="21" t="n"/>
      <c r="AB1132" s="25" t="n"/>
      <c r="AC1132" s="26">
        <f>IF(T1132="","Chưa quyết định",IF(OR(Z1132="",AA1132=""),"⚠ Thiếu lý do/người duyệt",IF(AND(X1132&lt;&gt;"",N(X1132)+N(R1132)+N(S1132)&gt;M1132*1.001,R1132&lt;&gt;""),"⚠ Vượt mục tiêu P90",IF(AND(Y1132&lt;&gt;"",ABS(N(Y1132))&gt;0.3),"⚠ Lệch &gt; 30% so với nhu cầu",IF(Q1132="Có","ℹ Kiểm tra ngoại suy KM","✓ Hợp lệ")))))</f>
        <v/>
      </c>
    </row>
    <row r="1133">
      <c r="A1133" s="16" t="n">
        <v>1129</v>
      </c>
      <c r="B1133" s="17" t="inlineStr">
        <is>
          <t>DEC-S35-MAGAZINES</t>
        </is>
      </c>
      <c r="C1133" s="16" t="n">
        <v>35</v>
      </c>
      <c r="D1133" s="17" t="inlineStr">
        <is>
          <t>MAGAZINES</t>
        </is>
      </c>
      <c r="E1133" s="17" t="inlineStr">
        <is>
          <t>HIGH</t>
        </is>
      </c>
      <c r="F1133" s="17" t="inlineStr">
        <is>
          <t>TRUNG BÌNH</t>
        </is>
      </c>
      <c r="G1133" s="18" t="inlineStr">
        <is>
          <t>RISK_HIGH · PROMO_EXTRAPOLATION</t>
        </is>
      </c>
      <c r="H1133" s="19" t="n">
        <v>1.997835743427277</v>
      </c>
      <c r="I1133" s="19" t="n">
        <v>14.70721380412579</v>
      </c>
      <c r="J1133" s="19" t="n">
        <v>89.35030915439128</v>
      </c>
      <c r="K1133" s="19" t="n">
        <v>14.70721380412579</v>
      </c>
      <c r="L1133" s="19" t="n">
        <v>61.35914839804172</v>
      </c>
      <c r="M1133" s="19" t="n">
        <v>89.35030915439128</v>
      </c>
      <c r="N1133" s="17" t="inlineStr">
        <is>
          <t>B</t>
        </is>
      </c>
      <c r="O1133" s="19" t="n">
        <v>49.59337735474109</v>
      </c>
      <c r="P1133" s="18" t="inlineStr">
        <is>
          <t>KHÔNG ĐỀ XUẤT TĂNG</t>
        </is>
      </c>
      <c r="Q1133" s="17" t="inlineStr">
        <is>
          <t>Có</t>
        </is>
      </c>
      <c r="R1133" s="20" t="n"/>
      <c r="S1133" s="20" t="n"/>
      <c r="T1133" s="21" t="n"/>
      <c r="U1133" s="21" t="n"/>
      <c r="V1133" s="22">
        <f>IF(U1133="A",K1133,IF(U1133="B",L1133,IF(U1133="C",M1133,IF(N1133="A",K1133,IF(N1133="B",L1133,M1133)))))</f>
        <v/>
      </c>
      <c r="W1133" s="22">
        <f>IF(R1133="",O1133,MAX(V1133-R1133-N(S1133),0))</f>
        <v/>
      </c>
      <c r="X1133" s="20" t="n"/>
      <c r="Y1133" s="23">
        <f>IF(OR(X1133="",W1133=0),"",X1133/W1133-1)</f>
        <v/>
      </c>
      <c r="Z1133" s="24" t="n"/>
      <c r="AA1133" s="21" t="n"/>
      <c r="AB1133" s="25" t="n"/>
      <c r="AC1133" s="26">
        <f>IF(T1133="","Chưa quyết định",IF(OR(Z1133="",AA1133=""),"⚠ Thiếu lý do/người duyệt",IF(AND(X1133&lt;&gt;"",N(X1133)+N(R1133)+N(S1133)&gt;M1133*1.001,R1133&lt;&gt;""),"⚠ Vượt mục tiêu P90",IF(AND(Y1133&lt;&gt;"",ABS(N(Y1133))&gt;0.3),"⚠ Lệch &gt; 30% so với nhu cầu",IF(Q1133="Có","ℹ Kiểm tra ngoại suy KM","✓ Hợp lệ")))))</f>
        <v/>
      </c>
    </row>
    <row r="1134">
      <c r="A1134" s="16" t="n">
        <v>1130</v>
      </c>
      <c r="B1134" s="17" t="inlineStr">
        <is>
          <t>DEC-S15-BOOKS</t>
        </is>
      </c>
      <c r="C1134" s="16" t="n">
        <v>15</v>
      </c>
      <c r="D1134" s="17" t="inlineStr">
        <is>
          <t>BOOKS</t>
        </is>
      </c>
      <c r="E1134" s="17" t="inlineStr">
        <is>
          <t>HIGH</t>
        </is>
      </c>
      <c r="F1134" s="17" t="inlineStr">
        <is>
          <t>TRUNG BÌNH</t>
        </is>
      </c>
      <c r="G1134" s="18" t="inlineStr">
        <is>
          <t>RISK_HIGH · PROMO_EXTRAPOLATION</t>
        </is>
      </c>
      <c r="H1134" s="19" t="n">
        <v>2.010856559872628</v>
      </c>
      <c r="I1134" s="19" t="n">
        <v>14.69648738205433</v>
      </c>
      <c r="J1134" s="19" t="n">
        <v>89.33958273231983</v>
      </c>
      <c r="K1134" s="19" t="n">
        <v>14.69648738205433</v>
      </c>
      <c r="L1134" s="19" t="n">
        <v>61.34842197597026</v>
      </c>
      <c r="M1134" s="19" t="n">
        <v>89.33958273231983</v>
      </c>
      <c r="N1134" s="17" t="inlineStr">
        <is>
          <t>B</t>
        </is>
      </c>
      <c r="O1134" s="19" t="n">
        <v>49.5912320703268</v>
      </c>
      <c r="P1134" s="18" t="inlineStr">
        <is>
          <t>KHÔNG ĐỀ XUẤT TĂNG</t>
        </is>
      </c>
      <c r="Q1134" s="17" t="inlineStr">
        <is>
          <t>Có</t>
        </is>
      </c>
      <c r="R1134" s="20" t="n"/>
      <c r="S1134" s="20" t="n"/>
      <c r="T1134" s="21" t="n"/>
      <c r="U1134" s="21" t="n"/>
      <c r="V1134" s="22">
        <f>IF(U1134="A",K1134,IF(U1134="B",L1134,IF(U1134="C",M1134,IF(N1134="A",K1134,IF(N1134="B",L1134,M1134)))))</f>
        <v/>
      </c>
      <c r="W1134" s="22">
        <f>IF(R1134="",O1134,MAX(V1134-R1134-N(S1134),0))</f>
        <v/>
      </c>
      <c r="X1134" s="20" t="n"/>
      <c r="Y1134" s="23">
        <f>IF(OR(X1134="",W1134=0),"",X1134/W1134-1)</f>
        <v/>
      </c>
      <c r="Z1134" s="24" t="n"/>
      <c r="AA1134" s="21" t="n"/>
      <c r="AB1134" s="25" t="n"/>
      <c r="AC1134" s="26">
        <f>IF(T1134="","Chưa quyết định",IF(OR(Z1134="",AA1134=""),"⚠ Thiếu lý do/người duyệt",IF(AND(X1134&lt;&gt;"",N(X1134)+N(R1134)+N(S1134)&gt;M1134*1.001,R1134&lt;&gt;""),"⚠ Vượt mục tiêu P90",IF(AND(Y1134&lt;&gt;"",ABS(N(Y1134))&gt;0.3),"⚠ Lệch &gt; 30% so với nhu cầu",IF(Q1134="Có","ℹ Kiểm tra ngoại suy KM","✓ Hợp lệ")))))</f>
        <v/>
      </c>
    </row>
    <row r="1135">
      <c r="A1135" s="16" t="n">
        <v>1131</v>
      </c>
      <c r="B1135" s="17" t="inlineStr">
        <is>
          <t>DEC-S54-HOME_APPLIANCES</t>
        </is>
      </c>
      <c r="C1135" s="16" t="n">
        <v>54</v>
      </c>
      <c r="D1135" s="17" t="inlineStr">
        <is>
          <t>HOME APPLIANCES</t>
        </is>
      </c>
      <c r="E1135" s="17" t="inlineStr">
        <is>
          <t>HIGH</t>
        </is>
      </c>
      <c r="F1135" s="17" t="inlineStr">
        <is>
          <t>TRUNG BÌNH</t>
        </is>
      </c>
      <c r="G1135" s="18" t="inlineStr">
        <is>
          <t>RISK_HIGH · PROMO_EXTRAPOLATION</t>
        </is>
      </c>
      <c r="H1135" s="19" t="n">
        <v>0.5142737448215485</v>
      </c>
      <c r="I1135" s="19" t="n">
        <v>14.58547826856375</v>
      </c>
      <c r="J1135" s="19" t="n">
        <v>91.35765930265188</v>
      </c>
      <c r="K1135" s="19" t="n">
        <v>14.58547826856375</v>
      </c>
      <c r="L1135" s="19" t="n">
        <v>62.56809141486883</v>
      </c>
      <c r="M1135" s="19" t="n">
        <v>91.35765930265188</v>
      </c>
      <c r="N1135" s="17" t="inlineStr">
        <is>
          <t>B</t>
        </is>
      </c>
      <c r="O1135" s="19" t="n">
        <v>50.89970880001784</v>
      </c>
      <c r="P1135" s="18" t="inlineStr">
        <is>
          <t>KHÔNG ĐỀ XUẤT TĂNG</t>
        </is>
      </c>
      <c r="Q1135" s="17" t="inlineStr">
        <is>
          <t>Có</t>
        </is>
      </c>
      <c r="R1135" s="20" t="n"/>
      <c r="S1135" s="20" t="n"/>
      <c r="T1135" s="21" t="n"/>
      <c r="U1135" s="21" t="n"/>
      <c r="V1135" s="22">
        <f>IF(U1135="A",K1135,IF(U1135="B",L1135,IF(U1135="C",M1135,IF(N1135="A",K1135,IF(N1135="B",L1135,M1135)))))</f>
        <v/>
      </c>
      <c r="W1135" s="22">
        <f>IF(R1135="",O1135,MAX(V1135-R1135-N(S1135),0))</f>
        <v/>
      </c>
      <c r="X1135" s="20" t="n"/>
      <c r="Y1135" s="23">
        <f>IF(OR(X1135="",W1135=0),"",X1135/W1135-1)</f>
        <v/>
      </c>
      <c r="Z1135" s="24" t="n"/>
      <c r="AA1135" s="21" t="n"/>
      <c r="AB1135" s="25" t="n"/>
      <c r="AC1135" s="26">
        <f>IF(T1135="","Chưa quyết định",IF(OR(Z1135="",AA1135=""),"⚠ Thiếu lý do/người duyệt",IF(AND(X1135&lt;&gt;"",N(X1135)+N(R1135)+N(S1135)&gt;M1135*1.001,R1135&lt;&gt;""),"⚠ Vượt mục tiêu P90",IF(AND(Y1135&lt;&gt;"",ABS(N(Y1135))&gt;0.3),"⚠ Lệch &gt; 30% so với nhu cầu",IF(Q1135="Có","ℹ Kiểm tra ngoại suy KM","✓ Hợp lệ")))))</f>
        <v/>
      </c>
    </row>
    <row r="1136">
      <c r="A1136" s="16" t="n">
        <v>1132</v>
      </c>
      <c r="B1136" s="17" t="inlineStr">
        <is>
          <t>DEC-S26-LADIESWEAR</t>
        </is>
      </c>
      <c r="C1136" s="16" t="n">
        <v>26</v>
      </c>
      <c r="D1136" s="17" t="inlineStr">
        <is>
          <t>LADIESWEAR</t>
        </is>
      </c>
      <c r="E1136" s="17" t="inlineStr">
        <is>
          <t>HIGH</t>
        </is>
      </c>
      <c r="F1136" s="17" t="inlineStr">
        <is>
          <t>TRUNG BÌNH</t>
        </is>
      </c>
      <c r="G1136" s="18" t="inlineStr">
        <is>
          <t>RISK_HIGH · PROMO_EXTRAPOLATION</t>
        </is>
      </c>
      <c r="H1136" s="19" t="n">
        <v>1.774280059337616</v>
      </c>
      <c r="I1136" s="19" t="n">
        <v>14.3550819195807</v>
      </c>
      <c r="J1136" s="19" t="n">
        <v>88.9981772698462</v>
      </c>
      <c r="K1136" s="19" t="n">
        <v>14.3550819195807</v>
      </c>
      <c r="L1136" s="19" t="n">
        <v>61.00701651349663</v>
      </c>
      <c r="M1136" s="19" t="n">
        <v>88.9981772698462</v>
      </c>
      <c r="N1136" s="17" t="inlineStr">
        <is>
          <t>B</t>
        </is>
      </c>
      <c r="O1136" s="19" t="n">
        <v>49.52295097783207</v>
      </c>
      <c r="P1136" s="18" t="inlineStr">
        <is>
          <t>KHÔNG ĐỀ XUẤT TĂNG</t>
        </is>
      </c>
      <c r="Q1136" s="17" t="inlineStr">
        <is>
          <t>Có</t>
        </is>
      </c>
      <c r="R1136" s="20" t="n"/>
      <c r="S1136" s="20" t="n"/>
      <c r="T1136" s="21" t="n"/>
      <c r="U1136" s="21" t="n"/>
      <c r="V1136" s="22">
        <f>IF(U1136="A",K1136,IF(U1136="B",L1136,IF(U1136="C",M1136,IF(N1136="A",K1136,IF(N1136="B",L1136,M1136)))))</f>
        <v/>
      </c>
      <c r="W1136" s="22">
        <f>IF(R1136="",O1136,MAX(V1136-R1136-N(S1136),0))</f>
        <v/>
      </c>
      <c r="X1136" s="20" t="n"/>
      <c r="Y1136" s="23">
        <f>IF(OR(X1136="",W1136=0),"",X1136/W1136-1)</f>
        <v/>
      </c>
      <c r="Z1136" s="24" t="n"/>
      <c r="AA1136" s="21" t="n"/>
      <c r="AB1136" s="25" t="n"/>
      <c r="AC1136" s="26">
        <f>IF(T1136="","Chưa quyết định",IF(OR(Z1136="",AA1136=""),"⚠ Thiếu lý do/người duyệt",IF(AND(X1136&lt;&gt;"",N(X1136)+N(R1136)+N(S1136)&gt;M1136*1.001,R1136&lt;&gt;""),"⚠ Vượt mục tiêu P90",IF(AND(Y1136&lt;&gt;"",ABS(N(Y1136))&gt;0.3),"⚠ Lệch &gt; 30% so với nhu cầu",IF(Q1136="Có","ℹ Kiểm tra ngoại suy KM","✓ Hợp lệ")))))</f>
        <v/>
      </c>
    </row>
    <row r="1137">
      <c r="A1137" s="16" t="n">
        <v>1133</v>
      </c>
      <c r="B1137" s="17" t="inlineStr">
        <is>
          <t>DEC-S54-BABY_CARE</t>
        </is>
      </c>
      <c r="C1137" s="16" t="n">
        <v>54</v>
      </c>
      <c r="D1137" s="17" t="inlineStr">
        <is>
          <t>BABY CARE</t>
        </is>
      </c>
      <c r="E1137" s="17" t="inlineStr">
        <is>
          <t>HIGH</t>
        </is>
      </c>
      <c r="F1137" s="17" t="inlineStr">
        <is>
          <t>TRUNG BÌNH</t>
        </is>
      </c>
      <c r="G1137" s="18" t="inlineStr">
        <is>
          <t>RISK_HIGH · PROMO_EXTRAPOLATION</t>
        </is>
      </c>
      <c r="H1137" s="19" t="n">
        <v>1.195153176784516</v>
      </c>
      <c r="I1137" s="19" t="n">
        <v>14.33226425200701</v>
      </c>
      <c r="J1137" s="19" t="n">
        <v>88.9753596022725</v>
      </c>
      <c r="K1137" s="19" t="n">
        <v>14.33226425200701</v>
      </c>
      <c r="L1137" s="19" t="n">
        <v>60.98419884592294</v>
      </c>
      <c r="M1137" s="19" t="n">
        <v>88.9753596022725</v>
      </c>
      <c r="N1137" s="17" t="inlineStr">
        <is>
          <t>B</t>
        </is>
      </c>
      <c r="O1137" s="19" t="n">
        <v>49.51838744431733</v>
      </c>
      <c r="P1137" s="18" t="inlineStr">
        <is>
          <t>KHÔNG ĐỀ XUẤT TĂNG</t>
        </is>
      </c>
      <c r="Q1137" s="17" t="inlineStr">
        <is>
          <t>Có</t>
        </is>
      </c>
      <c r="R1137" s="20" t="n"/>
      <c r="S1137" s="20" t="n"/>
      <c r="T1137" s="21" t="n"/>
      <c r="U1137" s="21" t="n"/>
      <c r="V1137" s="22">
        <f>IF(U1137="A",K1137,IF(U1137="B",L1137,IF(U1137="C",M1137,IF(N1137="A",K1137,IF(N1137="B",L1137,M1137)))))</f>
        <v/>
      </c>
      <c r="W1137" s="22">
        <f>IF(R1137="",O1137,MAX(V1137-R1137-N(S1137),0))</f>
        <v/>
      </c>
      <c r="X1137" s="20" t="n"/>
      <c r="Y1137" s="23">
        <f>IF(OR(X1137="",W1137=0),"",X1137/W1137-1)</f>
        <v/>
      </c>
      <c r="Z1137" s="24" t="n"/>
      <c r="AA1137" s="21" t="n"/>
      <c r="AB1137" s="25" t="n"/>
      <c r="AC1137" s="26">
        <f>IF(T1137="","Chưa quyết định",IF(OR(Z1137="",AA1137=""),"⚠ Thiếu lý do/người duyệt",IF(AND(X1137&lt;&gt;"",N(X1137)+N(R1137)+N(S1137)&gt;M1137*1.001,R1137&lt;&gt;""),"⚠ Vượt mục tiêu P90",IF(AND(Y1137&lt;&gt;"",ABS(N(Y1137))&gt;0.3),"⚠ Lệch &gt; 30% so với nhu cầu",IF(Q1137="Có","ℹ Kiểm tra ngoại suy KM","✓ Hợp lệ")))))</f>
        <v/>
      </c>
    </row>
    <row r="1138">
      <c r="A1138" s="16" t="n">
        <v>1134</v>
      </c>
      <c r="B1138" s="17" t="inlineStr">
        <is>
          <t>DEC-S54-BOOKS</t>
        </is>
      </c>
      <c r="C1138" s="16" t="n">
        <v>54</v>
      </c>
      <c r="D1138" s="17" t="inlineStr">
        <is>
          <t>BOOKS</t>
        </is>
      </c>
      <c r="E1138" s="17" t="inlineStr">
        <is>
          <t>HIGH</t>
        </is>
      </c>
      <c r="F1138" s="17" t="inlineStr">
        <is>
          <t>TRUNG BÌNH</t>
        </is>
      </c>
      <c r="G1138" s="18" t="inlineStr">
        <is>
          <t>RISK_HIGH · PROMO_EXTRAPOLATION</t>
        </is>
      </c>
      <c r="H1138" s="19" t="n">
        <v>1.195153176784516</v>
      </c>
      <c r="I1138" s="19" t="n">
        <v>14.33226425200701</v>
      </c>
      <c r="J1138" s="19" t="n">
        <v>88.9753596022725</v>
      </c>
      <c r="K1138" s="19" t="n">
        <v>14.33226425200701</v>
      </c>
      <c r="L1138" s="19" t="n">
        <v>60.98419884592294</v>
      </c>
      <c r="M1138" s="19" t="n">
        <v>88.9753596022725</v>
      </c>
      <c r="N1138" s="17" t="inlineStr">
        <is>
          <t>B</t>
        </is>
      </c>
      <c r="O1138" s="19" t="n">
        <v>49.51838744431733</v>
      </c>
      <c r="P1138" s="18" t="inlineStr">
        <is>
          <t>KHÔNG ĐỀ XUẤT TĂNG</t>
        </is>
      </c>
      <c r="Q1138" s="17" t="inlineStr">
        <is>
          <t>Có</t>
        </is>
      </c>
      <c r="R1138" s="20" t="n"/>
      <c r="S1138" s="20" t="n"/>
      <c r="T1138" s="21" t="n"/>
      <c r="U1138" s="21" t="n"/>
      <c r="V1138" s="22">
        <f>IF(U1138="A",K1138,IF(U1138="B",L1138,IF(U1138="C",M1138,IF(N1138="A",K1138,IF(N1138="B",L1138,M1138)))))</f>
        <v/>
      </c>
      <c r="W1138" s="22">
        <f>IF(R1138="",O1138,MAX(V1138-R1138-N(S1138),0))</f>
        <v/>
      </c>
      <c r="X1138" s="20" t="n"/>
      <c r="Y1138" s="23">
        <f>IF(OR(X1138="",W1138=0),"",X1138/W1138-1)</f>
        <v/>
      </c>
      <c r="Z1138" s="24" t="n"/>
      <c r="AA1138" s="21" t="n"/>
      <c r="AB1138" s="25" t="n"/>
      <c r="AC1138" s="26">
        <f>IF(T1138="","Chưa quyết định",IF(OR(Z1138="",AA1138=""),"⚠ Thiếu lý do/người duyệt",IF(AND(X1138&lt;&gt;"",N(X1138)+N(R1138)+N(S1138)&gt;M1138*1.001,R1138&lt;&gt;""),"⚠ Vượt mục tiêu P90",IF(AND(Y1138&lt;&gt;"",ABS(N(Y1138))&gt;0.3),"⚠ Lệch &gt; 30% so với nhu cầu",IF(Q1138="Có","ℹ Kiểm tra ngoại suy KM","✓ Hợp lệ")))))</f>
        <v/>
      </c>
    </row>
    <row r="1139">
      <c r="A1139" s="16" t="n">
        <v>1135</v>
      </c>
      <c r="B1139" s="17" t="inlineStr">
        <is>
          <t>DEC-S33-HOME_APPLIANCES</t>
        </is>
      </c>
      <c r="C1139" s="16" t="n">
        <v>33</v>
      </c>
      <c r="D1139" s="17" t="inlineStr">
        <is>
          <t>HOME APPLIANCES</t>
        </is>
      </c>
      <c r="E1139" s="17" t="inlineStr">
        <is>
          <t>HIGH</t>
        </is>
      </c>
      <c r="F1139" s="17" t="inlineStr">
        <is>
          <t>TRUNG BÌNH</t>
        </is>
      </c>
      <c r="G1139" s="18" t="inlineStr">
        <is>
          <t>RISK_HIGH · PROMO_EXTRAPOLATION</t>
        </is>
      </c>
      <c r="H1139" s="19" t="n">
        <v>3.363456726074219</v>
      </c>
      <c r="I1139" s="19" t="n">
        <v>14.32167651504278</v>
      </c>
      <c r="J1139" s="19" t="n">
        <v>86.83568618148566</v>
      </c>
      <c r="K1139" s="19" t="n">
        <v>14.32167651504278</v>
      </c>
      <c r="L1139" s="19" t="n">
        <v>59.64293255656958</v>
      </c>
      <c r="M1139" s="19" t="n">
        <v>86.83568618148566</v>
      </c>
      <c r="N1139" s="17" t="inlineStr">
        <is>
          <t>B</t>
        </is>
      </c>
      <c r="O1139" s="19" t="n">
        <v>48.18559134453536</v>
      </c>
      <c r="P1139" s="18" t="inlineStr">
        <is>
          <t>KHÔNG ĐỀ XUẤT TĂNG</t>
        </is>
      </c>
      <c r="Q1139" s="17" t="inlineStr">
        <is>
          <t>Có</t>
        </is>
      </c>
      <c r="R1139" s="20" t="n"/>
      <c r="S1139" s="20" t="n"/>
      <c r="T1139" s="21" t="n"/>
      <c r="U1139" s="21" t="n"/>
      <c r="V1139" s="22">
        <f>IF(U1139="A",K1139,IF(U1139="B",L1139,IF(U1139="C",M1139,IF(N1139="A",K1139,IF(N1139="B",L1139,M1139)))))</f>
        <v/>
      </c>
      <c r="W1139" s="22">
        <f>IF(R1139="",O1139,MAX(V1139-R1139-N(S1139),0))</f>
        <v/>
      </c>
      <c r="X1139" s="20" t="n"/>
      <c r="Y1139" s="23">
        <f>IF(OR(X1139="",W1139=0),"",X1139/W1139-1)</f>
        <v/>
      </c>
      <c r="Z1139" s="24" t="n"/>
      <c r="AA1139" s="21" t="n"/>
      <c r="AB1139" s="25" t="n"/>
      <c r="AC1139" s="26">
        <f>IF(T1139="","Chưa quyết định",IF(OR(Z1139="",AA1139=""),"⚠ Thiếu lý do/người duyệt",IF(AND(X1139&lt;&gt;"",N(X1139)+N(R1139)+N(S1139)&gt;M1139*1.001,R1139&lt;&gt;""),"⚠ Vượt mục tiêu P90",IF(AND(Y1139&lt;&gt;"",ABS(N(Y1139))&gt;0.3),"⚠ Lệch &gt; 30% so với nhu cầu",IF(Q1139="Có","ℹ Kiểm tra ngoại suy KM","✓ Hợp lệ")))))</f>
        <v/>
      </c>
    </row>
    <row r="1140">
      <c r="A1140" s="16" t="n">
        <v>1136</v>
      </c>
      <c r="B1140" s="17" t="inlineStr">
        <is>
          <t>DEC-S10-AUTOMOTIVE</t>
        </is>
      </c>
      <c r="C1140" s="16" t="n">
        <v>10</v>
      </c>
      <c r="D1140" s="17" t="inlineStr">
        <is>
          <t>AUTOMOTIVE</t>
        </is>
      </c>
      <c r="E1140" s="17" t="inlineStr">
        <is>
          <t>HIGH</t>
        </is>
      </c>
      <c r="F1140" s="17" t="inlineStr">
        <is>
          <t>TRUNG BÌNH</t>
        </is>
      </c>
      <c r="G1140" s="18" t="inlineStr">
        <is>
          <t>RISK_HIGH · PROMO_EXTRAPOLATION</t>
        </is>
      </c>
      <c r="H1140" s="19" t="n">
        <v>3.238555616140366</v>
      </c>
      <c r="I1140" s="19" t="n">
        <v>14.18480901420116</v>
      </c>
      <c r="J1140" s="19" t="n">
        <v>86.69881868064404</v>
      </c>
      <c r="K1140" s="19" t="n">
        <v>14.18480901420116</v>
      </c>
      <c r="L1140" s="19" t="n">
        <v>59.50606505572796</v>
      </c>
      <c r="M1140" s="19" t="n">
        <v>86.69881868064404</v>
      </c>
      <c r="N1140" s="17" t="inlineStr">
        <is>
          <t>B</t>
        </is>
      </c>
      <c r="O1140" s="19" t="n">
        <v>48.15821784436703</v>
      </c>
      <c r="P1140" s="18" t="inlineStr">
        <is>
          <t>KHÔNG ĐỀ XUẤT TĂNG</t>
        </is>
      </c>
      <c r="Q1140" s="17" t="inlineStr">
        <is>
          <t>Có</t>
        </is>
      </c>
      <c r="R1140" s="20" t="n"/>
      <c r="S1140" s="20" t="n"/>
      <c r="T1140" s="21" t="n"/>
      <c r="U1140" s="21" t="n"/>
      <c r="V1140" s="22">
        <f>IF(U1140="A",K1140,IF(U1140="B",L1140,IF(U1140="C",M1140,IF(N1140="A",K1140,IF(N1140="B",L1140,M1140)))))</f>
        <v/>
      </c>
      <c r="W1140" s="22">
        <f>IF(R1140="",O1140,MAX(V1140-R1140-N(S1140),0))</f>
        <v/>
      </c>
      <c r="X1140" s="20" t="n"/>
      <c r="Y1140" s="23">
        <f>IF(OR(X1140="",W1140=0),"",X1140/W1140-1)</f>
        <v/>
      </c>
      <c r="Z1140" s="24" t="n"/>
      <c r="AA1140" s="21" t="n"/>
      <c r="AB1140" s="25" t="n"/>
      <c r="AC1140" s="26">
        <f>IF(T1140="","Chưa quyết định",IF(OR(Z1140="",AA1140=""),"⚠ Thiếu lý do/người duyệt",IF(AND(X1140&lt;&gt;"",N(X1140)+N(R1140)+N(S1140)&gt;M1140*1.001,R1140&lt;&gt;""),"⚠ Vượt mục tiêu P90",IF(AND(Y1140&lt;&gt;"",ABS(N(Y1140))&gt;0.3),"⚠ Lệch &gt; 30% so với nhu cầu",IF(Q1140="Có","ℹ Kiểm tra ngoại suy KM","✓ Hợp lệ")))))</f>
        <v/>
      </c>
    </row>
    <row r="1141">
      <c r="A1141" s="16" t="n">
        <v>1137</v>
      </c>
      <c r="B1141" s="17" t="inlineStr">
        <is>
          <t>DEC-S05-HOME_APPLIANCES</t>
        </is>
      </c>
      <c r="C1141" s="16" t="n">
        <v>5</v>
      </c>
      <c r="D1141" s="17" t="inlineStr">
        <is>
          <t>HOME APPLIANCES</t>
        </is>
      </c>
      <c r="E1141" s="17" t="inlineStr">
        <is>
          <t>HIGH</t>
        </is>
      </c>
      <c r="F1141" s="17" t="inlineStr">
        <is>
          <t>TRUNG BÌNH</t>
        </is>
      </c>
      <c r="G1141" s="18" t="inlineStr">
        <is>
          <t>RISK_HIGH · PROMO_EXTRAPOLATION</t>
        </is>
      </c>
      <c r="H1141" s="19" t="n">
        <v>2.449152141809464</v>
      </c>
      <c r="I1141" s="19" t="n">
        <v>14.15545581653714</v>
      </c>
      <c r="J1141" s="19" t="n">
        <v>86.66946548298002</v>
      </c>
      <c r="K1141" s="19" t="n">
        <v>14.15545581653714</v>
      </c>
      <c r="L1141" s="19" t="n">
        <v>59.47671185806394</v>
      </c>
      <c r="M1141" s="19" t="n">
        <v>86.66946548298002</v>
      </c>
      <c r="N1141" s="17" t="inlineStr">
        <is>
          <t>B</t>
        </is>
      </c>
      <c r="O1141" s="19" t="n">
        <v>48.15234720483422</v>
      </c>
      <c r="P1141" s="18" t="inlineStr">
        <is>
          <t>KHÔNG ĐỀ XUẤT TĂNG</t>
        </is>
      </c>
      <c r="Q1141" s="17" t="inlineStr">
        <is>
          <t>Có</t>
        </is>
      </c>
      <c r="R1141" s="20" t="n"/>
      <c r="S1141" s="20" t="n"/>
      <c r="T1141" s="21" t="n"/>
      <c r="U1141" s="21" t="n"/>
      <c r="V1141" s="22">
        <f>IF(U1141="A",K1141,IF(U1141="B",L1141,IF(U1141="C",M1141,IF(N1141="A",K1141,IF(N1141="B",L1141,M1141)))))</f>
        <v/>
      </c>
      <c r="W1141" s="22">
        <f>IF(R1141="",O1141,MAX(V1141-R1141-N(S1141),0))</f>
        <v/>
      </c>
      <c r="X1141" s="20" t="n"/>
      <c r="Y1141" s="23">
        <f>IF(OR(X1141="",W1141=0),"",X1141/W1141-1)</f>
        <v/>
      </c>
      <c r="Z1141" s="24" t="n"/>
      <c r="AA1141" s="21" t="n"/>
      <c r="AB1141" s="25" t="n"/>
      <c r="AC1141" s="26">
        <f>IF(T1141="","Chưa quyết định",IF(OR(Z1141="",AA1141=""),"⚠ Thiếu lý do/người duyệt",IF(AND(X1141&lt;&gt;"",N(X1141)+N(R1141)+N(S1141)&gt;M1141*1.001,R1141&lt;&gt;""),"⚠ Vượt mục tiêu P90",IF(AND(Y1141&lt;&gt;"",ABS(N(Y1141))&gt;0.3),"⚠ Lệch &gt; 30% so với nhu cầu",IF(Q1141="Có","ℹ Kiểm tra ngoại suy KM","✓ Hợp lệ")))))</f>
        <v/>
      </c>
    </row>
    <row r="1142">
      <c r="A1142" s="16" t="n">
        <v>1138</v>
      </c>
      <c r="B1142" s="17" t="inlineStr">
        <is>
          <t>DEC-S26-MAGAZINES</t>
        </is>
      </c>
      <c r="C1142" s="16" t="n">
        <v>26</v>
      </c>
      <c r="D1142" s="17" t="inlineStr">
        <is>
          <t>MAGAZINES</t>
        </is>
      </c>
      <c r="E1142" s="17" t="inlineStr">
        <is>
          <t>HIGH</t>
        </is>
      </c>
      <c r="F1142" s="17" t="inlineStr">
        <is>
          <t>TRUNG BÌNH</t>
        </is>
      </c>
      <c r="G1142" s="18" t="inlineStr">
        <is>
          <t>RISK_HIGH · PROMO_EXTRAPOLATION</t>
        </is>
      </c>
      <c r="H1142" s="19" t="n">
        <v>1.523844075202942</v>
      </c>
      <c r="I1142" s="19" t="n">
        <v>14.10344330221415</v>
      </c>
      <c r="J1142" s="19" t="n">
        <v>88.74653865247964</v>
      </c>
      <c r="K1142" s="19" t="n">
        <v>14.10344330221415</v>
      </c>
      <c r="L1142" s="19" t="n">
        <v>60.75537789613008</v>
      </c>
      <c r="M1142" s="19" t="n">
        <v>88.74653865247964</v>
      </c>
      <c r="N1142" s="17" t="inlineStr">
        <is>
          <t>B</t>
        </is>
      </c>
      <c r="O1142" s="19" t="n">
        <v>49.47262325435876</v>
      </c>
      <c r="P1142" s="18" t="inlineStr">
        <is>
          <t>KHÔNG ĐỀ XUẤT TĂNG</t>
        </is>
      </c>
      <c r="Q1142" s="17" t="inlineStr">
        <is>
          <t>Có</t>
        </is>
      </c>
      <c r="R1142" s="20" t="n"/>
      <c r="S1142" s="20" t="n"/>
      <c r="T1142" s="21" t="n"/>
      <c r="U1142" s="21" t="n"/>
      <c r="V1142" s="22">
        <f>IF(U1142="A",K1142,IF(U1142="B",L1142,IF(U1142="C",M1142,IF(N1142="A",K1142,IF(N1142="B",L1142,M1142)))))</f>
        <v/>
      </c>
      <c r="W1142" s="22">
        <f>IF(R1142="",O1142,MAX(V1142-R1142-N(S1142),0))</f>
        <v/>
      </c>
      <c r="X1142" s="20" t="n"/>
      <c r="Y1142" s="23">
        <f>IF(OR(X1142="",W1142=0),"",X1142/W1142-1)</f>
        <v/>
      </c>
      <c r="Z1142" s="24" t="n"/>
      <c r="AA1142" s="21" t="n"/>
      <c r="AB1142" s="25" t="n"/>
      <c r="AC1142" s="26">
        <f>IF(T1142="","Chưa quyết định",IF(OR(Z1142="",AA1142=""),"⚠ Thiếu lý do/người duyệt",IF(AND(X1142&lt;&gt;"",N(X1142)+N(R1142)+N(S1142)&gt;M1142*1.001,R1142&lt;&gt;""),"⚠ Vượt mục tiêu P90",IF(AND(Y1142&lt;&gt;"",ABS(N(Y1142))&gt;0.3),"⚠ Lệch &gt; 30% so với nhu cầu",IF(Q1142="Có","ℹ Kiểm tra ngoại suy KM","✓ Hợp lệ")))))</f>
        <v/>
      </c>
    </row>
    <row r="1143">
      <c r="A1143" s="16" t="n">
        <v>1139</v>
      </c>
      <c r="B1143" s="17" t="inlineStr">
        <is>
          <t>DEC-S13-LADIESWEAR</t>
        </is>
      </c>
      <c r="C1143" s="16" t="n">
        <v>13</v>
      </c>
      <c r="D1143" s="17" t="inlineStr">
        <is>
          <t>LADIESWEAR</t>
        </is>
      </c>
      <c r="E1143" s="17" t="inlineStr">
        <is>
          <t>HIGH</t>
        </is>
      </c>
      <c r="F1143" s="17" t="inlineStr">
        <is>
          <t>TRUNG BÌNH</t>
        </is>
      </c>
      <c r="G1143" s="18" t="inlineStr">
        <is>
          <t>RISK_HIGH · PROMO_EXTRAPOLATION</t>
        </is>
      </c>
      <c r="H1143" s="19" t="n">
        <v>2.141093963384629</v>
      </c>
      <c r="I1143" s="19" t="n">
        <v>14.03659269213676</v>
      </c>
      <c r="J1143" s="19" t="n">
        <v>88.67968804240226</v>
      </c>
      <c r="K1143" s="19" t="n">
        <v>14.03659269213676</v>
      </c>
      <c r="L1143" s="19" t="n">
        <v>60.6885272860527</v>
      </c>
      <c r="M1143" s="19" t="n">
        <v>88.67968804240226</v>
      </c>
      <c r="N1143" s="17" t="inlineStr">
        <is>
          <t>B</t>
        </is>
      </c>
      <c r="O1143" s="19" t="n">
        <v>49.45925313234329</v>
      </c>
      <c r="P1143" s="18" t="inlineStr">
        <is>
          <t>KHÔNG ĐỀ XUẤT TĂNG</t>
        </is>
      </c>
      <c r="Q1143" s="17" t="inlineStr">
        <is>
          <t>Có</t>
        </is>
      </c>
      <c r="R1143" s="20" t="n"/>
      <c r="S1143" s="20" t="n"/>
      <c r="T1143" s="21" t="n"/>
      <c r="U1143" s="21" t="n"/>
      <c r="V1143" s="22">
        <f>IF(U1143="A",K1143,IF(U1143="B",L1143,IF(U1143="C",M1143,IF(N1143="A",K1143,IF(N1143="B",L1143,M1143)))))</f>
        <v/>
      </c>
      <c r="W1143" s="22">
        <f>IF(R1143="",O1143,MAX(V1143-R1143-N(S1143),0))</f>
        <v/>
      </c>
      <c r="X1143" s="20" t="n"/>
      <c r="Y1143" s="23">
        <f>IF(OR(X1143="",W1143=0),"",X1143/W1143-1)</f>
        <v/>
      </c>
      <c r="Z1143" s="24" t="n"/>
      <c r="AA1143" s="21" t="n"/>
      <c r="AB1143" s="25" t="n"/>
      <c r="AC1143" s="26">
        <f>IF(T1143="","Chưa quyết định",IF(OR(Z1143="",AA1143=""),"⚠ Thiếu lý do/người duyệt",IF(AND(X1143&lt;&gt;"",N(X1143)+N(R1143)+N(S1143)&gt;M1143*1.001,R1143&lt;&gt;""),"⚠ Vượt mục tiêu P90",IF(AND(Y1143&lt;&gt;"",ABS(N(Y1143))&gt;0.3),"⚠ Lệch &gt; 30% so với nhu cầu",IF(Q1143="Có","ℹ Kiểm tra ngoại suy KM","✓ Hợp lệ")))))</f>
        <v/>
      </c>
    </row>
    <row r="1144">
      <c r="A1144" s="16" t="n">
        <v>1140</v>
      </c>
      <c r="B1144" s="17" t="inlineStr">
        <is>
          <t>DEC-S30-BABY_CARE</t>
        </is>
      </c>
      <c r="C1144" s="16" t="n">
        <v>30</v>
      </c>
      <c r="D1144" s="17" t="inlineStr">
        <is>
          <t>BABY CARE</t>
        </is>
      </c>
      <c r="E1144" s="17" t="inlineStr">
        <is>
          <t>HIGH</t>
        </is>
      </c>
      <c r="F1144" s="17" t="inlineStr">
        <is>
          <t>TRUNG BÌNH</t>
        </is>
      </c>
      <c r="G1144" s="18" t="inlineStr">
        <is>
          <t>RISK_HIGH · PROMO_EXTRAPOLATION</t>
        </is>
      </c>
      <c r="H1144" s="19" t="n">
        <v>0.965281316637993</v>
      </c>
      <c r="I1144" s="19" t="n">
        <v>13.86735918466002</v>
      </c>
      <c r="J1144" s="19" t="n">
        <v>88.51045453492551</v>
      </c>
      <c r="K1144" s="19" t="n">
        <v>13.86735918466002</v>
      </c>
      <c r="L1144" s="19" t="n">
        <v>60.51929377857595</v>
      </c>
      <c r="M1144" s="19" t="n">
        <v>88.51045453492551</v>
      </c>
      <c r="N1144" s="17" t="inlineStr">
        <is>
          <t>B</t>
        </is>
      </c>
      <c r="O1144" s="19" t="n">
        <v>49.42540643084794</v>
      </c>
      <c r="P1144" s="18" t="inlineStr">
        <is>
          <t>KHÔNG ĐỀ XUẤT TĂNG</t>
        </is>
      </c>
      <c r="Q1144" s="17" t="inlineStr">
        <is>
          <t>Có</t>
        </is>
      </c>
      <c r="R1144" s="20" t="n"/>
      <c r="S1144" s="20" t="n"/>
      <c r="T1144" s="21" t="n"/>
      <c r="U1144" s="21" t="n"/>
      <c r="V1144" s="22">
        <f>IF(U1144="A",K1144,IF(U1144="B",L1144,IF(U1144="C",M1144,IF(N1144="A",K1144,IF(N1144="B",L1144,M1144)))))</f>
        <v/>
      </c>
      <c r="W1144" s="22">
        <f>IF(R1144="",O1144,MAX(V1144-R1144-N(S1144),0))</f>
        <v/>
      </c>
      <c r="X1144" s="20" t="n"/>
      <c r="Y1144" s="23">
        <f>IF(OR(X1144="",W1144=0),"",X1144/W1144-1)</f>
        <v/>
      </c>
      <c r="Z1144" s="24" t="n"/>
      <c r="AA1144" s="21" t="n"/>
      <c r="AB1144" s="25" t="n"/>
      <c r="AC1144" s="26">
        <f>IF(T1144="","Chưa quyết định",IF(OR(Z1144="",AA1144=""),"⚠ Thiếu lý do/người duyệt",IF(AND(X1144&lt;&gt;"",N(X1144)+N(R1144)+N(S1144)&gt;M1144*1.001,R1144&lt;&gt;""),"⚠ Vượt mục tiêu P90",IF(AND(Y1144&lt;&gt;"",ABS(N(Y1144))&gt;0.3),"⚠ Lệch &gt; 30% so với nhu cầu",IF(Q1144="Có","ℹ Kiểm tra ngoại suy KM","✓ Hợp lệ")))))</f>
        <v/>
      </c>
    </row>
    <row r="1145">
      <c r="A1145" s="16" t="n">
        <v>1141</v>
      </c>
      <c r="B1145" s="17" t="inlineStr">
        <is>
          <t>DEC-S13-MAGAZINES</t>
        </is>
      </c>
      <c r="C1145" s="16" t="n">
        <v>13</v>
      </c>
      <c r="D1145" s="17" t="inlineStr">
        <is>
          <t>MAGAZINES</t>
        </is>
      </c>
      <c r="E1145" s="17" t="inlineStr">
        <is>
          <t>HIGH</t>
        </is>
      </c>
      <c r="F1145" s="17" t="inlineStr">
        <is>
          <t>TRUNG BÌNH</t>
        </is>
      </c>
      <c r="G1145" s="18" t="inlineStr">
        <is>
          <t>RISK_HIGH · PROMO_EXTRAPOLATION</t>
        </is>
      </c>
      <c r="H1145" s="19" t="n">
        <v>1.974003022909165</v>
      </c>
      <c r="I1145" s="19" t="n">
        <v>13.77978503052145</v>
      </c>
      <c r="J1145" s="19" t="n">
        <v>88.42288038078695</v>
      </c>
      <c r="K1145" s="19" t="n">
        <v>13.77978503052145</v>
      </c>
      <c r="L1145" s="19" t="n">
        <v>60.43171962443738</v>
      </c>
      <c r="M1145" s="19" t="n">
        <v>88.42288038078695</v>
      </c>
      <c r="N1145" s="17" t="inlineStr">
        <is>
          <t>B</t>
        </is>
      </c>
      <c r="O1145" s="19" t="n">
        <v>49.40789160002022</v>
      </c>
      <c r="P1145" s="18" t="inlineStr">
        <is>
          <t>KHÔNG ĐỀ XUẤT TĂNG</t>
        </is>
      </c>
      <c r="Q1145" s="17" t="inlineStr">
        <is>
          <t>Có</t>
        </is>
      </c>
      <c r="R1145" s="20" t="n"/>
      <c r="S1145" s="20" t="n"/>
      <c r="T1145" s="21" t="n"/>
      <c r="U1145" s="21" t="n"/>
      <c r="V1145" s="22">
        <f>IF(U1145="A",K1145,IF(U1145="B",L1145,IF(U1145="C",M1145,IF(N1145="A",K1145,IF(N1145="B",L1145,M1145)))))</f>
        <v/>
      </c>
      <c r="W1145" s="22">
        <f>IF(R1145="",O1145,MAX(V1145-R1145-N(S1145),0))</f>
        <v/>
      </c>
      <c r="X1145" s="20" t="n"/>
      <c r="Y1145" s="23">
        <f>IF(OR(X1145="",W1145=0),"",X1145/W1145-1)</f>
        <v/>
      </c>
      <c r="Z1145" s="24" t="n"/>
      <c r="AA1145" s="21" t="n"/>
      <c r="AB1145" s="25" t="n"/>
      <c r="AC1145" s="26">
        <f>IF(T1145="","Chưa quyết định",IF(OR(Z1145="",AA1145=""),"⚠ Thiếu lý do/người duyệt",IF(AND(X1145&lt;&gt;"",N(X1145)+N(R1145)+N(S1145)&gt;M1145*1.001,R1145&lt;&gt;""),"⚠ Vượt mục tiêu P90",IF(AND(Y1145&lt;&gt;"",ABS(N(Y1145))&gt;0.3),"⚠ Lệch &gt; 30% so với nhu cầu",IF(Q1145="Có","ℹ Kiểm tra ngoại suy KM","✓ Hợp lệ")))))</f>
        <v/>
      </c>
    </row>
    <row r="1146">
      <c r="A1146" s="16" t="n">
        <v>1142</v>
      </c>
      <c r="B1146" s="17" t="inlineStr">
        <is>
          <t>DEC-S26-HARDWARE</t>
        </is>
      </c>
      <c r="C1146" s="16" t="n">
        <v>26</v>
      </c>
      <c r="D1146" s="17" t="inlineStr">
        <is>
          <t>HARDWARE</t>
        </is>
      </c>
      <c r="E1146" s="17" t="inlineStr">
        <is>
          <t>HIGH</t>
        </is>
      </c>
      <c r="F1146" s="17" t="inlineStr">
        <is>
          <t>TRUNG BÌNH</t>
        </is>
      </c>
      <c r="G1146" s="18" t="inlineStr">
        <is>
          <t>RISK_HIGH · PROMO_EXTRAPOLATION</t>
        </is>
      </c>
      <c r="H1146" s="19" t="n">
        <v>1.135721522569656</v>
      </c>
      <c r="I1146" s="19" t="n">
        <v>13.76901302114129</v>
      </c>
      <c r="J1146" s="19" t="n">
        <v>88.41210837140679</v>
      </c>
      <c r="K1146" s="19" t="n">
        <v>13.76901302114129</v>
      </c>
      <c r="L1146" s="19" t="n">
        <v>60.42094761505722</v>
      </c>
      <c r="M1146" s="19" t="n">
        <v>88.41210837140679</v>
      </c>
      <c r="N1146" s="17" t="inlineStr">
        <is>
          <t>B</t>
        </is>
      </c>
      <c r="O1146" s="19" t="n">
        <v>49.40573719814419</v>
      </c>
      <c r="P1146" s="18" t="inlineStr">
        <is>
          <t>KHÔNG ĐỀ XUẤT TĂNG</t>
        </is>
      </c>
      <c r="Q1146" s="17" t="inlineStr">
        <is>
          <t>Có</t>
        </is>
      </c>
      <c r="R1146" s="20" t="n"/>
      <c r="S1146" s="20" t="n"/>
      <c r="T1146" s="21" t="n"/>
      <c r="U1146" s="21" t="n"/>
      <c r="V1146" s="22">
        <f>IF(U1146="A",K1146,IF(U1146="B",L1146,IF(U1146="C",M1146,IF(N1146="A",K1146,IF(N1146="B",L1146,M1146)))))</f>
        <v/>
      </c>
      <c r="W1146" s="22">
        <f>IF(R1146="",O1146,MAX(V1146-R1146-N(S1146),0))</f>
        <v/>
      </c>
      <c r="X1146" s="20" t="n"/>
      <c r="Y1146" s="23">
        <f>IF(OR(X1146="",W1146=0),"",X1146/W1146-1)</f>
        <v/>
      </c>
      <c r="Z1146" s="24" t="n"/>
      <c r="AA1146" s="21" t="n"/>
      <c r="AB1146" s="25" t="n"/>
      <c r="AC1146" s="26">
        <f>IF(T1146="","Chưa quyết định",IF(OR(Z1146="",AA1146=""),"⚠ Thiếu lý do/người duyệt",IF(AND(X1146&lt;&gt;"",N(X1146)+N(R1146)+N(S1146)&gt;M1146*1.001,R1146&lt;&gt;""),"⚠ Vượt mục tiêu P90",IF(AND(Y1146&lt;&gt;"",ABS(N(Y1146))&gt;0.3),"⚠ Lệch &gt; 30% so với nhu cầu",IF(Q1146="Có","ℹ Kiểm tra ngoại suy KM","✓ Hợp lệ")))))</f>
        <v/>
      </c>
    </row>
    <row r="1147">
      <c r="A1147" s="16" t="n">
        <v>1143</v>
      </c>
      <c r="B1147" s="17" t="inlineStr">
        <is>
          <t>DEC-S21-BOOKS</t>
        </is>
      </c>
      <c r="C1147" s="16" t="n">
        <v>21</v>
      </c>
      <c r="D1147" s="17" t="inlineStr">
        <is>
          <t>BOOKS</t>
        </is>
      </c>
      <c r="E1147" s="17" t="inlineStr">
        <is>
          <t>HIGH</t>
        </is>
      </c>
      <c r="F1147" s="17" t="inlineStr">
        <is>
          <t>TRUNG BÌNH</t>
        </is>
      </c>
      <c r="G1147" s="18" t="inlineStr">
        <is>
          <t>RISK_HIGH · PROMO_EXTRAPOLATION</t>
        </is>
      </c>
      <c r="H1147" s="19" t="n">
        <v>1.582446345686913</v>
      </c>
      <c r="I1147" s="19" t="n">
        <v>13.76698206365108</v>
      </c>
      <c r="J1147" s="19" t="n">
        <v>88.41007741391658</v>
      </c>
      <c r="K1147" s="19" t="n">
        <v>13.76698206365108</v>
      </c>
      <c r="L1147" s="19" t="n">
        <v>60.41891665756702</v>
      </c>
      <c r="M1147" s="19" t="n">
        <v>88.41007741391658</v>
      </c>
      <c r="N1147" s="17" t="inlineStr">
        <is>
          <t>B</t>
        </is>
      </c>
      <c r="O1147" s="19" t="n">
        <v>49.40533100664615</v>
      </c>
      <c r="P1147" s="18" t="inlineStr">
        <is>
          <t>KHÔNG ĐỀ XUẤT TĂNG</t>
        </is>
      </c>
      <c r="Q1147" s="17" t="inlineStr">
        <is>
          <t>Có</t>
        </is>
      </c>
      <c r="R1147" s="20" t="n"/>
      <c r="S1147" s="20" t="n"/>
      <c r="T1147" s="21" t="n"/>
      <c r="U1147" s="21" t="n"/>
      <c r="V1147" s="22">
        <f>IF(U1147="A",K1147,IF(U1147="B",L1147,IF(U1147="C",M1147,IF(N1147="A",K1147,IF(N1147="B",L1147,M1147)))))</f>
        <v/>
      </c>
      <c r="W1147" s="22">
        <f>IF(R1147="",O1147,MAX(V1147-R1147-N(S1147),0))</f>
        <v/>
      </c>
      <c r="X1147" s="20" t="n"/>
      <c r="Y1147" s="23">
        <f>IF(OR(X1147="",W1147=0),"",X1147/W1147-1)</f>
        <v/>
      </c>
      <c r="Z1147" s="24" t="n"/>
      <c r="AA1147" s="21" t="n"/>
      <c r="AB1147" s="25" t="n"/>
      <c r="AC1147" s="26">
        <f>IF(T1147="","Chưa quyết định",IF(OR(Z1147="",AA1147=""),"⚠ Thiếu lý do/người duyệt",IF(AND(X1147&lt;&gt;"",N(X1147)+N(R1147)+N(S1147)&gt;M1147*1.001,R1147&lt;&gt;""),"⚠ Vượt mục tiêu P90",IF(AND(Y1147&lt;&gt;"",ABS(N(Y1147))&gt;0.3),"⚠ Lệch &gt; 30% so với nhu cầu",IF(Q1147="Có","ℹ Kiểm tra ngoại suy KM","✓ Hợp lệ")))))</f>
        <v/>
      </c>
    </row>
    <row r="1148">
      <c r="A1148" s="16" t="n">
        <v>1144</v>
      </c>
      <c r="B1148" s="17" t="inlineStr">
        <is>
          <t>DEC-S52-SCHOOL_AND_OFFICE_SUPPLIES</t>
        </is>
      </c>
      <c r="C1148" s="16" t="n">
        <v>52</v>
      </c>
      <c r="D1148" s="17" t="inlineStr">
        <is>
          <t>SCHOOL AND OFFICE SUPPLIES</t>
        </is>
      </c>
      <c r="E1148" s="17" t="inlineStr">
        <is>
          <t>HIGH</t>
        </is>
      </c>
      <c r="F1148" s="17" t="inlineStr">
        <is>
          <t>TRUNG BÌNH</t>
        </is>
      </c>
      <c r="G1148" s="18" t="inlineStr">
        <is>
          <t>RISK_HIGH · PROMO_EXTRAPOLATION</t>
        </is>
      </c>
      <c r="H1148" s="19" t="n">
        <v>2.694672739505768</v>
      </c>
      <c r="I1148" s="19" t="n">
        <v>13.75460136681795</v>
      </c>
      <c r="J1148" s="19" t="n">
        <v>86.52847736626863</v>
      </c>
      <c r="K1148" s="19" t="n">
        <v>13.75460136681795</v>
      </c>
      <c r="L1148" s="19" t="n">
        <v>59.23827386647462</v>
      </c>
      <c r="M1148" s="19" t="n">
        <v>86.52847736626863</v>
      </c>
      <c r="N1148" s="17" t="inlineStr">
        <is>
          <t>B</t>
        </is>
      </c>
      <c r="O1148" s="19" t="n">
        <v>48.23459277302026</v>
      </c>
      <c r="P1148" s="18" t="inlineStr">
        <is>
          <t>KHÔNG ĐỀ XUẤT TĂNG</t>
        </is>
      </c>
      <c r="Q1148" s="17" t="inlineStr">
        <is>
          <t>Có</t>
        </is>
      </c>
      <c r="R1148" s="20" t="n"/>
      <c r="S1148" s="20" t="n"/>
      <c r="T1148" s="21" t="n"/>
      <c r="U1148" s="21" t="n"/>
      <c r="V1148" s="22">
        <f>IF(U1148="A",K1148,IF(U1148="B",L1148,IF(U1148="C",M1148,IF(N1148="A",K1148,IF(N1148="B",L1148,M1148)))))</f>
        <v/>
      </c>
      <c r="W1148" s="22">
        <f>IF(R1148="",O1148,MAX(V1148-R1148-N(S1148),0))</f>
        <v/>
      </c>
      <c r="X1148" s="20" t="n"/>
      <c r="Y1148" s="23">
        <f>IF(OR(X1148="",W1148=0),"",X1148/W1148-1)</f>
        <v/>
      </c>
      <c r="Z1148" s="24" t="n"/>
      <c r="AA1148" s="21" t="n"/>
      <c r="AB1148" s="25" t="n"/>
      <c r="AC1148" s="26">
        <f>IF(T1148="","Chưa quyết định",IF(OR(Z1148="",AA1148=""),"⚠ Thiếu lý do/người duyệt",IF(AND(X1148&lt;&gt;"",N(X1148)+N(R1148)+N(S1148)&gt;M1148*1.001,R1148&lt;&gt;""),"⚠ Vượt mục tiêu P90",IF(AND(Y1148&lt;&gt;"",ABS(N(Y1148))&gt;0.3),"⚠ Lệch &gt; 30% so với nhu cầu",IF(Q1148="Có","ℹ Kiểm tra ngoại suy KM","✓ Hợp lệ")))))</f>
        <v/>
      </c>
    </row>
    <row r="1149">
      <c r="A1149" s="16" t="n">
        <v>1145</v>
      </c>
      <c r="B1149" s="17" t="inlineStr">
        <is>
          <t>DEC-S19-HARDWARE</t>
        </is>
      </c>
      <c r="C1149" s="16" t="n">
        <v>19</v>
      </c>
      <c r="D1149" s="17" t="inlineStr">
        <is>
          <t>HARDWARE</t>
        </is>
      </c>
      <c r="E1149" s="17" t="inlineStr">
        <is>
          <t>HIGH</t>
        </is>
      </c>
      <c r="F1149" s="17" t="inlineStr">
        <is>
          <t>TRUNG BÌNH</t>
        </is>
      </c>
      <c r="G1149" s="18" t="inlineStr">
        <is>
          <t>RISK_HIGH · PROMO_EXTRAPOLATION</t>
        </is>
      </c>
      <c r="H1149" s="19" t="n">
        <v>2.910268133878708</v>
      </c>
      <c r="I1149" s="19" t="n">
        <v>13.6485740840435</v>
      </c>
      <c r="J1149" s="19" t="n">
        <v>86.16258375048638</v>
      </c>
      <c r="K1149" s="19" t="n">
        <v>13.6485740840435</v>
      </c>
      <c r="L1149" s="19" t="n">
        <v>58.9698301255703</v>
      </c>
      <c r="M1149" s="19" t="n">
        <v>86.16258375048638</v>
      </c>
      <c r="N1149" s="17" t="inlineStr">
        <is>
          <t>B</t>
        </is>
      </c>
      <c r="O1149" s="19" t="n">
        <v>48.05097085833549</v>
      </c>
      <c r="P1149" s="18" t="inlineStr">
        <is>
          <t>KHÔNG ĐỀ XUẤT TĂNG</t>
        </is>
      </c>
      <c r="Q1149" s="17" t="inlineStr">
        <is>
          <t>Có</t>
        </is>
      </c>
      <c r="R1149" s="20" t="n"/>
      <c r="S1149" s="20" t="n"/>
      <c r="T1149" s="21" t="n"/>
      <c r="U1149" s="21" t="n"/>
      <c r="V1149" s="22">
        <f>IF(U1149="A",K1149,IF(U1149="B",L1149,IF(U1149="C",M1149,IF(N1149="A",K1149,IF(N1149="B",L1149,M1149)))))</f>
        <v/>
      </c>
      <c r="W1149" s="22">
        <f>IF(R1149="",O1149,MAX(V1149-R1149-N(S1149),0))</f>
        <v/>
      </c>
      <c r="X1149" s="20" t="n"/>
      <c r="Y1149" s="23">
        <f>IF(OR(X1149="",W1149=0),"",X1149/W1149-1)</f>
        <v/>
      </c>
      <c r="Z1149" s="24" t="n"/>
      <c r="AA1149" s="21" t="n"/>
      <c r="AB1149" s="25" t="n"/>
      <c r="AC1149" s="26">
        <f>IF(T1149="","Chưa quyết định",IF(OR(Z1149="",AA1149=""),"⚠ Thiếu lý do/người duyệt",IF(AND(X1149&lt;&gt;"",N(X1149)+N(R1149)+N(S1149)&gt;M1149*1.001,R1149&lt;&gt;""),"⚠ Vượt mục tiêu P90",IF(AND(Y1149&lt;&gt;"",ABS(N(Y1149))&gt;0.3),"⚠ Lệch &gt; 30% so với nhu cầu",IF(Q1149="Có","ℹ Kiểm tra ngoại suy KM","✓ Hợp lệ")))))</f>
        <v/>
      </c>
    </row>
    <row r="1150">
      <c r="A1150" s="16" t="n">
        <v>1146</v>
      </c>
      <c r="B1150" s="17" t="inlineStr">
        <is>
          <t>DEC-S22-SEAFOOD</t>
        </is>
      </c>
      <c r="C1150" s="16" t="n">
        <v>22</v>
      </c>
      <c r="D1150" s="17" t="inlineStr">
        <is>
          <t>SEAFOOD</t>
        </is>
      </c>
      <c r="E1150" s="17" t="inlineStr">
        <is>
          <t>HIGH</t>
        </is>
      </c>
      <c r="F1150" s="17" t="inlineStr">
        <is>
          <t>TRUNG BÌNH</t>
        </is>
      </c>
      <c r="G1150" s="18" t="inlineStr">
        <is>
          <t>RISK_HIGH · PROMO_EXTRAPOLATION</t>
        </is>
      </c>
      <c r="H1150" s="19" t="n">
        <v>4.692809081077575</v>
      </c>
      <c r="I1150" s="19" t="n">
        <v>13.4885311126709</v>
      </c>
      <c r="J1150" s="19" t="n">
        <v>84.13332142829896</v>
      </c>
      <c r="K1150" s="19" t="n">
        <v>13.4885311126709</v>
      </c>
      <c r="L1150" s="19" t="n">
        <v>57.64152505993843</v>
      </c>
      <c r="M1150" s="19" t="n">
        <v>84.13332142829896</v>
      </c>
      <c r="N1150" s="17" t="inlineStr">
        <is>
          <t>B</t>
        </is>
      </c>
      <c r="O1150" s="19" t="n">
        <v>46.85070016980171</v>
      </c>
      <c r="P1150" s="18" t="inlineStr">
        <is>
          <t>KHÔNG ĐỀ XUẤT TĂNG</t>
        </is>
      </c>
      <c r="Q1150" s="17" t="inlineStr">
        <is>
          <t>Có</t>
        </is>
      </c>
      <c r="R1150" s="20" t="n"/>
      <c r="S1150" s="20" t="n"/>
      <c r="T1150" s="21" t="n"/>
      <c r="U1150" s="21" t="n"/>
      <c r="V1150" s="22">
        <f>IF(U1150="A",K1150,IF(U1150="B",L1150,IF(U1150="C",M1150,IF(N1150="A",K1150,IF(N1150="B",L1150,M1150)))))</f>
        <v/>
      </c>
      <c r="W1150" s="22">
        <f>IF(R1150="",O1150,MAX(V1150-R1150-N(S1150),0))</f>
        <v/>
      </c>
      <c r="X1150" s="20" t="n"/>
      <c r="Y1150" s="23">
        <f>IF(OR(X1150="",W1150=0),"",X1150/W1150-1)</f>
        <v/>
      </c>
      <c r="Z1150" s="24" t="n"/>
      <c r="AA1150" s="21" t="n"/>
      <c r="AB1150" s="25" t="n"/>
      <c r="AC1150" s="26">
        <f>IF(T1150="","Chưa quyết định",IF(OR(Z1150="",AA1150=""),"⚠ Thiếu lý do/người duyệt",IF(AND(X1150&lt;&gt;"",N(X1150)+N(R1150)+N(S1150)&gt;M1150*1.001,R1150&lt;&gt;""),"⚠ Vượt mục tiêu P90",IF(AND(Y1150&lt;&gt;"",ABS(N(Y1150))&gt;0.3),"⚠ Lệch &gt; 30% so với nhu cầu",IF(Q1150="Có","ℹ Kiểm tra ngoại suy KM","✓ Hợp lệ")))))</f>
        <v/>
      </c>
    </row>
    <row r="1151">
      <c r="A1151" s="16" t="n">
        <v>1147</v>
      </c>
      <c r="B1151" s="17" t="inlineStr">
        <is>
          <t>DEC-S53-HOME_APPLIANCES</t>
        </is>
      </c>
      <c r="C1151" s="16" t="n">
        <v>53</v>
      </c>
      <c r="D1151" s="17" t="inlineStr">
        <is>
          <t>HOME APPLIANCES</t>
        </is>
      </c>
      <c r="E1151" s="17" t="inlineStr">
        <is>
          <t>HIGH</t>
        </is>
      </c>
      <c r="F1151" s="17" t="inlineStr">
        <is>
          <t>TRUNG BÌNH</t>
        </is>
      </c>
      <c r="G1151" s="18" t="inlineStr">
        <is>
          <t>RISK_HIGH · PROMO_EXTRAPOLATION</t>
        </is>
      </c>
      <c r="H1151" s="19" t="n">
        <v>0.1247268080711365</v>
      </c>
      <c r="I1151" s="19" t="n">
        <v>13.44992396235466</v>
      </c>
      <c r="J1151" s="19" t="n">
        <v>90.22210499644279</v>
      </c>
      <c r="K1151" s="19" t="n">
        <v>13.44992396235466</v>
      </c>
      <c r="L1151" s="19" t="n">
        <v>61.43253710865974</v>
      </c>
      <c r="M1151" s="19" t="n">
        <v>90.22210499644279</v>
      </c>
      <c r="N1151" s="17" t="inlineStr">
        <is>
          <t>B</t>
        </is>
      </c>
      <c r="O1151" s="19" t="n">
        <v>50.67259793877601</v>
      </c>
      <c r="P1151" s="18" t="inlineStr">
        <is>
          <t>KHÔNG ĐỀ XUẤT TĂNG</t>
        </is>
      </c>
      <c r="Q1151" s="17" t="inlineStr">
        <is>
          <t>Có</t>
        </is>
      </c>
      <c r="R1151" s="20" t="n"/>
      <c r="S1151" s="20" t="n"/>
      <c r="T1151" s="21" t="n"/>
      <c r="U1151" s="21" t="n"/>
      <c r="V1151" s="22">
        <f>IF(U1151="A",K1151,IF(U1151="B",L1151,IF(U1151="C",M1151,IF(N1151="A",K1151,IF(N1151="B",L1151,M1151)))))</f>
        <v/>
      </c>
      <c r="W1151" s="22">
        <f>IF(R1151="",O1151,MAX(V1151-R1151-N(S1151),0))</f>
        <v/>
      </c>
      <c r="X1151" s="20" t="n"/>
      <c r="Y1151" s="23">
        <f>IF(OR(X1151="",W1151=0),"",X1151/W1151-1)</f>
        <v/>
      </c>
      <c r="Z1151" s="24" t="n"/>
      <c r="AA1151" s="21" t="n"/>
      <c r="AB1151" s="25" t="n"/>
      <c r="AC1151" s="26">
        <f>IF(T1151="","Chưa quyết định",IF(OR(Z1151="",AA1151=""),"⚠ Thiếu lý do/người duyệt",IF(AND(X1151&lt;&gt;"",N(X1151)+N(R1151)+N(S1151)&gt;M1151*1.001,R1151&lt;&gt;""),"⚠ Vượt mục tiêu P90",IF(AND(Y1151&lt;&gt;"",ABS(N(Y1151))&gt;0.3),"⚠ Lệch &gt; 30% so với nhu cầu",IF(Q1151="Có","ℹ Kiểm tra ngoại suy KM","✓ Hợp lệ")))))</f>
        <v/>
      </c>
    </row>
    <row r="1152">
      <c r="A1152" s="16" t="n">
        <v>1148</v>
      </c>
      <c r="B1152" s="17" t="inlineStr">
        <is>
          <t>DEC-S30-HOME_APPLIANCES</t>
        </is>
      </c>
      <c r="C1152" s="16" t="n">
        <v>30</v>
      </c>
      <c r="D1152" s="17" t="inlineStr">
        <is>
          <t>HOME APPLIANCES</t>
        </is>
      </c>
      <c r="E1152" s="17" t="inlineStr">
        <is>
          <t>HIGH</t>
        </is>
      </c>
      <c r="F1152" s="17" t="inlineStr">
        <is>
          <t>TRUNG BÌNH</t>
        </is>
      </c>
      <c r="G1152" s="18" t="inlineStr">
        <is>
          <t>RISK_HIGH · PROMO_EXTRAPOLATION</t>
        </is>
      </c>
      <c r="H1152" s="19" t="n">
        <v>2.810722142457962</v>
      </c>
      <c r="I1152" s="19" t="n">
        <v>13.43576028198004</v>
      </c>
      <c r="J1152" s="19" t="n">
        <v>85.94976994842291</v>
      </c>
      <c r="K1152" s="19" t="n">
        <v>13.43576028198004</v>
      </c>
      <c r="L1152" s="19" t="n">
        <v>58.75701632350683</v>
      </c>
      <c r="M1152" s="19" t="n">
        <v>85.94976994842291</v>
      </c>
      <c r="N1152" s="17" t="inlineStr">
        <is>
          <t>B</t>
        </is>
      </c>
      <c r="O1152" s="19" t="n">
        <v>48.0084080979228</v>
      </c>
      <c r="P1152" s="18" t="inlineStr">
        <is>
          <t>KHÔNG ĐỀ XUẤT TĂNG</t>
        </is>
      </c>
      <c r="Q1152" s="17" t="inlineStr">
        <is>
          <t>Có</t>
        </is>
      </c>
      <c r="R1152" s="20" t="n"/>
      <c r="S1152" s="20" t="n"/>
      <c r="T1152" s="21" t="n"/>
      <c r="U1152" s="21" t="n"/>
      <c r="V1152" s="22">
        <f>IF(U1152="A",K1152,IF(U1152="B",L1152,IF(U1152="C",M1152,IF(N1152="A",K1152,IF(N1152="B",L1152,M1152)))))</f>
        <v/>
      </c>
      <c r="W1152" s="22">
        <f>IF(R1152="",O1152,MAX(V1152-R1152-N(S1152),0))</f>
        <v/>
      </c>
      <c r="X1152" s="20" t="n"/>
      <c r="Y1152" s="23">
        <f>IF(OR(X1152="",W1152=0),"",X1152/W1152-1)</f>
        <v/>
      </c>
      <c r="Z1152" s="24" t="n"/>
      <c r="AA1152" s="21" t="n"/>
      <c r="AB1152" s="25" t="n"/>
      <c r="AC1152" s="26">
        <f>IF(T1152="","Chưa quyết định",IF(OR(Z1152="",AA1152=""),"⚠ Thiếu lý do/người duyệt",IF(AND(X1152&lt;&gt;"",N(X1152)+N(R1152)+N(S1152)&gt;M1152*1.001,R1152&lt;&gt;""),"⚠ Vượt mục tiêu P90",IF(AND(Y1152&lt;&gt;"",ABS(N(Y1152))&gt;0.3),"⚠ Lệch &gt; 30% so với nhu cầu",IF(Q1152="Có","ℹ Kiểm tra ngoại suy KM","✓ Hợp lệ")))))</f>
        <v/>
      </c>
    </row>
    <row r="1153">
      <c r="A1153" s="16" t="n">
        <v>1149</v>
      </c>
      <c r="B1153" s="17" t="inlineStr">
        <is>
          <t>DEC-S30-HARDWARE</t>
        </is>
      </c>
      <c r="C1153" s="16" t="n">
        <v>30</v>
      </c>
      <c r="D1153" s="17" t="inlineStr">
        <is>
          <t>HARDWARE</t>
        </is>
      </c>
      <c r="E1153" s="17" t="inlineStr">
        <is>
          <t>HIGH</t>
        </is>
      </c>
      <c r="F1153" s="17" t="inlineStr">
        <is>
          <t>TRUNG BÌNH</t>
        </is>
      </c>
      <c r="G1153" s="18" t="inlineStr">
        <is>
          <t>RISK_HIGH · PROMO_EXTRAPOLATION</t>
        </is>
      </c>
      <c r="H1153" s="19" t="n">
        <v>1.107581055164337</v>
      </c>
      <c r="I1153" s="19" t="n">
        <v>13.30689670518041</v>
      </c>
      <c r="J1153" s="19" t="n">
        <v>87.9499920554459</v>
      </c>
      <c r="K1153" s="19" t="n">
        <v>13.30689670518041</v>
      </c>
      <c r="L1153" s="19" t="n">
        <v>59.95883129909634</v>
      </c>
      <c r="M1153" s="19" t="n">
        <v>87.9499920554459</v>
      </c>
      <c r="N1153" s="17" t="inlineStr">
        <is>
          <t>B</t>
        </is>
      </c>
      <c r="O1153" s="19" t="n">
        <v>49.31331393495201</v>
      </c>
      <c r="P1153" s="18" t="inlineStr">
        <is>
          <t>KHÔNG ĐỀ XUẤT TĂNG</t>
        </is>
      </c>
      <c r="Q1153" s="17" t="inlineStr">
        <is>
          <t>Có</t>
        </is>
      </c>
      <c r="R1153" s="20" t="n"/>
      <c r="S1153" s="20" t="n"/>
      <c r="T1153" s="21" t="n"/>
      <c r="U1153" s="21" t="n"/>
      <c r="V1153" s="22">
        <f>IF(U1153="A",K1153,IF(U1153="B",L1153,IF(U1153="C",M1153,IF(N1153="A",K1153,IF(N1153="B",L1153,M1153)))))</f>
        <v/>
      </c>
      <c r="W1153" s="22">
        <f>IF(R1153="",O1153,MAX(V1153-R1153-N(S1153),0))</f>
        <v/>
      </c>
      <c r="X1153" s="20" t="n"/>
      <c r="Y1153" s="23">
        <f>IF(OR(X1153="",W1153=0),"",X1153/W1153-1)</f>
        <v/>
      </c>
      <c r="Z1153" s="24" t="n"/>
      <c r="AA1153" s="21" t="n"/>
      <c r="AB1153" s="25" t="n"/>
      <c r="AC1153" s="26">
        <f>IF(T1153="","Chưa quyết định",IF(OR(Z1153="",AA1153=""),"⚠ Thiếu lý do/người duyệt",IF(AND(X1153&lt;&gt;"",N(X1153)+N(R1153)+N(S1153)&gt;M1153*1.001,R1153&lt;&gt;""),"⚠ Vượt mục tiêu P90",IF(AND(Y1153&lt;&gt;"",ABS(N(Y1153))&gt;0.3),"⚠ Lệch &gt; 30% so với nhu cầu",IF(Q1153="Có","ℹ Kiểm tra ngoại suy KM","✓ Hợp lệ")))))</f>
        <v/>
      </c>
    </row>
    <row r="1154">
      <c r="A1154" s="16" t="n">
        <v>1150</v>
      </c>
      <c r="B1154" s="17" t="inlineStr">
        <is>
          <t>DEC-S15-LAWN_AND_GARDEN</t>
        </is>
      </c>
      <c r="C1154" s="16" t="n">
        <v>15</v>
      </c>
      <c r="D1154" s="17" t="inlineStr">
        <is>
          <t>LAWN AND GARDEN</t>
        </is>
      </c>
      <c r="E1154" s="17" t="inlineStr">
        <is>
          <t>HIGH</t>
        </is>
      </c>
      <c r="F1154" s="17" t="inlineStr">
        <is>
          <t>TRUNG BÌNH</t>
        </is>
      </c>
      <c r="G1154" s="18" t="inlineStr">
        <is>
          <t>RISK_HIGH · PROMO_EXTRAPOLATION</t>
        </is>
      </c>
      <c r="H1154" s="19" t="n">
        <v>1.228087919950485</v>
      </c>
      <c r="I1154" s="19" t="n">
        <v>13.26457549631596</v>
      </c>
      <c r="J1154" s="19" t="n">
        <v>87.90767084658145</v>
      </c>
      <c r="K1154" s="19" t="n">
        <v>13.26457549631596</v>
      </c>
      <c r="L1154" s="19" t="n">
        <v>59.91651009023189</v>
      </c>
      <c r="M1154" s="19" t="n">
        <v>87.90767084658145</v>
      </c>
      <c r="N1154" s="17" t="inlineStr">
        <is>
          <t>B</t>
        </is>
      </c>
      <c r="O1154" s="19" t="n">
        <v>49.30484969317912</v>
      </c>
      <c r="P1154" s="18" t="inlineStr">
        <is>
          <t>KHÔNG ĐỀ XUẤT TĂNG</t>
        </is>
      </c>
      <c r="Q1154" s="17" t="inlineStr">
        <is>
          <t>Có</t>
        </is>
      </c>
      <c r="R1154" s="20" t="n"/>
      <c r="S1154" s="20" t="n"/>
      <c r="T1154" s="21" t="n"/>
      <c r="U1154" s="21" t="n"/>
      <c r="V1154" s="22">
        <f>IF(U1154="A",K1154,IF(U1154="B",L1154,IF(U1154="C",M1154,IF(N1154="A",K1154,IF(N1154="B",L1154,M1154)))))</f>
        <v/>
      </c>
      <c r="W1154" s="22">
        <f>IF(R1154="",O1154,MAX(V1154-R1154-N(S1154),0))</f>
        <v/>
      </c>
      <c r="X1154" s="20" t="n"/>
      <c r="Y1154" s="23">
        <f>IF(OR(X1154="",W1154=0),"",X1154/W1154-1)</f>
        <v/>
      </c>
      <c r="Z1154" s="24" t="n"/>
      <c r="AA1154" s="21" t="n"/>
      <c r="AB1154" s="25" t="n"/>
      <c r="AC1154" s="26">
        <f>IF(T1154="","Chưa quyết định",IF(OR(Z1154="",AA1154=""),"⚠ Thiếu lý do/người duyệt",IF(AND(X1154&lt;&gt;"",N(X1154)+N(R1154)+N(S1154)&gt;M1154*1.001,R1154&lt;&gt;""),"⚠ Vượt mục tiêu P90",IF(AND(Y1154&lt;&gt;"",ABS(N(Y1154))&gt;0.3),"⚠ Lệch &gt; 30% so với nhu cầu",IF(Q1154="Có","ℹ Kiểm tra ngoại suy KM","✓ Hợp lệ")))))</f>
        <v/>
      </c>
    </row>
    <row r="1155">
      <c r="A1155" s="16" t="n">
        <v>1151</v>
      </c>
      <c r="B1155" s="17" t="inlineStr">
        <is>
          <t>DEC-S21-HOME_APPLIANCES</t>
        </is>
      </c>
      <c r="C1155" s="16" t="n">
        <v>21</v>
      </c>
      <c r="D1155" s="17" t="inlineStr">
        <is>
          <t>HOME APPLIANCES</t>
        </is>
      </c>
      <c r="E1155" s="17" t="inlineStr">
        <is>
          <t>HIGH</t>
        </is>
      </c>
      <c r="F1155" s="17" t="inlineStr">
        <is>
          <t>TRUNG BÌNH</t>
        </is>
      </c>
      <c r="G1155" s="18" t="inlineStr">
        <is>
          <t>RISK_HIGH · PROMO_EXTRAPOLATION</t>
        </is>
      </c>
      <c r="H1155" s="19" t="n">
        <v>1.567550384998322</v>
      </c>
      <c r="I1155" s="19" t="n">
        <v>13.26302687823772</v>
      </c>
      <c r="J1155" s="19" t="n">
        <v>87.90612222850322</v>
      </c>
      <c r="K1155" s="19" t="n">
        <v>13.26302687823772</v>
      </c>
      <c r="L1155" s="19" t="n">
        <v>59.91496147215366</v>
      </c>
      <c r="M1155" s="19" t="n">
        <v>87.90612222850322</v>
      </c>
      <c r="N1155" s="17" t="inlineStr">
        <is>
          <t>B</t>
        </is>
      </c>
      <c r="O1155" s="19" t="n">
        <v>49.30453996956348</v>
      </c>
      <c r="P1155" s="18" t="inlineStr">
        <is>
          <t>KHÔNG ĐỀ XUẤT TĂNG</t>
        </is>
      </c>
      <c r="Q1155" s="17" t="inlineStr">
        <is>
          <t>Có</t>
        </is>
      </c>
      <c r="R1155" s="20" t="n"/>
      <c r="S1155" s="20" t="n"/>
      <c r="T1155" s="21" t="n"/>
      <c r="U1155" s="21" t="n"/>
      <c r="V1155" s="22">
        <f>IF(U1155="A",K1155,IF(U1155="B",L1155,IF(U1155="C",M1155,IF(N1155="A",K1155,IF(N1155="B",L1155,M1155)))))</f>
        <v/>
      </c>
      <c r="W1155" s="22">
        <f>IF(R1155="",O1155,MAX(V1155-R1155-N(S1155),0))</f>
        <v/>
      </c>
      <c r="X1155" s="20" t="n"/>
      <c r="Y1155" s="23">
        <f>IF(OR(X1155="",W1155=0),"",X1155/W1155-1)</f>
        <v/>
      </c>
      <c r="Z1155" s="24" t="n"/>
      <c r="AA1155" s="21" t="n"/>
      <c r="AB1155" s="25" t="n"/>
      <c r="AC1155" s="26">
        <f>IF(T1155="","Chưa quyết định",IF(OR(Z1155="",AA1155=""),"⚠ Thiếu lý do/người duyệt",IF(AND(X1155&lt;&gt;"",N(X1155)+N(R1155)+N(S1155)&gt;M1155*1.001,R1155&lt;&gt;""),"⚠ Vượt mục tiêu P90",IF(AND(Y1155&lt;&gt;"",ABS(N(Y1155))&gt;0.3),"⚠ Lệch &gt; 30% so với nhu cầu",IF(Q1155="Có","ℹ Kiểm tra ngoại suy KM","✓ Hợp lệ")))))</f>
        <v/>
      </c>
    </row>
    <row r="1156">
      <c r="A1156" s="16" t="n">
        <v>1152</v>
      </c>
      <c r="B1156" s="17" t="inlineStr">
        <is>
          <t>DEC-S22-BABY_CARE</t>
        </is>
      </c>
      <c r="C1156" s="16" t="n">
        <v>22</v>
      </c>
      <c r="D1156" s="17" t="inlineStr">
        <is>
          <t>BABY CARE</t>
        </is>
      </c>
      <c r="E1156" s="17" t="inlineStr">
        <is>
          <t>HIGH</t>
        </is>
      </c>
      <c r="F1156" s="17" t="inlineStr">
        <is>
          <t>TRUNG BÌNH</t>
        </is>
      </c>
      <c r="G1156" s="18" t="inlineStr">
        <is>
          <t>RISK_HIGH · PROMO_EXTRAPOLATION</t>
        </is>
      </c>
      <c r="H1156" s="19" t="n">
        <v>2.200036972761154</v>
      </c>
      <c r="I1156" s="19" t="n">
        <v>13.13172213733196</v>
      </c>
      <c r="J1156" s="19" t="n">
        <v>85.64573180377484</v>
      </c>
      <c r="K1156" s="19" t="n">
        <v>13.13172213733196</v>
      </c>
      <c r="L1156" s="19" t="n">
        <v>58.45297817885876</v>
      </c>
      <c r="M1156" s="19" t="n">
        <v>85.64573180377484</v>
      </c>
      <c r="N1156" s="17" t="inlineStr">
        <is>
          <t>B</t>
        </is>
      </c>
      <c r="O1156" s="19" t="n">
        <v>47.94760046899319</v>
      </c>
      <c r="P1156" s="18" t="inlineStr">
        <is>
          <t>KHÔNG ĐỀ XUẤT TĂNG</t>
        </is>
      </c>
      <c r="Q1156" s="17" t="inlineStr">
        <is>
          <t>Có</t>
        </is>
      </c>
      <c r="R1156" s="20" t="n"/>
      <c r="S1156" s="20" t="n"/>
      <c r="T1156" s="21" t="n"/>
      <c r="U1156" s="21" t="n"/>
      <c r="V1156" s="22">
        <f>IF(U1156="A",K1156,IF(U1156="B",L1156,IF(U1156="C",M1156,IF(N1156="A",K1156,IF(N1156="B",L1156,M1156)))))</f>
        <v/>
      </c>
      <c r="W1156" s="22">
        <f>IF(R1156="",O1156,MAX(V1156-R1156-N(S1156),0))</f>
        <v/>
      </c>
      <c r="X1156" s="20" t="n"/>
      <c r="Y1156" s="23">
        <f>IF(OR(X1156="",W1156=0),"",X1156/W1156-1)</f>
        <v/>
      </c>
      <c r="Z1156" s="24" t="n"/>
      <c r="AA1156" s="21" t="n"/>
      <c r="AB1156" s="25" t="n"/>
      <c r="AC1156" s="26">
        <f>IF(T1156="","Chưa quyết định",IF(OR(Z1156="",AA1156=""),"⚠ Thiếu lý do/người duyệt",IF(AND(X1156&lt;&gt;"",N(X1156)+N(R1156)+N(S1156)&gt;M1156*1.001,R1156&lt;&gt;""),"⚠ Vượt mục tiêu P90",IF(AND(Y1156&lt;&gt;"",ABS(N(Y1156))&gt;0.3),"⚠ Lệch &gt; 30% so với nhu cầu",IF(Q1156="Có","ℹ Kiểm tra ngoại suy KM","✓ Hợp lệ")))))</f>
        <v/>
      </c>
    </row>
    <row r="1157">
      <c r="A1157" s="16" t="n">
        <v>1153</v>
      </c>
      <c r="B1157" s="17" t="inlineStr">
        <is>
          <t>DEC-S25-BABY_CARE</t>
        </is>
      </c>
      <c r="C1157" s="16" t="n">
        <v>25</v>
      </c>
      <c r="D1157" s="17" t="inlineStr">
        <is>
          <t>BABY CARE</t>
        </is>
      </c>
      <c r="E1157" s="17" t="inlineStr">
        <is>
          <t>HIGH</t>
        </is>
      </c>
      <c r="F1157" s="17" t="inlineStr">
        <is>
          <t>TRUNG BÌNH</t>
        </is>
      </c>
      <c r="G1157" s="18" t="inlineStr">
        <is>
          <t>RISK_HIGH · PROMO_EXTRAPOLATION</t>
        </is>
      </c>
      <c r="H1157" s="19" t="n">
        <v>3.651303380727768</v>
      </c>
      <c r="I1157" s="19" t="n">
        <v>13.01389072462916</v>
      </c>
      <c r="J1157" s="19" t="n">
        <v>83.3988147072494</v>
      </c>
      <c r="K1157" s="19" t="n">
        <v>13.01389072462916</v>
      </c>
      <c r="L1157" s="19" t="n">
        <v>57.00446821376681</v>
      </c>
      <c r="M1157" s="19" t="n">
        <v>83.3988147072494</v>
      </c>
      <c r="N1157" s="17" t="inlineStr">
        <is>
          <t>B</t>
        </is>
      </c>
      <c r="O1157" s="19" t="n">
        <v>46.59335563406347</v>
      </c>
      <c r="P1157" s="18" t="inlineStr">
        <is>
          <t>KHÔNG ĐỀ XUẤT TĂNG</t>
        </is>
      </c>
      <c r="Q1157" s="17" t="inlineStr">
        <is>
          <t>Có</t>
        </is>
      </c>
      <c r="R1157" s="20" t="n"/>
      <c r="S1157" s="20" t="n"/>
      <c r="T1157" s="21" t="n"/>
      <c r="U1157" s="21" t="n"/>
      <c r="V1157" s="22">
        <f>IF(U1157="A",K1157,IF(U1157="B",L1157,IF(U1157="C",M1157,IF(N1157="A",K1157,IF(N1157="B",L1157,M1157)))))</f>
        <v/>
      </c>
      <c r="W1157" s="22">
        <f>IF(R1157="",O1157,MAX(V1157-R1157-N(S1157),0))</f>
        <v/>
      </c>
      <c r="X1157" s="20" t="n"/>
      <c r="Y1157" s="23">
        <f>IF(OR(X1157="",W1157=0),"",X1157/W1157-1)</f>
        <v/>
      </c>
      <c r="Z1157" s="24" t="n"/>
      <c r="AA1157" s="21" t="n"/>
      <c r="AB1157" s="25" t="n"/>
      <c r="AC1157" s="26">
        <f>IF(T1157="","Chưa quyết định",IF(OR(Z1157="",AA1157=""),"⚠ Thiếu lý do/người duyệt",IF(AND(X1157&lt;&gt;"",N(X1157)+N(R1157)+N(S1157)&gt;M1157*1.001,R1157&lt;&gt;""),"⚠ Vượt mục tiêu P90",IF(AND(Y1157&lt;&gt;"",ABS(N(Y1157))&gt;0.3),"⚠ Lệch &gt; 30% so với nhu cầu",IF(Q1157="Có","ℹ Kiểm tra ngoại suy KM","✓ Hợp lệ")))))</f>
        <v/>
      </c>
    </row>
    <row r="1158">
      <c r="A1158" s="16" t="n">
        <v>1154</v>
      </c>
      <c r="B1158" s="17" t="inlineStr">
        <is>
          <t>DEC-S53-BABY_CARE</t>
        </is>
      </c>
      <c r="C1158" s="16" t="n">
        <v>53</v>
      </c>
      <c r="D1158" s="17" t="inlineStr">
        <is>
          <t>BABY CARE</t>
        </is>
      </c>
      <c r="E1158" s="17" t="inlineStr">
        <is>
          <t>HIGH</t>
        </is>
      </c>
      <c r="F1158" s="17" t="inlineStr">
        <is>
          <t>TRUNG BÌNH</t>
        </is>
      </c>
      <c r="G1158" s="18" t="inlineStr">
        <is>
          <t>RISK_HIGH · PROMO_EXTRAPOLATION</t>
        </is>
      </c>
      <c r="H1158" s="19" t="n">
        <v>0.3409329146146775</v>
      </c>
      <c r="I1158" s="19" t="n">
        <v>12.92700284719467</v>
      </c>
      <c r="J1158" s="19" t="n">
        <v>87.57009819746017</v>
      </c>
      <c r="K1158" s="19" t="n">
        <v>12.92700284719467</v>
      </c>
      <c r="L1158" s="19" t="n">
        <v>59.5789374411106</v>
      </c>
      <c r="M1158" s="19" t="n">
        <v>87.57009819746017</v>
      </c>
      <c r="N1158" s="17" t="inlineStr">
        <is>
          <t>B</t>
        </is>
      </c>
      <c r="O1158" s="19" t="n">
        <v>49.23733516335486</v>
      </c>
      <c r="P1158" s="18" t="inlineStr">
        <is>
          <t>KHÔNG ĐỀ XUẤT TĂNG</t>
        </is>
      </c>
      <c r="Q1158" s="17" t="inlineStr">
        <is>
          <t>Có</t>
        </is>
      </c>
      <c r="R1158" s="20" t="n"/>
      <c r="S1158" s="20" t="n"/>
      <c r="T1158" s="21" t="n"/>
      <c r="U1158" s="21" t="n"/>
      <c r="V1158" s="22">
        <f>IF(U1158="A",K1158,IF(U1158="B",L1158,IF(U1158="C",M1158,IF(N1158="A",K1158,IF(N1158="B",L1158,M1158)))))</f>
        <v/>
      </c>
      <c r="W1158" s="22">
        <f>IF(R1158="",O1158,MAX(V1158-R1158-N(S1158),0))</f>
        <v/>
      </c>
      <c r="X1158" s="20" t="n"/>
      <c r="Y1158" s="23">
        <f>IF(OR(X1158="",W1158=0),"",X1158/W1158-1)</f>
        <v/>
      </c>
      <c r="Z1158" s="24" t="n"/>
      <c r="AA1158" s="21" t="n"/>
      <c r="AB1158" s="25" t="n"/>
      <c r="AC1158" s="26">
        <f>IF(T1158="","Chưa quyết định",IF(OR(Z1158="",AA1158=""),"⚠ Thiếu lý do/người duyệt",IF(AND(X1158&lt;&gt;"",N(X1158)+N(R1158)+N(S1158)&gt;M1158*1.001,R1158&lt;&gt;""),"⚠ Vượt mục tiêu P90",IF(AND(Y1158&lt;&gt;"",ABS(N(Y1158))&gt;0.3),"⚠ Lệch &gt; 30% so với nhu cầu",IF(Q1158="Có","ℹ Kiểm tra ngoại suy KM","✓ Hợp lệ")))))</f>
        <v/>
      </c>
    </row>
    <row r="1159">
      <c r="A1159" s="16" t="n">
        <v>1155</v>
      </c>
      <c r="B1159" s="17" t="inlineStr">
        <is>
          <t>DEC-S54-LADIESWEAR</t>
        </is>
      </c>
      <c r="C1159" s="16" t="n">
        <v>54</v>
      </c>
      <c r="D1159" s="17" t="inlineStr">
        <is>
          <t>LADIESWEAR</t>
        </is>
      </c>
      <c r="E1159" s="17" t="inlineStr">
        <is>
          <t>HIGH</t>
        </is>
      </c>
      <c r="F1159" s="17" t="inlineStr">
        <is>
          <t>TRUNG BÌNH</t>
        </is>
      </c>
      <c r="G1159" s="18" t="inlineStr">
        <is>
          <t>RISK_HIGH · PROMO_EXTRAPOLATION</t>
        </is>
      </c>
      <c r="H1159" s="19" t="n">
        <v>0.5302961349487305</v>
      </c>
      <c r="I1159" s="19" t="n">
        <v>12.91692596673966</v>
      </c>
      <c r="J1159" s="19" t="n">
        <v>87.56002131700515</v>
      </c>
      <c r="K1159" s="19" t="n">
        <v>12.91692596673966</v>
      </c>
      <c r="L1159" s="19" t="n">
        <v>59.56886056065559</v>
      </c>
      <c r="M1159" s="19" t="n">
        <v>87.56002131700515</v>
      </c>
      <c r="N1159" s="17" t="inlineStr">
        <is>
          <t>B</t>
        </is>
      </c>
      <c r="O1159" s="19" t="n">
        <v>49.23531978726386</v>
      </c>
      <c r="P1159" s="18" t="inlineStr">
        <is>
          <t>KHÔNG ĐỀ XUẤT TĂNG</t>
        </is>
      </c>
      <c r="Q1159" s="17" t="inlineStr">
        <is>
          <t>Có</t>
        </is>
      </c>
      <c r="R1159" s="20" t="n"/>
      <c r="S1159" s="20" t="n"/>
      <c r="T1159" s="21" t="n"/>
      <c r="U1159" s="21" t="n"/>
      <c r="V1159" s="22">
        <f>IF(U1159="A",K1159,IF(U1159="B",L1159,IF(U1159="C",M1159,IF(N1159="A",K1159,IF(N1159="B",L1159,M1159)))))</f>
        <v/>
      </c>
      <c r="W1159" s="22">
        <f>IF(R1159="",O1159,MAX(V1159-R1159-N(S1159),0))</f>
        <v/>
      </c>
      <c r="X1159" s="20" t="n"/>
      <c r="Y1159" s="23">
        <f>IF(OR(X1159="",W1159=0),"",X1159/W1159-1)</f>
        <v/>
      </c>
      <c r="Z1159" s="24" t="n"/>
      <c r="AA1159" s="21" t="n"/>
      <c r="AB1159" s="25" t="n"/>
      <c r="AC1159" s="26">
        <f>IF(T1159="","Chưa quyết định",IF(OR(Z1159="",AA1159=""),"⚠ Thiếu lý do/người duyệt",IF(AND(X1159&lt;&gt;"",N(X1159)+N(R1159)+N(S1159)&gt;M1159*1.001,R1159&lt;&gt;""),"⚠ Vượt mục tiêu P90",IF(AND(Y1159&lt;&gt;"",ABS(N(Y1159))&gt;0.3),"⚠ Lệch &gt; 30% so với nhu cầu",IF(Q1159="Có","ℹ Kiểm tra ngoại suy KM","✓ Hợp lệ")))))</f>
        <v/>
      </c>
    </row>
    <row r="1160">
      <c r="A1160" s="16" t="n">
        <v>1156</v>
      </c>
      <c r="B1160" s="17" t="inlineStr">
        <is>
          <t>DEC-S54-LAWN_AND_GARDEN</t>
        </is>
      </c>
      <c r="C1160" s="16" t="n">
        <v>54</v>
      </c>
      <c r="D1160" s="17" t="inlineStr">
        <is>
          <t>LAWN AND GARDEN</t>
        </is>
      </c>
      <c r="E1160" s="17" t="inlineStr">
        <is>
          <t>HIGH</t>
        </is>
      </c>
      <c r="F1160" s="17" t="inlineStr">
        <is>
          <t>TRUNG BÌNH</t>
        </is>
      </c>
      <c r="G1160" s="18" t="inlineStr">
        <is>
          <t>RISK_HIGH · PROMO_EXTRAPOLATION</t>
        </is>
      </c>
      <c r="H1160" s="19" t="n">
        <v>0.5302961349487305</v>
      </c>
      <c r="I1160" s="19" t="n">
        <v>12.91692596673966</v>
      </c>
      <c r="J1160" s="19" t="n">
        <v>87.56002131700515</v>
      </c>
      <c r="K1160" s="19" t="n">
        <v>12.91692596673966</v>
      </c>
      <c r="L1160" s="19" t="n">
        <v>59.56886056065559</v>
      </c>
      <c r="M1160" s="19" t="n">
        <v>87.56002131700515</v>
      </c>
      <c r="N1160" s="17" t="inlineStr">
        <is>
          <t>B</t>
        </is>
      </c>
      <c r="O1160" s="19" t="n">
        <v>49.23531978726386</v>
      </c>
      <c r="P1160" s="18" t="inlineStr">
        <is>
          <t>KHÔNG ĐỀ XUẤT TĂNG</t>
        </is>
      </c>
      <c r="Q1160" s="17" t="inlineStr">
        <is>
          <t>Có</t>
        </is>
      </c>
      <c r="R1160" s="20" t="n"/>
      <c r="S1160" s="20" t="n"/>
      <c r="T1160" s="21" t="n"/>
      <c r="U1160" s="21" t="n"/>
      <c r="V1160" s="22">
        <f>IF(U1160="A",K1160,IF(U1160="B",L1160,IF(U1160="C",M1160,IF(N1160="A",K1160,IF(N1160="B",L1160,M1160)))))</f>
        <v/>
      </c>
      <c r="W1160" s="22">
        <f>IF(R1160="",O1160,MAX(V1160-R1160-N(S1160),0))</f>
        <v/>
      </c>
      <c r="X1160" s="20" t="n"/>
      <c r="Y1160" s="23">
        <f>IF(OR(X1160="",W1160=0),"",X1160/W1160-1)</f>
        <v/>
      </c>
      <c r="Z1160" s="24" t="n"/>
      <c r="AA1160" s="21" t="n"/>
      <c r="AB1160" s="25" t="n"/>
      <c r="AC1160" s="26">
        <f>IF(T1160="","Chưa quyết định",IF(OR(Z1160="",AA1160=""),"⚠ Thiếu lý do/người duyệt",IF(AND(X1160&lt;&gt;"",N(X1160)+N(R1160)+N(S1160)&gt;M1160*1.001,R1160&lt;&gt;""),"⚠ Vượt mục tiêu P90",IF(AND(Y1160&lt;&gt;"",ABS(N(Y1160))&gt;0.3),"⚠ Lệch &gt; 30% so với nhu cầu",IF(Q1160="Có","ℹ Kiểm tra ngoại suy KM","✓ Hợp lệ")))))</f>
        <v/>
      </c>
    </row>
    <row r="1161">
      <c r="A1161" s="16" t="n">
        <v>1157</v>
      </c>
      <c r="B1161" s="17" t="inlineStr">
        <is>
          <t>DEC-S35-HOME_APPLIANCES</t>
        </is>
      </c>
      <c r="C1161" s="16" t="n">
        <v>35</v>
      </c>
      <c r="D1161" s="17" t="inlineStr">
        <is>
          <t>HOME APPLIANCES</t>
        </is>
      </c>
      <c r="E1161" s="17" t="inlineStr">
        <is>
          <t>HIGH</t>
        </is>
      </c>
      <c r="F1161" s="17" t="inlineStr">
        <is>
          <t>TRUNG BÌNH</t>
        </is>
      </c>
      <c r="G1161" s="18" t="inlineStr">
        <is>
          <t>RISK_HIGH · PROMO_EXTRAPOLATION</t>
        </is>
      </c>
      <c r="H1161" s="19" t="n">
        <v>2.789392054080964</v>
      </c>
      <c r="I1161" s="19" t="n">
        <v>12.86619136109948</v>
      </c>
      <c r="J1161" s="19" t="n">
        <v>85.38020102754236</v>
      </c>
      <c r="K1161" s="19" t="n">
        <v>12.86619136109948</v>
      </c>
      <c r="L1161" s="19" t="n">
        <v>58.18744740262628</v>
      </c>
      <c r="M1161" s="19" t="n">
        <v>85.38020102754236</v>
      </c>
      <c r="N1161" s="17" t="inlineStr">
        <is>
          <t>B</t>
        </is>
      </c>
      <c r="O1161" s="19" t="n">
        <v>47.89449431374669</v>
      </c>
      <c r="P1161" s="18" t="inlineStr">
        <is>
          <t>KHÔNG ĐỀ XUẤT TĂNG</t>
        </is>
      </c>
      <c r="Q1161" s="17" t="inlineStr">
        <is>
          <t>Có</t>
        </is>
      </c>
      <c r="R1161" s="20" t="n"/>
      <c r="S1161" s="20" t="n"/>
      <c r="T1161" s="21" t="n"/>
      <c r="U1161" s="21" t="n"/>
      <c r="V1161" s="22">
        <f>IF(U1161="A",K1161,IF(U1161="B",L1161,IF(U1161="C",M1161,IF(N1161="A",K1161,IF(N1161="B",L1161,M1161)))))</f>
        <v/>
      </c>
      <c r="W1161" s="22">
        <f>IF(R1161="",O1161,MAX(V1161-R1161-N(S1161),0))</f>
        <v/>
      </c>
      <c r="X1161" s="20" t="n"/>
      <c r="Y1161" s="23">
        <f>IF(OR(X1161="",W1161=0),"",X1161/W1161-1)</f>
        <v/>
      </c>
      <c r="Z1161" s="24" t="n"/>
      <c r="AA1161" s="21" t="n"/>
      <c r="AB1161" s="25" t="n"/>
      <c r="AC1161" s="26">
        <f>IF(T1161="","Chưa quyết định",IF(OR(Z1161="",AA1161=""),"⚠ Thiếu lý do/người duyệt",IF(AND(X1161&lt;&gt;"",N(X1161)+N(R1161)+N(S1161)&gt;M1161*1.001,R1161&lt;&gt;""),"⚠ Vượt mục tiêu P90",IF(AND(Y1161&lt;&gt;"",ABS(N(Y1161))&gt;0.3),"⚠ Lệch &gt; 30% so với nhu cầu",IF(Q1161="Có","ℹ Kiểm tra ngoại suy KM","✓ Hợp lệ")))))</f>
        <v/>
      </c>
    </row>
    <row r="1162">
      <c r="A1162" s="16" t="n">
        <v>1158</v>
      </c>
      <c r="B1162" s="17" t="inlineStr">
        <is>
          <t>DEC-S53-BOOKS</t>
        </is>
      </c>
      <c r="C1162" s="16" t="n">
        <v>53</v>
      </c>
      <c r="D1162" s="17" t="inlineStr">
        <is>
          <t>BOOKS</t>
        </is>
      </c>
      <c r="E1162" s="17" t="inlineStr">
        <is>
          <t>HIGH</t>
        </is>
      </c>
      <c r="F1162" s="17" t="inlineStr">
        <is>
          <t>TRUNG BÌNH</t>
        </is>
      </c>
      <c r="G1162" s="18" t="inlineStr">
        <is>
          <t>RISK_HIGH · PROMO_EXTRAPOLATION</t>
        </is>
      </c>
      <c r="H1162" s="19" t="n">
        <v>0.3105180799961091</v>
      </c>
      <c r="I1162" s="19" t="n">
        <v>12.74773471057415</v>
      </c>
      <c r="J1162" s="19" t="n">
        <v>87.39083006083965</v>
      </c>
      <c r="K1162" s="19" t="n">
        <v>12.74773471057415</v>
      </c>
      <c r="L1162" s="19" t="n">
        <v>59.39966930449008</v>
      </c>
      <c r="M1162" s="19" t="n">
        <v>87.39083006083965</v>
      </c>
      <c r="N1162" s="17" t="inlineStr">
        <is>
          <t>B</t>
        </is>
      </c>
      <c r="O1162" s="19" t="n">
        <v>49.20148153603076</v>
      </c>
      <c r="P1162" s="18" t="inlineStr">
        <is>
          <t>KHÔNG ĐỀ XUẤT TĂNG</t>
        </is>
      </c>
      <c r="Q1162" s="17" t="inlineStr">
        <is>
          <t>Có</t>
        </is>
      </c>
      <c r="R1162" s="20" t="n"/>
      <c r="S1162" s="20" t="n"/>
      <c r="T1162" s="21" t="n"/>
      <c r="U1162" s="21" t="n"/>
      <c r="V1162" s="22">
        <f>IF(U1162="A",K1162,IF(U1162="B",L1162,IF(U1162="C",M1162,IF(N1162="A",K1162,IF(N1162="B",L1162,M1162)))))</f>
        <v/>
      </c>
      <c r="W1162" s="22">
        <f>IF(R1162="",O1162,MAX(V1162-R1162-N(S1162),0))</f>
        <v/>
      </c>
      <c r="X1162" s="20" t="n"/>
      <c r="Y1162" s="23">
        <f>IF(OR(X1162="",W1162=0),"",X1162/W1162-1)</f>
        <v/>
      </c>
      <c r="Z1162" s="24" t="n"/>
      <c r="AA1162" s="21" t="n"/>
      <c r="AB1162" s="25" t="n"/>
      <c r="AC1162" s="26">
        <f>IF(T1162="","Chưa quyết định",IF(OR(Z1162="",AA1162=""),"⚠ Thiếu lý do/người duyệt",IF(AND(X1162&lt;&gt;"",N(X1162)+N(R1162)+N(S1162)&gt;M1162*1.001,R1162&lt;&gt;""),"⚠ Vượt mục tiêu P90",IF(AND(Y1162&lt;&gt;"",ABS(N(Y1162))&gt;0.3),"⚠ Lệch &gt; 30% so với nhu cầu",IF(Q1162="Có","ℹ Kiểm tra ngoại suy KM","✓ Hợp lệ")))))</f>
        <v/>
      </c>
    </row>
    <row r="1163">
      <c r="A1163" s="16" t="n">
        <v>1159</v>
      </c>
      <c r="B1163" s="17" t="inlineStr">
        <is>
          <t>DEC-S33-BABY_CARE</t>
        </is>
      </c>
      <c r="C1163" s="16" t="n">
        <v>33</v>
      </c>
      <c r="D1163" s="17" t="inlineStr">
        <is>
          <t>BABY CARE</t>
        </is>
      </c>
      <c r="E1163" s="17" t="inlineStr">
        <is>
          <t>HIGH</t>
        </is>
      </c>
      <c r="F1163" s="17" t="inlineStr">
        <is>
          <t>TRUNG BÌNH</t>
        </is>
      </c>
      <c r="G1163" s="18" t="inlineStr">
        <is>
          <t>RISK_HIGH · PROMO_EXTRAPOLATION</t>
        </is>
      </c>
      <c r="H1163" s="19" t="n">
        <v>1.852587932348252</v>
      </c>
      <c r="I1163" s="19" t="n">
        <v>12.51400707662106</v>
      </c>
      <c r="J1163" s="19" t="n">
        <v>85.02801674306393</v>
      </c>
      <c r="K1163" s="19" t="n">
        <v>12.51400707662106</v>
      </c>
      <c r="L1163" s="19" t="n">
        <v>57.83526311814785</v>
      </c>
      <c r="M1163" s="19" t="n">
        <v>85.02801674306393</v>
      </c>
      <c r="N1163" s="17" t="inlineStr">
        <is>
          <t>B</t>
        </is>
      </c>
      <c r="O1163" s="19" t="n">
        <v>47.82405745685101</v>
      </c>
      <c r="P1163" s="18" t="inlineStr">
        <is>
          <t>KHÔNG ĐỀ XUẤT TĂNG</t>
        </is>
      </c>
      <c r="Q1163" s="17" t="inlineStr">
        <is>
          <t>Có</t>
        </is>
      </c>
      <c r="R1163" s="20" t="n"/>
      <c r="S1163" s="20" t="n"/>
      <c r="T1163" s="21" t="n"/>
      <c r="U1163" s="21" t="n"/>
      <c r="V1163" s="22">
        <f>IF(U1163="A",K1163,IF(U1163="B",L1163,IF(U1163="C",M1163,IF(N1163="A",K1163,IF(N1163="B",L1163,M1163)))))</f>
        <v/>
      </c>
      <c r="W1163" s="22">
        <f>IF(R1163="",O1163,MAX(V1163-R1163-N(S1163),0))</f>
        <v/>
      </c>
      <c r="X1163" s="20" t="n"/>
      <c r="Y1163" s="23">
        <f>IF(OR(X1163="",W1163=0),"",X1163/W1163-1)</f>
        <v/>
      </c>
      <c r="Z1163" s="24" t="n"/>
      <c r="AA1163" s="21" t="n"/>
      <c r="AB1163" s="25" t="n"/>
      <c r="AC1163" s="26">
        <f>IF(T1163="","Chưa quyết định",IF(OR(Z1163="",AA1163=""),"⚠ Thiếu lý do/người duyệt",IF(AND(X1163&lt;&gt;"",N(X1163)+N(R1163)+N(S1163)&gt;M1163*1.001,R1163&lt;&gt;""),"⚠ Vượt mục tiêu P90",IF(AND(Y1163&lt;&gt;"",ABS(N(Y1163))&gt;0.3),"⚠ Lệch &gt; 30% so với nhu cầu",IF(Q1163="Có","ℹ Kiểm tra ngoại suy KM","✓ Hợp lệ")))))</f>
        <v/>
      </c>
    </row>
    <row r="1164">
      <c r="A1164" s="16" t="n">
        <v>1160</v>
      </c>
      <c r="B1164" s="17" t="inlineStr">
        <is>
          <t>DEC-S33-BOOKS</t>
        </is>
      </c>
      <c r="C1164" s="16" t="n">
        <v>33</v>
      </c>
      <c r="D1164" s="17" t="inlineStr">
        <is>
          <t>BOOKS</t>
        </is>
      </c>
      <c r="E1164" s="17" t="inlineStr">
        <is>
          <t>HIGH</t>
        </is>
      </c>
      <c r="F1164" s="17" t="inlineStr">
        <is>
          <t>TRUNG BÌNH</t>
        </is>
      </c>
      <c r="G1164" s="18" t="inlineStr">
        <is>
          <t>RISK_HIGH · PROMO_EXTRAPOLATION</t>
        </is>
      </c>
      <c r="H1164" s="19" t="n">
        <v>1.852587932348252</v>
      </c>
      <c r="I1164" s="19" t="n">
        <v>12.51400707662106</v>
      </c>
      <c r="J1164" s="19" t="n">
        <v>85.02801674306393</v>
      </c>
      <c r="K1164" s="19" t="n">
        <v>12.51400707662106</v>
      </c>
      <c r="L1164" s="19" t="n">
        <v>57.83526311814785</v>
      </c>
      <c r="M1164" s="19" t="n">
        <v>85.02801674306393</v>
      </c>
      <c r="N1164" s="17" t="inlineStr">
        <is>
          <t>B</t>
        </is>
      </c>
      <c r="O1164" s="19" t="n">
        <v>47.82405745685101</v>
      </c>
      <c r="P1164" s="18" t="inlineStr">
        <is>
          <t>KHÔNG ĐỀ XUẤT TĂNG</t>
        </is>
      </c>
      <c r="Q1164" s="17" t="inlineStr">
        <is>
          <t>Có</t>
        </is>
      </c>
      <c r="R1164" s="20" t="n"/>
      <c r="S1164" s="20" t="n"/>
      <c r="T1164" s="21" t="n"/>
      <c r="U1164" s="21" t="n"/>
      <c r="V1164" s="22">
        <f>IF(U1164="A",K1164,IF(U1164="B",L1164,IF(U1164="C",M1164,IF(N1164="A",K1164,IF(N1164="B",L1164,M1164)))))</f>
        <v/>
      </c>
      <c r="W1164" s="22">
        <f>IF(R1164="",O1164,MAX(V1164-R1164-N(S1164),0))</f>
        <v/>
      </c>
      <c r="X1164" s="20" t="n"/>
      <c r="Y1164" s="23">
        <f>IF(OR(X1164="",W1164=0),"",X1164/W1164-1)</f>
        <v/>
      </c>
      <c r="Z1164" s="24" t="n"/>
      <c r="AA1164" s="21" t="n"/>
      <c r="AB1164" s="25" t="n"/>
      <c r="AC1164" s="26">
        <f>IF(T1164="","Chưa quyết định",IF(OR(Z1164="",AA1164=""),"⚠ Thiếu lý do/người duyệt",IF(AND(X1164&lt;&gt;"",N(X1164)+N(R1164)+N(S1164)&gt;M1164*1.001,R1164&lt;&gt;""),"⚠ Vượt mục tiêu P90",IF(AND(Y1164&lt;&gt;"",ABS(N(Y1164))&gt;0.3),"⚠ Lệch &gt; 30% so với nhu cầu",IF(Q1164="Có","ℹ Kiểm tra ngoại suy KM","✓ Hợp lệ")))))</f>
        <v/>
      </c>
    </row>
    <row r="1165">
      <c r="A1165" s="16" t="n">
        <v>1161</v>
      </c>
      <c r="B1165" s="17" t="inlineStr">
        <is>
          <t>DEC-S35-LINGERIE</t>
        </is>
      </c>
      <c r="C1165" s="16" t="n">
        <v>35</v>
      </c>
      <c r="D1165" s="17" t="inlineStr">
        <is>
          <t>LINGERIE</t>
        </is>
      </c>
      <c r="E1165" s="17" t="inlineStr">
        <is>
          <t>HIGH</t>
        </is>
      </c>
      <c r="F1165" s="17" t="inlineStr">
        <is>
          <t>TRUNG BÌNH</t>
        </is>
      </c>
      <c r="G1165" s="18" t="inlineStr">
        <is>
          <t>RISK_HIGH · PROMO_EXTRAPOLATION</t>
        </is>
      </c>
      <c r="H1165" s="19" t="n">
        <v>0.6515942335128786</v>
      </c>
      <c r="I1165" s="19" t="n">
        <v>12.50380758941174</v>
      </c>
      <c r="J1165" s="19" t="n">
        <v>87.14690293967723</v>
      </c>
      <c r="K1165" s="19" t="n">
        <v>12.50380758941174</v>
      </c>
      <c r="L1165" s="19" t="n">
        <v>59.15574218332767</v>
      </c>
      <c r="M1165" s="19" t="n">
        <v>87.14690293967723</v>
      </c>
      <c r="N1165" s="17" t="inlineStr">
        <is>
          <t>B</t>
        </is>
      </c>
      <c r="O1165" s="19" t="n">
        <v>49.15269611179828</v>
      </c>
      <c r="P1165" s="18" t="inlineStr">
        <is>
          <t>KHÔNG ĐỀ XUẤT TĂNG</t>
        </is>
      </c>
      <c r="Q1165" s="17" t="inlineStr">
        <is>
          <t>Có</t>
        </is>
      </c>
      <c r="R1165" s="20" t="n"/>
      <c r="S1165" s="20" t="n"/>
      <c r="T1165" s="21" t="n"/>
      <c r="U1165" s="21" t="n"/>
      <c r="V1165" s="22">
        <f>IF(U1165="A",K1165,IF(U1165="B",L1165,IF(U1165="C",M1165,IF(N1165="A",K1165,IF(N1165="B",L1165,M1165)))))</f>
        <v/>
      </c>
      <c r="W1165" s="22">
        <f>IF(R1165="",O1165,MAX(V1165-R1165-N(S1165),0))</f>
        <v/>
      </c>
      <c r="X1165" s="20" t="n"/>
      <c r="Y1165" s="23">
        <f>IF(OR(X1165="",W1165=0),"",X1165/W1165-1)</f>
        <v/>
      </c>
      <c r="Z1165" s="24" t="n"/>
      <c r="AA1165" s="21" t="n"/>
      <c r="AB1165" s="25" t="n"/>
      <c r="AC1165" s="26">
        <f>IF(T1165="","Chưa quyết định",IF(OR(Z1165="",AA1165=""),"⚠ Thiếu lý do/người duyệt",IF(AND(X1165&lt;&gt;"",N(X1165)+N(R1165)+N(S1165)&gt;M1165*1.001,R1165&lt;&gt;""),"⚠ Vượt mục tiêu P90",IF(AND(Y1165&lt;&gt;"",ABS(N(Y1165))&gt;0.3),"⚠ Lệch &gt; 30% so với nhu cầu",IF(Q1165="Có","ℹ Kiểm tra ngoại suy KM","✓ Hợp lệ")))))</f>
        <v/>
      </c>
    </row>
    <row r="1166">
      <c r="A1166" s="16" t="n">
        <v>1162</v>
      </c>
      <c r="B1166" s="17" t="inlineStr">
        <is>
          <t>DEC-S26-HOME_APPLIANCES</t>
        </is>
      </c>
      <c r="C1166" s="16" t="n">
        <v>26</v>
      </c>
      <c r="D1166" s="17" t="inlineStr">
        <is>
          <t>HOME APPLIANCES</t>
        </is>
      </c>
      <c r="E1166" s="17" t="inlineStr">
        <is>
          <t>HIGH</t>
        </is>
      </c>
      <c r="F1166" s="17" t="inlineStr">
        <is>
          <t>TRUNG BÌNH</t>
        </is>
      </c>
      <c r="G1166" s="18" t="inlineStr">
        <is>
          <t>RISK_HIGH · PROMO_EXTRAPOLATION</t>
        </is>
      </c>
      <c r="H1166" s="19" t="n">
        <v>1.661754041910172</v>
      </c>
      <c r="I1166" s="19" t="n">
        <v>12.4663036800921</v>
      </c>
      <c r="J1166" s="19" t="n">
        <v>84.98031334653497</v>
      </c>
      <c r="K1166" s="19" t="n">
        <v>12.4663036800921</v>
      </c>
      <c r="L1166" s="19" t="n">
        <v>57.78755972161889</v>
      </c>
      <c r="M1166" s="19" t="n">
        <v>84.98031334653497</v>
      </c>
      <c r="N1166" s="17" t="inlineStr">
        <is>
          <t>B</t>
        </is>
      </c>
      <c r="O1166" s="19" t="n">
        <v>47.81451677754522</v>
      </c>
      <c r="P1166" s="18" t="inlineStr">
        <is>
          <t>KHÔNG ĐỀ XUẤT TĂNG</t>
        </is>
      </c>
      <c r="Q1166" s="17" t="inlineStr">
        <is>
          <t>Có</t>
        </is>
      </c>
      <c r="R1166" s="20" t="n"/>
      <c r="S1166" s="20" t="n"/>
      <c r="T1166" s="21" t="n"/>
      <c r="U1166" s="21" t="n"/>
      <c r="V1166" s="22">
        <f>IF(U1166="A",K1166,IF(U1166="B",L1166,IF(U1166="C",M1166,IF(N1166="A",K1166,IF(N1166="B",L1166,M1166)))))</f>
        <v/>
      </c>
      <c r="W1166" s="22">
        <f>IF(R1166="",O1166,MAX(V1166-R1166-N(S1166),0))</f>
        <v/>
      </c>
      <c r="X1166" s="20" t="n"/>
      <c r="Y1166" s="23">
        <f>IF(OR(X1166="",W1166=0),"",X1166/W1166-1)</f>
        <v/>
      </c>
      <c r="Z1166" s="24" t="n"/>
      <c r="AA1166" s="21" t="n"/>
      <c r="AB1166" s="25" t="n"/>
      <c r="AC1166" s="26">
        <f>IF(T1166="","Chưa quyết định",IF(OR(Z1166="",AA1166=""),"⚠ Thiếu lý do/người duyệt",IF(AND(X1166&lt;&gt;"",N(X1166)+N(R1166)+N(S1166)&gt;M1166*1.001,R1166&lt;&gt;""),"⚠ Vượt mục tiêu P90",IF(AND(Y1166&lt;&gt;"",ABS(N(Y1166))&gt;0.3),"⚠ Lệch &gt; 30% so với nhu cầu",IF(Q1166="Có","ℹ Kiểm tra ngoại suy KM","✓ Hợp lệ")))))</f>
        <v/>
      </c>
    </row>
    <row r="1167">
      <c r="A1167" s="16" t="n">
        <v>1163</v>
      </c>
      <c r="B1167" s="17" t="inlineStr">
        <is>
          <t>DEC-S30-LADIESWEAR</t>
        </is>
      </c>
      <c r="C1167" s="16" t="n">
        <v>30</v>
      </c>
      <c r="D1167" s="17" t="inlineStr">
        <is>
          <t>LADIESWEAR</t>
        </is>
      </c>
      <c r="E1167" s="17" t="inlineStr">
        <is>
          <t>HIGH</t>
        </is>
      </c>
      <c r="F1167" s="17" t="inlineStr">
        <is>
          <t>TRUNG BÌNH</t>
        </is>
      </c>
      <c r="G1167" s="18" t="inlineStr">
        <is>
          <t>RISK_HIGH · PROMO_EXTRAPOLATION</t>
        </is>
      </c>
      <c r="H1167" s="19" t="n">
        <v>2.075976365804673</v>
      </c>
      <c r="I1167" s="19" t="n">
        <v>12.45286585018039</v>
      </c>
      <c r="J1167" s="19" t="n">
        <v>84.96687551662326</v>
      </c>
      <c r="K1167" s="19" t="n">
        <v>12.45286585018039</v>
      </c>
      <c r="L1167" s="19" t="n">
        <v>57.77412189170718</v>
      </c>
      <c r="M1167" s="19" t="n">
        <v>84.96687551662326</v>
      </c>
      <c r="N1167" s="17" t="inlineStr">
        <is>
          <t>B</t>
        </is>
      </c>
      <c r="O1167" s="19" t="n">
        <v>47.81182921156287</v>
      </c>
      <c r="P1167" s="18" t="inlineStr">
        <is>
          <t>KHÔNG ĐỀ XUẤT TĂNG</t>
        </is>
      </c>
      <c r="Q1167" s="17" t="inlineStr">
        <is>
          <t>Có</t>
        </is>
      </c>
      <c r="R1167" s="20" t="n"/>
      <c r="S1167" s="20" t="n"/>
      <c r="T1167" s="21" t="n"/>
      <c r="U1167" s="21" t="n"/>
      <c r="V1167" s="22">
        <f>IF(U1167="A",K1167,IF(U1167="B",L1167,IF(U1167="C",M1167,IF(N1167="A",K1167,IF(N1167="B",L1167,M1167)))))</f>
        <v/>
      </c>
      <c r="W1167" s="22">
        <f>IF(R1167="",O1167,MAX(V1167-R1167-N(S1167),0))</f>
        <v/>
      </c>
      <c r="X1167" s="20" t="n"/>
      <c r="Y1167" s="23">
        <f>IF(OR(X1167="",W1167=0),"",X1167/W1167-1)</f>
        <v/>
      </c>
      <c r="Z1167" s="24" t="n"/>
      <c r="AA1167" s="21" t="n"/>
      <c r="AB1167" s="25" t="n"/>
      <c r="AC1167" s="26">
        <f>IF(T1167="","Chưa quyết định",IF(OR(Z1167="",AA1167=""),"⚠ Thiếu lý do/người duyệt",IF(AND(X1167&lt;&gt;"",N(X1167)+N(R1167)+N(S1167)&gt;M1167*1.001,R1167&lt;&gt;""),"⚠ Vượt mục tiêu P90",IF(AND(Y1167&lt;&gt;"",ABS(N(Y1167))&gt;0.3),"⚠ Lệch &gt; 30% so với nhu cầu",IF(Q1167="Có","ℹ Kiểm tra ngoại suy KM","✓ Hợp lệ")))))</f>
        <v/>
      </c>
    </row>
    <row r="1168">
      <c r="A1168" s="16" t="n">
        <v>1164</v>
      </c>
      <c r="B1168" s="17" t="inlineStr">
        <is>
          <t>DEC-S22-HOME_APPLIANCES</t>
        </is>
      </c>
      <c r="C1168" s="16" t="n">
        <v>22</v>
      </c>
      <c r="D1168" s="17" t="inlineStr">
        <is>
          <t>HOME APPLIANCES</t>
        </is>
      </c>
      <c r="E1168" s="17" t="inlineStr">
        <is>
          <t>HIGH</t>
        </is>
      </c>
      <c r="F1168" s="17" t="inlineStr">
        <is>
          <t>TRUNG BÌNH</t>
        </is>
      </c>
      <c r="G1168" s="18" t="inlineStr">
        <is>
          <t>RISK_HIGH · PROMO_EXTRAPOLATION</t>
        </is>
      </c>
      <c r="H1168" s="19" t="n">
        <v>1.922234588861466</v>
      </c>
      <c r="I1168" s="19" t="n">
        <v>12.3574116975069</v>
      </c>
      <c r="J1168" s="19" t="n">
        <v>84.87142136394978</v>
      </c>
      <c r="K1168" s="19" t="n">
        <v>12.3574116975069</v>
      </c>
      <c r="L1168" s="19" t="n">
        <v>57.6786677390337</v>
      </c>
      <c r="M1168" s="19" t="n">
        <v>84.87142136394978</v>
      </c>
      <c r="N1168" s="17" t="inlineStr">
        <is>
          <t>B</t>
        </is>
      </c>
      <c r="O1168" s="19" t="n">
        <v>47.79273838102817</v>
      </c>
      <c r="P1168" s="18" t="inlineStr">
        <is>
          <t>KHÔNG ĐỀ XUẤT TĂNG</t>
        </is>
      </c>
      <c r="Q1168" s="17" t="inlineStr">
        <is>
          <t>Có</t>
        </is>
      </c>
      <c r="R1168" s="20" t="n"/>
      <c r="S1168" s="20" t="n"/>
      <c r="T1168" s="21" t="n"/>
      <c r="U1168" s="21" t="n"/>
      <c r="V1168" s="22">
        <f>IF(U1168="A",K1168,IF(U1168="B",L1168,IF(U1168="C",M1168,IF(N1168="A",K1168,IF(N1168="B",L1168,M1168)))))</f>
        <v/>
      </c>
      <c r="W1168" s="22">
        <f>IF(R1168="",O1168,MAX(V1168-R1168-N(S1168),0))</f>
        <v/>
      </c>
      <c r="X1168" s="20" t="n"/>
      <c r="Y1168" s="23">
        <f>IF(OR(X1168="",W1168=0),"",X1168/W1168-1)</f>
        <v/>
      </c>
      <c r="Z1168" s="24" t="n"/>
      <c r="AA1168" s="21" t="n"/>
      <c r="AB1168" s="25" t="n"/>
      <c r="AC1168" s="26">
        <f>IF(T1168="","Chưa quyết định",IF(OR(Z1168="",AA1168=""),"⚠ Thiếu lý do/người duyệt",IF(AND(X1168&lt;&gt;"",N(X1168)+N(R1168)+N(S1168)&gt;M1168*1.001,R1168&lt;&gt;""),"⚠ Vượt mục tiêu P90",IF(AND(Y1168&lt;&gt;"",ABS(N(Y1168))&gt;0.3),"⚠ Lệch &gt; 30% so với nhu cầu",IF(Q1168="Có","ℹ Kiểm tra ngoại suy KM","✓ Hợp lệ")))))</f>
        <v/>
      </c>
    </row>
    <row r="1169">
      <c r="A1169" s="16" t="n">
        <v>1165</v>
      </c>
      <c r="B1169" s="17" t="inlineStr">
        <is>
          <t>DEC-S25-BOOKS</t>
        </is>
      </c>
      <c r="C1169" s="16" t="n">
        <v>25</v>
      </c>
      <c r="D1169" s="17" t="inlineStr">
        <is>
          <t>BOOKS</t>
        </is>
      </c>
      <c r="E1169" s="17" t="inlineStr">
        <is>
          <t>HIGH</t>
        </is>
      </c>
      <c r="F1169" s="17" t="inlineStr">
        <is>
          <t>TRUNG BÌNH</t>
        </is>
      </c>
      <c r="G1169" s="18" t="inlineStr">
        <is>
          <t>RISK_HIGH · PROMO_EXTRAPOLATION</t>
        </is>
      </c>
      <c r="H1169" s="19" t="n">
        <v>2.859262794256211</v>
      </c>
      <c r="I1169" s="19" t="n">
        <v>12.19143543019891</v>
      </c>
      <c r="J1169" s="19" t="n">
        <v>82.57635941281914</v>
      </c>
      <c r="K1169" s="19" t="n">
        <v>12.19143543019891</v>
      </c>
      <c r="L1169" s="19" t="n">
        <v>56.18201291933655</v>
      </c>
      <c r="M1169" s="19" t="n">
        <v>82.57635941281914</v>
      </c>
      <c r="N1169" s="17" t="inlineStr">
        <is>
          <t>B</t>
        </is>
      </c>
      <c r="O1169" s="19" t="n">
        <v>46.42886457517742</v>
      </c>
      <c r="P1169" s="18" t="inlineStr">
        <is>
          <t>KHÔNG ĐỀ XUẤT TĂNG</t>
        </is>
      </c>
      <c r="Q1169" s="17" t="inlineStr">
        <is>
          <t>Có</t>
        </is>
      </c>
      <c r="R1169" s="20" t="n"/>
      <c r="S1169" s="20" t="n"/>
      <c r="T1169" s="21" t="n"/>
      <c r="U1169" s="21" t="n"/>
      <c r="V1169" s="22">
        <f>IF(U1169="A",K1169,IF(U1169="B",L1169,IF(U1169="C",M1169,IF(N1169="A",K1169,IF(N1169="B",L1169,M1169)))))</f>
        <v/>
      </c>
      <c r="W1169" s="22">
        <f>IF(R1169="",O1169,MAX(V1169-R1169-N(S1169),0))</f>
        <v/>
      </c>
      <c r="X1169" s="20" t="n"/>
      <c r="Y1169" s="23">
        <f>IF(OR(X1169="",W1169=0),"",X1169/W1169-1)</f>
        <v/>
      </c>
      <c r="Z1169" s="24" t="n"/>
      <c r="AA1169" s="21" t="n"/>
      <c r="AB1169" s="25" t="n"/>
      <c r="AC1169" s="26">
        <f>IF(T1169="","Chưa quyết định",IF(OR(Z1169="",AA1169=""),"⚠ Thiếu lý do/người duyệt",IF(AND(X1169&lt;&gt;"",N(X1169)+N(R1169)+N(S1169)&gt;M1169*1.001,R1169&lt;&gt;""),"⚠ Vượt mục tiêu P90",IF(AND(Y1169&lt;&gt;"",ABS(N(Y1169))&gt;0.3),"⚠ Lệch &gt; 30% so với nhu cầu",IF(Q1169="Có","ℹ Kiểm tra ngoại suy KM","✓ Hợp lệ")))))</f>
        <v/>
      </c>
    </row>
    <row r="1170">
      <c r="A1170" s="16" t="n">
        <v>1166</v>
      </c>
      <c r="B1170" s="17" t="inlineStr">
        <is>
          <t>DEC-S01-BABY_CARE</t>
        </is>
      </c>
      <c r="C1170" s="16" t="n">
        <v>1</v>
      </c>
      <c r="D1170" s="17" t="inlineStr">
        <is>
          <t>BABY CARE</t>
        </is>
      </c>
      <c r="E1170" s="17" t="inlineStr">
        <is>
          <t>HIGH</t>
        </is>
      </c>
      <c r="F1170" s="17" t="inlineStr">
        <is>
          <t>TRUNG BÌNH</t>
        </is>
      </c>
      <c r="G1170" s="18" t="inlineStr">
        <is>
          <t>RISK_HIGH · PROMO_EXTRAPOLATION</t>
        </is>
      </c>
      <c r="H1170" s="19" t="n">
        <v>1.525503307580948</v>
      </c>
      <c r="I1170" s="19" t="n">
        <v>12.03330852556974</v>
      </c>
      <c r="J1170" s="19" t="n">
        <v>84.54731819201261</v>
      </c>
      <c r="K1170" s="19" t="n">
        <v>12.03330852556974</v>
      </c>
      <c r="L1170" s="19" t="n">
        <v>57.35456456709653</v>
      </c>
      <c r="M1170" s="19" t="n">
        <v>84.54731819201261</v>
      </c>
      <c r="N1170" s="17" t="inlineStr">
        <is>
          <t>B</t>
        </is>
      </c>
      <c r="O1170" s="19" t="n">
        <v>47.72791774664074</v>
      </c>
      <c r="P1170" s="18" t="inlineStr">
        <is>
          <t>KHÔNG ĐỀ XUẤT TĂNG</t>
        </is>
      </c>
      <c r="Q1170" s="17" t="inlineStr">
        <is>
          <t>Có</t>
        </is>
      </c>
      <c r="R1170" s="20" t="n"/>
      <c r="S1170" s="20" t="n"/>
      <c r="T1170" s="21" t="n"/>
      <c r="U1170" s="21" t="n"/>
      <c r="V1170" s="22">
        <f>IF(U1170="A",K1170,IF(U1170="B",L1170,IF(U1170="C",M1170,IF(N1170="A",K1170,IF(N1170="B",L1170,M1170)))))</f>
        <v/>
      </c>
      <c r="W1170" s="22">
        <f>IF(R1170="",O1170,MAX(V1170-R1170-N(S1170),0))</f>
        <v/>
      </c>
      <c r="X1170" s="20" t="n"/>
      <c r="Y1170" s="23">
        <f>IF(OR(X1170="",W1170=0),"",X1170/W1170-1)</f>
        <v/>
      </c>
      <c r="Z1170" s="24" t="n"/>
      <c r="AA1170" s="21" t="n"/>
      <c r="AB1170" s="25" t="n"/>
      <c r="AC1170" s="26">
        <f>IF(T1170="","Chưa quyết định",IF(OR(Z1170="",AA1170=""),"⚠ Thiếu lý do/người duyệt",IF(AND(X1170&lt;&gt;"",N(X1170)+N(R1170)+N(S1170)&gt;M1170*1.001,R1170&lt;&gt;""),"⚠ Vượt mục tiêu P90",IF(AND(Y1170&lt;&gt;"",ABS(N(Y1170))&gt;0.3),"⚠ Lệch &gt; 30% so với nhu cầu",IF(Q1170="Có","ℹ Kiểm tra ngoại suy KM","✓ Hợp lệ")))))</f>
        <v/>
      </c>
    </row>
    <row r="1171">
      <c r="A1171" s="16" t="n">
        <v>1167</v>
      </c>
      <c r="B1171" s="17" t="inlineStr">
        <is>
          <t>DEC-S13-PET_SUPPLIES</t>
        </is>
      </c>
      <c r="C1171" s="16" t="n">
        <v>13</v>
      </c>
      <c r="D1171" s="17" t="inlineStr">
        <is>
          <t>PET SUPPLIES</t>
        </is>
      </c>
      <c r="E1171" s="17" t="inlineStr">
        <is>
          <t>HIGH</t>
        </is>
      </c>
      <c r="F1171" s="17" t="inlineStr">
        <is>
          <t>TRUNG BÌNH</t>
        </is>
      </c>
      <c r="G1171" s="18" t="inlineStr">
        <is>
          <t>RISK_HIGH · PROMO_EXTRAPOLATION</t>
        </is>
      </c>
      <c r="H1171" s="19" t="n">
        <v>2.89848273396492</v>
      </c>
      <c r="I1171" s="19" t="n">
        <v>11.95812156097964</v>
      </c>
      <c r="J1171" s="19" t="n">
        <v>82.34304554359987</v>
      </c>
      <c r="K1171" s="19" t="n">
        <v>11.95812156097964</v>
      </c>
      <c r="L1171" s="19" t="n">
        <v>55.94869905011728</v>
      </c>
      <c r="M1171" s="19" t="n">
        <v>82.34304554359987</v>
      </c>
      <c r="N1171" s="17" t="inlineStr">
        <is>
          <t>B</t>
        </is>
      </c>
      <c r="O1171" s="19" t="n">
        <v>46.38220180133357</v>
      </c>
      <c r="P1171" s="18" t="inlineStr">
        <is>
          <t>KHÔNG ĐỀ XUẤT TĂNG</t>
        </is>
      </c>
      <c r="Q1171" s="17" t="inlineStr">
        <is>
          <t>Có</t>
        </is>
      </c>
      <c r="R1171" s="20" t="n"/>
      <c r="S1171" s="20" t="n"/>
      <c r="T1171" s="21" t="n"/>
      <c r="U1171" s="21" t="n"/>
      <c r="V1171" s="22">
        <f>IF(U1171="A",K1171,IF(U1171="B",L1171,IF(U1171="C",M1171,IF(N1171="A",K1171,IF(N1171="B",L1171,M1171)))))</f>
        <v/>
      </c>
      <c r="W1171" s="22">
        <f>IF(R1171="",O1171,MAX(V1171-R1171-N(S1171),0))</f>
        <v/>
      </c>
      <c r="X1171" s="20" t="n"/>
      <c r="Y1171" s="23">
        <f>IF(OR(X1171="",W1171=0),"",X1171/W1171-1)</f>
        <v/>
      </c>
      <c r="Z1171" s="24" t="n"/>
      <c r="AA1171" s="21" t="n"/>
      <c r="AB1171" s="25" t="n"/>
      <c r="AC1171" s="26">
        <f>IF(T1171="","Chưa quyết định",IF(OR(Z1171="",AA1171=""),"⚠ Thiếu lý do/người duyệt",IF(AND(X1171&lt;&gt;"",N(X1171)+N(R1171)+N(S1171)&gt;M1171*1.001,R1171&lt;&gt;""),"⚠ Vượt mục tiêu P90",IF(AND(Y1171&lt;&gt;"",ABS(N(Y1171))&gt;0.3),"⚠ Lệch &gt; 30% so với nhu cầu",IF(Q1171="Có","ℹ Kiểm tra ngoại suy KM","✓ Hợp lệ")))))</f>
        <v/>
      </c>
    </row>
    <row r="1172">
      <c r="A1172" s="16" t="n">
        <v>1168</v>
      </c>
      <c r="B1172" s="17" t="inlineStr">
        <is>
          <t>DEC-S05-BOOKS</t>
        </is>
      </c>
      <c r="C1172" s="16" t="n">
        <v>5</v>
      </c>
      <c r="D1172" s="17" t="inlineStr">
        <is>
          <t>BOOKS</t>
        </is>
      </c>
      <c r="E1172" s="17" t="inlineStr">
        <is>
          <t>HIGH</t>
        </is>
      </c>
      <c r="F1172" s="17" t="inlineStr">
        <is>
          <t>TRUNG BÌNH</t>
        </is>
      </c>
      <c r="G1172" s="18" t="inlineStr">
        <is>
          <t>RISK_HIGH · PROMO_EXTRAPOLATION</t>
        </is>
      </c>
      <c r="H1172" s="19" t="n">
        <v>1.468731093406678</v>
      </c>
      <c r="I1172" s="19" t="n">
        <v>11.75462140887976</v>
      </c>
      <c r="J1172" s="19" t="n">
        <v>84.26863107532263</v>
      </c>
      <c r="K1172" s="19" t="n">
        <v>11.75462140887976</v>
      </c>
      <c r="L1172" s="19" t="n">
        <v>57.07587745040655</v>
      </c>
      <c r="M1172" s="19" t="n">
        <v>84.26863107532263</v>
      </c>
      <c r="N1172" s="17" t="inlineStr">
        <is>
          <t>B</t>
        </is>
      </c>
      <c r="O1172" s="19" t="n">
        <v>47.67218032330275</v>
      </c>
      <c r="P1172" s="18" t="inlineStr">
        <is>
          <t>KHÔNG ĐỀ XUẤT TĂNG</t>
        </is>
      </c>
      <c r="Q1172" s="17" t="inlineStr">
        <is>
          <t>Có</t>
        </is>
      </c>
      <c r="R1172" s="20" t="n"/>
      <c r="S1172" s="20" t="n"/>
      <c r="T1172" s="21" t="n"/>
      <c r="U1172" s="21" t="n"/>
      <c r="V1172" s="22">
        <f>IF(U1172="A",K1172,IF(U1172="B",L1172,IF(U1172="C",M1172,IF(N1172="A",K1172,IF(N1172="B",L1172,M1172)))))</f>
        <v/>
      </c>
      <c r="W1172" s="22">
        <f>IF(R1172="",O1172,MAX(V1172-R1172-N(S1172),0))</f>
        <v/>
      </c>
      <c r="X1172" s="20" t="n"/>
      <c r="Y1172" s="23">
        <f>IF(OR(X1172="",W1172=0),"",X1172/W1172-1)</f>
        <v/>
      </c>
      <c r="Z1172" s="24" t="n"/>
      <c r="AA1172" s="21" t="n"/>
      <c r="AB1172" s="25" t="n"/>
      <c r="AC1172" s="26">
        <f>IF(T1172="","Chưa quyết định",IF(OR(Z1172="",AA1172=""),"⚠ Thiếu lý do/người duyệt",IF(AND(X1172&lt;&gt;"",N(X1172)+N(R1172)+N(S1172)&gt;M1172*1.001,R1172&lt;&gt;""),"⚠ Vượt mục tiêu P90",IF(AND(Y1172&lt;&gt;"",ABS(N(Y1172))&gt;0.3),"⚠ Lệch &gt; 30% so với nhu cầu",IF(Q1172="Có","ℹ Kiểm tra ngoại suy KM","✓ Hợp lệ")))))</f>
        <v/>
      </c>
    </row>
    <row r="1173">
      <c r="A1173" s="16" t="n">
        <v>1169</v>
      </c>
      <c r="B1173" s="17" t="inlineStr">
        <is>
          <t>DEC-S10-MAGAZINES</t>
        </is>
      </c>
      <c r="C1173" s="16" t="n">
        <v>10</v>
      </c>
      <c r="D1173" s="17" t="inlineStr">
        <is>
          <t>MAGAZINES</t>
        </is>
      </c>
      <c r="E1173" s="17" t="inlineStr">
        <is>
          <t>HIGH</t>
        </is>
      </c>
      <c r="F1173" s="17" t="inlineStr">
        <is>
          <t>TRUNG BÌNH</t>
        </is>
      </c>
      <c r="G1173" s="18" t="inlineStr">
        <is>
          <t>RISK_HIGH · PROMO_EXTRAPOLATION</t>
        </is>
      </c>
      <c r="H1173" s="19" t="n">
        <v>1.769885540008545</v>
      </c>
      <c r="I1173" s="19" t="n">
        <v>11.61158777028322</v>
      </c>
      <c r="J1173" s="19" t="n">
        <v>84.1255974367261</v>
      </c>
      <c r="K1173" s="19" t="n">
        <v>11.61158777028322</v>
      </c>
      <c r="L1173" s="19" t="n">
        <v>56.93284381181002</v>
      </c>
      <c r="M1173" s="19" t="n">
        <v>84.1255974367261</v>
      </c>
      <c r="N1173" s="17" t="inlineStr">
        <is>
          <t>B</t>
        </is>
      </c>
      <c r="O1173" s="19" t="n">
        <v>47.64357359558344</v>
      </c>
      <c r="P1173" s="18" t="inlineStr">
        <is>
          <t>KHÔNG ĐỀ XUẤT TĂNG</t>
        </is>
      </c>
      <c r="Q1173" s="17" t="inlineStr">
        <is>
          <t>Có</t>
        </is>
      </c>
      <c r="R1173" s="20" t="n"/>
      <c r="S1173" s="20" t="n"/>
      <c r="T1173" s="21" t="n"/>
      <c r="U1173" s="21" t="n"/>
      <c r="V1173" s="22">
        <f>IF(U1173="A",K1173,IF(U1173="B",L1173,IF(U1173="C",M1173,IF(N1173="A",K1173,IF(N1173="B",L1173,M1173)))))</f>
        <v/>
      </c>
      <c r="W1173" s="22">
        <f>IF(R1173="",O1173,MAX(V1173-R1173-N(S1173),0))</f>
        <v/>
      </c>
      <c r="X1173" s="20" t="n"/>
      <c r="Y1173" s="23">
        <f>IF(OR(X1173="",W1173=0),"",X1173/W1173-1)</f>
        <v/>
      </c>
      <c r="Z1173" s="24" t="n"/>
      <c r="AA1173" s="21" t="n"/>
      <c r="AB1173" s="25" t="n"/>
      <c r="AC1173" s="26">
        <f>IF(T1173="","Chưa quyết định",IF(OR(Z1173="",AA1173=""),"⚠ Thiếu lý do/người duyệt",IF(AND(X1173&lt;&gt;"",N(X1173)+N(R1173)+N(S1173)&gt;M1173*1.001,R1173&lt;&gt;""),"⚠ Vượt mục tiêu P90",IF(AND(Y1173&lt;&gt;"",ABS(N(Y1173))&gt;0.3),"⚠ Lệch &gt; 30% so với nhu cầu",IF(Q1173="Có","ℹ Kiểm tra ngoại suy KM","✓ Hợp lệ")))))</f>
        <v/>
      </c>
    </row>
    <row r="1174">
      <c r="A1174" s="16" t="n">
        <v>1170</v>
      </c>
      <c r="B1174" s="17" t="inlineStr">
        <is>
          <t>DEC-S32-HARDWARE</t>
        </is>
      </c>
      <c r="C1174" s="16" t="n">
        <v>32</v>
      </c>
      <c r="D1174" s="17" t="inlineStr">
        <is>
          <t>HARDWARE</t>
        </is>
      </c>
      <c r="E1174" s="17" t="inlineStr">
        <is>
          <t>HIGH</t>
        </is>
      </c>
      <c r="F1174" s="17" t="inlineStr">
        <is>
          <t>TRUNG BÌNH</t>
        </is>
      </c>
      <c r="G1174" s="18" t="inlineStr">
        <is>
          <t>RISK_HIGH · PROMO_EXTRAPOLATION</t>
        </is>
      </c>
      <c r="H1174" s="19" t="n">
        <v>1.699402236938477</v>
      </c>
      <c r="I1174" s="19" t="n">
        <v>11.10542378202081</v>
      </c>
      <c r="J1174" s="19" t="n">
        <v>83.61943344846368</v>
      </c>
      <c r="K1174" s="19" t="n">
        <v>11.10542378202081</v>
      </c>
      <c r="L1174" s="19" t="n">
        <v>56.4266798235476</v>
      </c>
      <c r="M1174" s="19" t="n">
        <v>83.61943344846368</v>
      </c>
      <c r="N1174" s="17" t="inlineStr">
        <is>
          <t>B</t>
        </is>
      </c>
      <c r="O1174" s="19" t="n">
        <v>47.54234079793096</v>
      </c>
      <c r="P1174" s="18" t="inlineStr">
        <is>
          <t>KHÔNG ĐỀ XUẤT TĂNG</t>
        </is>
      </c>
      <c r="Q1174" s="17" t="inlineStr">
        <is>
          <t>Có</t>
        </is>
      </c>
      <c r="R1174" s="20" t="n"/>
      <c r="S1174" s="20" t="n"/>
      <c r="T1174" s="21" t="n"/>
      <c r="U1174" s="21" t="n"/>
      <c r="V1174" s="22">
        <f>IF(U1174="A",K1174,IF(U1174="B",L1174,IF(U1174="C",M1174,IF(N1174="A",K1174,IF(N1174="B",L1174,M1174)))))</f>
        <v/>
      </c>
      <c r="W1174" s="22">
        <f>IF(R1174="",O1174,MAX(V1174-R1174-N(S1174),0))</f>
        <v/>
      </c>
      <c r="X1174" s="20" t="n"/>
      <c r="Y1174" s="23">
        <f>IF(OR(X1174="",W1174=0),"",X1174/W1174-1)</f>
        <v/>
      </c>
      <c r="Z1174" s="24" t="n"/>
      <c r="AA1174" s="21" t="n"/>
      <c r="AB1174" s="25" t="n"/>
      <c r="AC1174" s="26">
        <f>IF(T1174="","Chưa quyết định",IF(OR(Z1174="",AA1174=""),"⚠ Thiếu lý do/người duyệt",IF(AND(X1174&lt;&gt;"",N(X1174)+N(R1174)+N(S1174)&gt;M1174*1.001,R1174&lt;&gt;""),"⚠ Vượt mục tiêu P90",IF(AND(Y1174&lt;&gt;"",ABS(N(Y1174))&gt;0.3),"⚠ Lệch &gt; 30% so với nhu cầu",IF(Q1174="Có","ℹ Kiểm tra ngoại suy KM","✓ Hợp lệ")))))</f>
        <v/>
      </c>
    </row>
    <row r="1175">
      <c r="A1175" s="16" t="n">
        <v>1171</v>
      </c>
      <c r="B1175" s="17" t="inlineStr">
        <is>
          <t>DEC-S25-LADIESWEAR</t>
        </is>
      </c>
      <c r="C1175" s="16" t="n">
        <v>25</v>
      </c>
      <c r="D1175" s="17" t="inlineStr">
        <is>
          <t>LADIESWEAR</t>
        </is>
      </c>
      <c r="E1175" s="17" t="inlineStr">
        <is>
          <t>HIGH</t>
        </is>
      </c>
      <c r="F1175" s="17" t="inlineStr">
        <is>
          <t>TRUNG BÌNH</t>
        </is>
      </c>
      <c r="G1175" s="18" t="inlineStr">
        <is>
          <t>RISK_HIGH · PROMO_EXTRAPOLATION</t>
        </is>
      </c>
      <c r="H1175" s="19" t="n">
        <v>1.927514478564262</v>
      </c>
      <c r="I1175" s="19" t="n">
        <v>10.98309906572104</v>
      </c>
      <c r="J1175" s="19" t="n">
        <v>81.36802304834127</v>
      </c>
      <c r="K1175" s="19" t="n">
        <v>10.98309906572104</v>
      </c>
      <c r="L1175" s="19" t="n">
        <v>54.97367655485868</v>
      </c>
      <c r="M1175" s="19" t="n">
        <v>81.36802304834127</v>
      </c>
      <c r="N1175" s="17" t="inlineStr">
        <is>
          <t>B</t>
        </is>
      </c>
      <c r="O1175" s="19" t="n">
        <v>46.18719730228185</v>
      </c>
      <c r="P1175" s="18" t="inlineStr">
        <is>
          <t>KHÔNG ĐỀ XUẤT TĂNG</t>
        </is>
      </c>
      <c r="Q1175" s="17" t="inlineStr">
        <is>
          <t>Có</t>
        </is>
      </c>
      <c r="R1175" s="20" t="n"/>
      <c r="S1175" s="20" t="n"/>
      <c r="T1175" s="21" t="n"/>
      <c r="U1175" s="21" t="n"/>
      <c r="V1175" s="22">
        <f>IF(U1175="A",K1175,IF(U1175="B",L1175,IF(U1175="C",M1175,IF(N1175="A",K1175,IF(N1175="B",L1175,M1175)))))</f>
        <v/>
      </c>
      <c r="W1175" s="22">
        <f>IF(R1175="",O1175,MAX(V1175-R1175-N(S1175),0))</f>
        <v/>
      </c>
      <c r="X1175" s="20" t="n"/>
      <c r="Y1175" s="23">
        <f>IF(OR(X1175="",W1175=0),"",X1175/W1175-1)</f>
        <v/>
      </c>
      <c r="Z1175" s="24" t="n"/>
      <c r="AA1175" s="21" t="n"/>
      <c r="AB1175" s="25" t="n"/>
      <c r="AC1175" s="26">
        <f>IF(T1175="","Chưa quyết định",IF(OR(Z1175="",AA1175=""),"⚠ Thiếu lý do/người duyệt",IF(AND(X1175&lt;&gt;"",N(X1175)+N(R1175)+N(S1175)&gt;M1175*1.001,R1175&lt;&gt;""),"⚠ Vượt mục tiêu P90",IF(AND(Y1175&lt;&gt;"",ABS(N(Y1175))&gt;0.3),"⚠ Lệch &gt; 30% so với nhu cầu",IF(Q1175="Có","ℹ Kiểm tra ngoại suy KM","✓ Hợp lệ")))))</f>
        <v/>
      </c>
    </row>
    <row r="1176">
      <c r="A1176" s="16" t="n">
        <v>1172</v>
      </c>
      <c r="B1176" s="17" t="inlineStr">
        <is>
          <t>DEC-S10-LINGERIE</t>
        </is>
      </c>
      <c r="C1176" s="16" t="n">
        <v>10</v>
      </c>
      <c r="D1176" s="17" t="inlineStr">
        <is>
          <t>LINGERIE</t>
        </is>
      </c>
      <c r="E1176" s="17" t="inlineStr">
        <is>
          <t>HIGH</t>
        </is>
      </c>
      <c r="F1176" s="17" t="inlineStr">
        <is>
          <t>TRUNG BÌNH</t>
        </is>
      </c>
      <c r="G1176" s="18" t="inlineStr">
        <is>
          <t>RISK_HIGH · PROMO_EXTRAPOLATION</t>
        </is>
      </c>
      <c r="H1176" s="19" t="n">
        <v>2.147058111429215</v>
      </c>
      <c r="I1176" s="19" t="n">
        <v>10.88013216853142</v>
      </c>
      <c r="J1176" s="19" t="n">
        <v>81.26505615115165</v>
      </c>
      <c r="K1176" s="19" t="n">
        <v>10.88013216853142</v>
      </c>
      <c r="L1176" s="19" t="n">
        <v>54.87070965766906</v>
      </c>
      <c r="M1176" s="19" t="n">
        <v>81.26505615115165</v>
      </c>
      <c r="N1176" s="17" t="inlineStr">
        <is>
          <t>B</t>
        </is>
      </c>
      <c r="O1176" s="19" t="n">
        <v>46.16660392284393</v>
      </c>
      <c r="P1176" s="18" t="inlineStr">
        <is>
          <t>KHÔNG ĐỀ XUẤT TĂNG</t>
        </is>
      </c>
      <c r="Q1176" s="17" t="inlineStr">
        <is>
          <t>Có</t>
        </is>
      </c>
      <c r="R1176" s="20" t="n"/>
      <c r="S1176" s="20" t="n"/>
      <c r="T1176" s="21" t="n"/>
      <c r="U1176" s="21" t="n"/>
      <c r="V1176" s="22">
        <f>IF(U1176="A",K1176,IF(U1176="B",L1176,IF(U1176="C",M1176,IF(N1176="A",K1176,IF(N1176="B",L1176,M1176)))))</f>
        <v/>
      </c>
      <c r="W1176" s="22">
        <f>IF(R1176="",O1176,MAX(V1176-R1176-N(S1176),0))</f>
        <v/>
      </c>
      <c r="X1176" s="20" t="n"/>
      <c r="Y1176" s="23">
        <f>IF(OR(X1176="",W1176=0),"",X1176/W1176-1)</f>
        <v/>
      </c>
      <c r="Z1176" s="24" t="n"/>
      <c r="AA1176" s="21" t="n"/>
      <c r="AB1176" s="25" t="n"/>
      <c r="AC1176" s="26">
        <f>IF(T1176="","Chưa quyết định",IF(OR(Z1176="",AA1176=""),"⚠ Thiếu lý do/người duyệt",IF(AND(X1176&lt;&gt;"",N(X1176)+N(R1176)+N(S1176)&gt;M1176*1.001,R1176&lt;&gt;""),"⚠ Vượt mục tiêu P90",IF(AND(Y1176&lt;&gt;"",ABS(N(Y1176))&gt;0.3),"⚠ Lệch &gt; 30% so với nhu cầu",IF(Q1176="Có","ℹ Kiểm tra ngoại suy KM","✓ Hợp lệ")))))</f>
        <v/>
      </c>
    </row>
    <row r="1177">
      <c r="A1177" s="16" t="n">
        <v>1173</v>
      </c>
      <c r="B1177" s="17" t="inlineStr">
        <is>
          <t>DEC-S10-SEAFOOD</t>
        </is>
      </c>
      <c r="C1177" s="16" t="n">
        <v>10</v>
      </c>
      <c r="D1177" s="17" t="inlineStr">
        <is>
          <t>SEAFOOD</t>
        </is>
      </c>
      <c r="E1177" s="17" t="inlineStr">
        <is>
          <t>HIGH</t>
        </is>
      </c>
      <c r="F1177" s="17" t="inlineStr">
        <is>
          <t>TRUNG BÌNH</t>
        </is>
      </c>
      <c r="G1177" s="18" t="inlineStr">
        <is>
          <t>RISK_HIGH · PROMO_EXTRAPOLATION</t>
        </is>
      </c>
      <c r="H1177" s="19" t="n">
        <v>4.497601509094238</v>
      </c>
      <c r="I1177" s="19" t="n">
        <v>10.79883575439453</v>
      </c>
      <c r="J1177" s="19" t="n">
        <v>79.31454038619995</v>
      </c>
      <c r="K1177" s="19" t="n">
        <v>10.79883575439453</v>
      </c>
      <c r="L1177" s="19" t="n">
        <v>53.62115114927292</v>
      </c>
      <c r="M1177" s="19" t="n">
        <v>79.31454038619995</v>
      </c>
      <c r="N1177" s="17" t="inlineStr">
        <is>
          <t>B</t>
        </is>
      </c>
      <c r="O1177" s="19" t="n">
        <v>44.98208254575729</v>
      </c>
      <c r="P1177" s="18" t="inlineStr">
        <is>
          <t>KHÔNG ĐỀ XUẤT TĂNG</t>
        </is>
      </c>
      <c r="Q1177" s="17" t="inlineStr">
        <is>
          <t>Có</t>
        </is>
      </c>
      <c r="R1177" s="20" t="n"/>
      <c r="S1177" s="20" t="n"/>
      <c r="T1177" s="21" t="n"/>
      <c r="U1177" s="21" t="n"/>
      <c r="V1177" s="22">
        <f>IF(U1177="A",K1177,IF(U1177="B",L1177,IF(U1177="C",M1177,IF(N1177="A",K1177,IF(N1177="B",L1177,M1177)))))</f>
        <v/>
      </c>
      <c r="W1177" s="22">
        <f>IF(R1177="",O1177,MAX(V1177-R1177-N(S1177),0))</f>
        <v/>
      </c>
      <c r="X1177" s="20" t="n"/>
      <c r="Y1177" s="23">
        <f>IF(OR(X1177="",W1177=0),"",X1177/W1177-1)</f>
        <v/>
      </c>
      <c r="Z1177" s="24" t="n"/>
      <c r="AA1177" s="21" t="n"/>
      <c r="AB1177" s="25" t="n"/>
      <c r="AC1177" s="26">
        <f>IF(T1177="","Chưa quyết định",IF(OR(Z1177="",AA1177=""),"⚠ Thiếu lý do/người duyệt",IF(AND(X1177&lt;&gt;"",N(X1177)+N(R1177)+N(S1177)&gt;M1177*1.001,R1177&lt;&gt;""),"⚠ Vượt mục tiêu P90",IF(AND(Y1177&lt;&gt;"",ABS(N(Y1177))&gt;0.3),"⚠ Lệch &gt; 30% so với nhu cầu",IF(Q1177="Có","ℹ Kiểm tra ngoại suy KM","✓ Hợp lệ")))))</f>
        <v/>
      </c>
    </row>
    <row r="1178">
      <c r="A1178" s="16" t="n">
        <v>1174</v>
      </c>
      <c r="B1178" s="17" t="inlineStr">
        <is>
          <t>DEC-S16-HOME_APPLIANCES</t>
        </is>
      </c>
      <c r="C1178" s="16" t="n">
        <v>16</v>
      </c>
      <c r="D1178" s="17" t="inlineStr">
        <is>
          <t>HOME APPLIANCES</t>
        </is>
      </c>
      <c r="E1178" s="17" t="inlineStr">
        <is>
          <t>HIGH</t>
        </is>
      </c>
      <c r="F1178" s="17" t="inlineStr">
        <is>
          <t>TRUNG BÌNH</t>
        </is>
      </c>
      <c r="G1178" s="18" t="inlineStr">
        <is>
          <t>RISK_HIGH · PROMO_EXTRAPOLATION</t>
        </is>
      </c>
      <c r="H1178" s="19" t="n">
        <v>1.135462355613709</v>
      </c>
      <c r="I1178" s="19" t="n">
        <v>10.61113535612822</v>
      </c>
      <c r="J1178" s="19" t="n">
        <v>83.12514502257109</v>
      </c>
      <c r="K1178" s="19" t="n">
        <v>10.61113535612822</v>
      </c>
      <c r="L1178" s="19" t="n">
        <v>55.93239139765501</v>
      </c>
      <c r="M1178" s="19" t="n">
        <v>83.12514502257109</v>
      </c>
      <c r="N1178" s="17" t="inlineStr">
        <is>
          <t>B</t>
        </is>
      </c>
      <c r="O1178" s="19" t="n">
        <v>47.44348311275244</v>
      </c>
      <c r="P1178" s="18" t="inlineStr">
        <is>
          <t>KHÔNG ĐỀ XUẤT TĂNG</t>
        </is>
      </c>
      <c r="Q1178" s="17" t="inlineStr">
        <is>
          <t>Có</t>
        </is>
      </c>
      <c r="R1178" s="20" t="n"/>
      <c r="S1178" s="20" t="n"/>
      <c r="T1178" s="21" t="n"/>
      <c r="U1178" s="21" t="n"/>
      <c r="V1178" s="22">
        <f>IF(U1178="A",K1178,IF(U1178="B",L1178,IF(U1178="C",M1178,IF(N1178="A",K1178,IF(N1178="B",L1178,M1178)))))</f>
        <v/>
      </c>
      <c r="W1178" s="22">
        <f>IF(R1178="",O1178,MAX(V1178-R1178-N(S1178),0))</f>
        <v/>
      </c>
      <c r="X1178" s="20" t="n"/>
      <c r="Y1178" s="23">
        <f>IF(OR(X1178="",W1178=0),"",X1178/W1178-1)</f>
        <v/>
      </c>
      <c r="Z1178" s="24" t="n"/>
      <c r="AA1178" s="21" t="n"/>
      <c r="AB1178" s="25" t="n"/>
      <c r="AC1178" s="26">
        <f>IF(T1178="","Chưa quyết định",IF(OR(Z1178="",AA1178=""),"⚠ Thiếu lý do/người duyệt",IF(AND(X1178&lt;&gt;"",N(X1178)+N(R1178)+N(S1178)&gt;M1178*1.001,R1178&lt;&gt;""),"⚠ Vượt mục tiêu P90",IF(AND(Y1178&lt;&gt;"",ABS(N(Y1178))&gt;0.3),"⚠ Lệch &gt; 30% so với nhu cầu",IF(Q1178="Có","ℹ Kiểm tra ngoại suy KM","✓ Hợp lệ")))))</f>
        <v/>
      </c>
    </row>
    <row r="1179">
      <c r="A1179" s="16" t="n">
        <v>1175</v>
      </c>
      <c r="B1179" s="17" t="inlineStr">
        <is>
          <t>DEC-S32-LINGERIE</t>
        </is>
      </c>
      <c r="C1179" s="16" t="n">
        <v>32</v>
      </c>
      <c r="D1179" s="17" t="inlineStr">
        <is>
          <t>LINGERIE</t>
        </is>
      </c>
      <c r="E1179" s="17" t="inlineStr">
        <is>
          <t>HIGH</t>
        </is>
      </c>
      <c r="F1179" s="17" t="inlineStr">
        <is>
          <t>TRUNG BÌNH</t>
        </is>
      </c>
      <c r="G1179" s="18" t="inlineStr">
        <is>
          <t>RISK_HIGH · PROMO_EXTRAPOLATION</t>
        </is>
      </c>
      <c r="H1179" s="19" t="n">
        <v>2.541879832744598</v>
      </c>
      <c r="I1179" s="19" t="n">
        <v>10.59712647646666</v>
      </c>
      <c r="J1179" s="19" t="n">
        <v>80.98205045908689</v>
      </c>
      <c r="K1179" s="19" t="n">
        <v>10.59712647646666</v>
      </c>
      <c r="L1179" s="19" t="n">
        <v>54.5877039656043</v>
      </c>
      <c r="M1179" s="19" t="n">
        <v>80.98205045908689</v>
      </c>
      <c r="N1179" s="17" t="inlineStr">
        <is>
          <t>B</t>
        </is>
      </c>
      <c r="O1179" s="19" t="n">
        <v>46.11000278443097</v>
      </c>
      <c r="P1179" s="18" t="inlineStr">
        <is>
          <t>KHÔNG ĐỀ XUẤT TĂNG</t>
        </is>
      </c>
      <c r="Q1179" s="17" t="inlineStr">
        <is>
          <t>Có</t>
        </is>
      </c>
      <c r="R1179" s="20" t="n"/>
      <c r="S1179" s="20" t="n"/>
      <c r="T1179" s="21" t="n"/>
      <c r="U1179" s="21" t="n"/>
      <c r="V1179" s="22">
        <f>IF(U1179="A",K1179,IF(U1179="B",L1179,IF(U1179="C",M1179,IF(N1179="A",K1179,IF(N1179="B",L1179,M1179)))))</f>
        <v/>
      </c>
      <c r="W1179" s="22">
        <f>IF(R1179="",O1179,MAX(V1179-R1179-N(S1179),0))</f>
        <v/>
      </c>
      <c r="X1179" s="20" t="n"/>
      <c r="Y1179" s="23">
        <f>IF(OR(X1179="",W1179=0),"",X1179/W1179-1)</f>
        <v/>
      </c>
      <c r="Z1179" s="24" t="n"/>
      <c r="AA1179" s="21" t="n"/>
      <c r="AB1179" s="25" t="n"/>
      <c r="AC1179" s="26">
        <f>IF(T1179="","Chưa quyết định",IF(OR(Z1179="",AA1179=""),"⚠ Thiếu lý do/người duyệt",IF(AND(X1179&lt;&gt;"",N(X1179)+N(R1179)+N(S1179)&gt;M1179*1.001,R1179&lt;&gt;""),"⚠ Vượt mục tiêu P90",IF(AND(Y1179&lt;&gt;"",ABS(N(Y1179))&gt;0.3),"⚠ Lệch &gt; 30% so với nhu cầu",IF(Q1179="Có","ℹ Kiểm tra ngoại suy KM","✓ Hợp lệ")))))</f>
        <v/>
      </c>
    </row>
    <row r="1180">
      <c r="A1180" s="16" t="n">
        <v>1176</v>
      </c>
      <c r="B1180" s="17" t="inlineStr">
        <is>
          <t>DEC-S33-LADIESWEAR</t>
        </is>
      </c>
      <c r="C1180" s="16" t="n">
        <v>33</v>
      </c>
      <c r="D1180" s="17" t="inlineStr">
        <is>
          <t>LADIESWEAR</t>
        </is>
      </c>
      <c r="E1180" s="17" t="inlineStr">
        <is>
          <t>HIGH</t>
        </is>
      </c>
      <c r="F1180" s="17" t="inlineStr">
        <is>
          <t>TRUNG BÌNH</t>
        </is>
      </c>
      <c r="G1180" s="18" t="inlineStr">
        <is>
          <t>RISK_HIGH · PROMO_EXTRAPOLATION</t>
        </is>
      </c>
      <c r="H1180" s="19" t="n">
        <v>2.104850435256958</v>
      </c>
      <c r="I1180" s="19" t="n">
        <v>10.59401086717844</v>
      </c>
      <c r="J1180" s="19" t="n">
        <v>80.97893484979868</v>
      </c>
      <c r="K1180" s="19" t="n">
        <v>10.59401086717844</v>
      </c>
      <c r="L1180" s="19" t="n">
        <v>54.58458835631608</v>
      </c>
      <c r="M1180" s="19" t="n">
        <v>80.97893484979868</v>
      </c>
      <c r="N1180" s="17" t="inlineStr">
        <is>
          <t>B</t>
        </is>
      </c>
      <c r="O1180" s="19" t="n">
        <v>46.10937966257333</v>
      </c>
      <c r="P1180" s="18" t="inlineStr">
        <is>
          <t>KHÔNG ĐỀ XUẤT TĂNG</t>
        </is>
      </c>
      <c r="Q1180" s="17" t="inlineStr">
        <is>
          <t>Có</t>
        </is>
      </c>
      <c r="R1180" s="20" t="n"/>
      <c r="S1180" s="20" t="n"/>
      <c r="T1180" s="21" t="n"/>
      <c r="U1180" s="21" t="n"/>
      <c r="V1180" s="22">
        <f>IF(U1180="A",K1180,IF(U1180="B",L1180,IF(U1180="C",M1180,IF(N1180="A",K1180,IF(N1180="B",L1180,M1180)))))</f>
        <v/>
      </c>
      <c r="W1180" s="22">
        <f>IF(R1180="",O1180,MAX(V1180-R1180-N(S1180),0))</f>
        <v/>
      </c>
      <c r="X1180" s="20" t="n"/>
      <c r="Y1180" s="23">
        <f>IF(OR(X1180="",W1180=0),"",X1180/W1180-1)</f>
        <v/>
      </c>
      <c r="Z1180" s="24" t="n"/>
      <c r="AA1180" s="21" t="n"/>
      <c r="AB1180" s="25" t="n"/>
      <c r="AC1180" s="26">
        <f>IF(T1180="","Chưa quyết định",IF(OR(Z1180="",AA1180=""),"⚠ Thiếu lý do/người duyệt",IF(AND(X1180&lt;&gt;"",N(X1180)+N(R1180)+N(S1180)&gt;M1180*1.001,R1180&lt;&gt;""),"⚠ Vượt mục tiêu P90",IF(AND(Y1180&lt;&gt;"",ABS(N(Y1180))&gt;0.3),"⚠ Lệch &gt; 30% so với nhu cầu",IF(Q1180="Có","ℹ Kiểm tra ngoại suy KM","✓ Hợp lệ")))))</f>
        <v/>
      </c>
    </row>
    <row r="1181">
      <c r="A1181" s="16" t="n">
        <v>1177</v>
      </c>
      <c r="B1181" s="17" t="inlineStr">
        <is>
          <t>DEC-S33-LAWN_AND_GARDEN</t>
        </is>
      </c>
      <c r="C1181" s="16" t="n">
        <v>33</v>
      </c>
      <c r="D1181" s="17" t="inlineStr">
        <is>
          <t>LAWN AND GARDEN</t>
        </is>
      </c>
      <c r="E1181" s="17" t="inlineStr">
        <is>
          <t>HIGH</t>
        </is>
      </c>
      <c r="F1181" s="17" t="inlineStr">
        <is>
          <t>TRUNG BÌNH</t>
        </is>
      </c>
      <c r="G1181" s="18" t="inlineStr">
        <is>
          <t>RISK_HIGH · PROMO_EXTRAPOLATION</t>
        </is>
      </c>
      <c r="H1181" s="19" t="n">
        <v>2.104850435256958</v>
      </c>
      <c r="I1181" s="19" t="n">
        <v>10.59401086717844</v>
      </c>
      <c r="J1181" s="19" t="n">
        <v>80.97893484979868</v>
      </c>
      <c r="K1181" s="19" t="n">
        <v>10.59401086717844</v>
      </c>
      <c r="L1181" s="19" t="n">
        <v>54.58458835631608</v>
      </c>
      <c r="M1181" s="19" t="n">
        <v>80.97893484979868</v>
      </c>
      <c r="N1181" s="17" t="inlineStr">
        <is>
          <t>B</t>
        </is>
      </c>
      <c r="O1181" s="19" t="n">
        <v>46.10937966257333</v>
      </c>
      <c r="P1181" s="18" t="inlineStr">
        <is>
          <t>KHÔNG ĐỀ XUẤT TĂNG</t>
        </is>
      </c>
      <c r="Q1181" s="17" t="inlineStr">
        <is>
          <t>Có</t>
        </is>
      </c>
      <c r="R1181" s="20" t="n"/>
      <c r="S1181" s="20" t="n"/>
      <c r="T1181" s="21" t="n"/>
      <c r="U1181" s="21" t="n"/>
      <c r="V1181" s="22">
        <f>IF(U1181="A",K1181,IF(U1181="B",L1181,IF(U1181="C",M1181,IF(N1181="A",K1181,IF(N1181="B",L1181,M1181)))))</f>
        <v/>
      </c>
      <c r="W1181" s="22">
        <f>IF(R1181="",O1181,MAX(V1181-R1181-N(S1181),0))</f>
        <v/>
      </c>
      <c r="X1181" s="20" t="n"/>
      <c r="Y1181" s="23">
        <f>IF(OR(X1181="",W1181=0),"",X1181/W1181-1)</f>
        <v/>
      </c>
      <c r="Z1181" s="24" t="n"/>
      <c r="AA1181" s="21" t="n"/>
      <c r="AB1181" s="25" t="n"/>
      <c r="AC1181" s="26">
        <f>IF(T1181="","Chưa quyết định",IF(OR(Z1181="",AA1181=""),"⚠ Thiếu lý do/người duyệt",IF(AND(X1181&lt;&gt;"",N(X1181)+N(R1181)+N(S1181)&gt;M1181*1.001,R1181&lt;&gt;""),"⚠ Vượt mục tiêu P90",IF(AND(Y1181&lt;&gt;"",ABS(N(Y1181))&gt;0.3),"⚠ Lệch &gt; 30% so với nhu cầu",IF(Q1181="Có","ℹ Kiểm tra ngoại suy KM","✓ Hợp lệ")))))</f>
        <v/>
      </c>
    </row>
    <row r="1182">
      <c r="A1182" s="16" t="n">
        <v>1178</v>
      </c>
      <c r="B1182" s="17" t="inlineStr">
        <is>
          <t>DEC-S30-BOOKS</t>
        </is>
      </c>
      <c r="C1182" s="16" t="n">
        <v>30</v>
      </c>
      <c r="D1182" s="17" t="inlineStr">
        <is>
          <t>BOOKS</t>
        </is>
      </c>
      <c r="E1182" s="17" t="inlineStr">
        <is>
          <t>HIGH</t>
        </is>
      </c>
      <c r="F1182" s="17" t="inlineStr">
        <is>
          <t>TRUNG BÌNH</t>
        </is>
      </c>
      <c r="G1182" s="18" t="inlineStr">
        <is>
          <t>RISK_HIGH · PROMO_EXTRAPOLATION</t>
        </is>
      </c>
      <c r="H1182" s="19" t="n">
        <v>1.840252453088761</v>
      </c>
      <c r="I1182" s="19" t="n">
        <v>10.49852888286114</v>
      </c>
      <c r="J1182" s="19" t="n">
        <v>80.88345286548137</v>
      </c>
      <c r="K1182" s="19" t="n">
        <v>10.49852888286114</v>
      </c>
      <c r="L1182" s="19" t="n">
        <v>54.48910637199878</v>
      </c>
      <c r="M1182" s="19" t="n">
        <v>80.88345286548137</v>
      </c>
      <c r="N1182" s="17" t="inlineStr">
        <is>
          <t>B</t>
        </is>
      </c>
      <c r="O1182" s="19" t="n">
        <v>46.09028326570987</v>
      </c>
      <c r="P1182" s="18" t="inlineStr">
        <is>
          <t>KHÔNG ĐỀ XUẤT TĂNG</t>
        </is>
      </c>
      <c r="Q1182" s="17" t="inlineStr">
        <is>
          <t>Có</t>
        </is>
      </c>
      <c r="R1182" s="20" t="n"/>
      <c r="S1182" s="20" t="n"/>
      <c r="T1182" s="21" t="n"/>
      <c r="U1182" s="21" t="n"/>
      <c r="V1182" s="22">
        <f>IF(U1182="A",K1182,IF(U1182="B",L1182,IF(U1182="C",M1182,IF(N1182="A",K1182,IF(N1182="B",L1182,M1182)))))</f>
        <v/>
      </c>
      <c r="W1182" s="22">
        <f>IF(R1182="",O1182,MAX(V1182-R1182-N(S1182),0))</f>
        <v/>
      </c>
      <c r="X1182" s="20" t="n"/>
      <c r="Y1182" s="23">
        <f>IF(OR(X1182="",W1182=0),"",X1182/W1182-1)</f>
        <v/>
      </c>
      <c r="Z1182" s="24" t="n"/>
      <c r="AA1182" s="21" t="n"/>
      <c r="AB1182" s="25" t="n"/>
      <c r="AC1182" s="26">
        <f>IF(T1182="","Chưa quyết định",IF(OR(Z1182="",AA1182=""),"⚠ Thiếu lý do/người duyệt",IF(AND(X1182&lt;&gt;"",N(X1182)+N(R1182)+N(S1182)&gt;M1182*1.001,R1182&lt;&gt;""),"⚠ Vượt mục tiêu P90",IF(AND(Y1182&lt;&gt;"",ABS(N(Y1182))&gt;0.3),"⚠ Lệch &gt; 30% so với nhu cầu",IF(Q1182="Có","ℹ Kiểm tra ngoại suy KM","✓ Hợp lệ")))))</f>
        <v/>
      </c>
    </row>
    <row r="1183">
      <c r="A1183" s="16" t="n">
        <v>1179</v>
      </c>
      <c r="B1183" s="17" t="inlineStr">
        <is>
          <t>DEC-S26-BABY_CARE</t>
        </is>
      </c>
      <c r="C1183" s="16" t="n">
        <v>26</v>
      </c>
      <c r="D1183" s="17" t="inlineStr">
        <is>
          <t>BABY CARE</t>
        </is>
      </c>
      <c r="E1183" s="17" t="inlineStr">
        <is>
          <t>HIGH</t>
        </is>
      </c>
      <c r="F1183" s="17" t="inlineStr">
        <is>
          <t>TRUNG BÌNH</t>
        </is>
      </c>
      <c r="G1183" s="18" t="inlineStr">
        <is>
          <t>RISK_HIGH · PROMO_EXTRAPOLATION</t>
        </is>
      </c>
      <c r="H1183" s="19" t="n">
        <v>1.446757072210312</v>
      </c>
      <c r="I1183" s="19" t="n">
        <v>10.40241880714893</v>
      </c>
      <c r="J1183" s="19" t="n">
        <v>80.78734278976917</v>
      </c>
      <c r="K1183" s="19" t="n">
        <v>10.40241880714893</v>
      </c>
      <c r="L1183" s="19" t="n">
        <v>54.39299629628658</v>
      </c>
      <c r="M1183" s="19" t="n">
        <v>80.78734278976917</v>
      </c>
      <c r="N1183" s="17" t="inlineStr">
        <is>
          <t>B</t>
        </is>
      </c>
      <c r="O1183" s="19" t="n">
        <v>46.07106125056743</v>
      </c>
      <c r="P1183" s="18" t="inlineStr">
        <is>
          <t>KHÔNG ĐỀ XUẤT TĂNG</t>
        </is>
      </c>
      <c r="Q1183" s="17" t="inlineStr">
        <is>
          <t>Có</t>
        </is>
      </c>
      <c r="R1183" s="20" t="n"/>
      <c r="S1183" s="20" t="n"/>
      <c r="T1183" s="21" t="n"/>
      <c r="U1183" s="21" t="n"/>
      <c r="V1183" s="22">
        <f>IF(U1183="A",K1183,IF(U1183="B",L1183,IF(U1183="C",M1183,IF(N1183="A",K1183,IF(N1183="B",L1183,M1183)))))</f>
        <v/>
      </c>
      <c r="W1183" s="22">
        <f>IF(R1183="",O1183,MAX(V1183-R1183-N(S1183),0))</f>
        <v/>
      </c>
      <c r="X1183" s="20" t="n"/>
      <c r="Y1183" s="23">
        <f>IF(OR(X1183="",W1183=0),"",X1183/W1183-1)</f>
        <v/>
      </c>
      <c r="Z1183" s="24" t="n"/>
      <c r="AA1183" s="21" t="n"/>
      <c r="AB1183" s="25" t="n"/>
      <c r="AC1183" s="26">
        <f>IF(T1183="","Chưa quyết định",IF(OR(Z1183="",AA1183=""),"⚠ Thiếu lý do/người duyệt",IF(AND(X1183&lt;&gt;"",N(X1183)+N(R1183)+N(S1183)&gt;M1183*1.001,R1183&lt;&gt;""),"⚠ Vượt mục tiêu P90",IF(AND(Y1183&lt;&gt;"",ABS(N(Y1183))&gt;0.3),"⚠ Lệch &gt; 30% so với nhu cầu",IF(Q1183="Có","ℹ Kiểm tra ngoại suy KM","✓ Hợp lệ")))))</f>
        <v/>
      </c>
    </row>
    <row r="1184">
      <c r="A1184" s="16" t="n">
        <v>1180</v>
      </c>
      <c r="B1184" s="17" t="inlineStr">
        <is>
          <t>DEC-S26-BOOKS</t>
        </is>
      </c>
      <c r="C1184" s="16" t="n">
        <v>26</v>
      </c>
      <c r="D1184" s="17" t="inlineStr">
        <is>
          <t>BOOKS</t>
        </is>
      </c>
      <c r="E1184" s="17" t="inlineStr">
        <is>
          <t>HIGH</t>
        </is>
      </c>
      <c r="F1184" s="17" t="inlineStr">
        <is>
          <t>TRUNG BÌNH</t>
        </is>
      </c>
      <c r="G1184" s="18" t="inlineStr">
        <is>
          <t>RISK_HIGH · PROMO_EXTRAPOLATION</t>
        </is>
      </c>
      <c r="H1184" s="19" t="n">
        <v>1.446757072210312</v>
      </c>
      <c r="I1184" s="19" t="n">
        <v>10.40241880714893</v>
      </c>
      <c r="J1184" s="19" t="n">
        <v>80.78734278976917</v>
      </c>
      <c r="K1184" s="19" t="n">
        <v>10.40241880714893</v>
      </c>
      <c r="L1184" s="19" t="n">
        <v>54.39299629628658</v>
      </c>
      <c r="M1184" s="19" t="n">
        <v>80.78734278976917</v>
      </c>
      <c r="N1184" s="17" t="inlineStr">
        <is>
          <t>B</t>
        </is>
      </c>
      <c r="O1184" s="19" t="n">
        <v>46.07106125056743</v>
      </c>
      <c r="P1184" s="18" t="inlineStr">
        <is>
          <t>KHÔNG ĐỀ XUẤT TĂNG</t>
        </is>
      </c>
      <c r="Q1184" s="17" t="inlineStr">
        <is>
          <t>Có</t>
        </is>
      </c>
      <c r="R1184" s="20" t="n"/>
      <c r="S1184" s="20" t="n"/>
      <c r="T1184" s="21" t="n"/>
      <c r="U1184" s="21" t="n"/>
      <c r="V1184" s="22">
        <f>IF(U1184="A",K1184,IF(U1184="B",L1184,IF(U1184="C",M1184,IF(N1184="A",K1184,IF(N1184="B",L1184,M1184)))))</f>
        <v/>
      </c>
      <c r="W1184" s="22">
        <f>IF(R1184="",O1184,MAX(V1184-R1184-N(S1184),0))</f>
        <v/>
      </c>
      <c r="X1184" s="20" t="n"/>
      <c r="Y1184" s="23">
        <f>IF(OR(X1184="",W1184=0),"",X1184/W1184-1)</f>
        <v/>
      </c>
      <c r="Z1184" s="24" t="n"/>
      <c r="AA1184" s="21" t="n"/>
      <c r="AB1184" s="25" t="n"/>
      <c r="AC1184" s="26">
        <f>IF(T1184="","Chưa quyết định",IF(OR(Z1184="",AA1184=""),"⚠ Thiếu lý do/người duyệt",IF(AND(X1184&lt;&gt;"",N(X1184)+N(R1184)+N(S1184)&gt;M1184*1.001,R1184&lt;&gt;""),"⚠ Vượt mục tiêu P90",IF(AND(Y1184&lt;&gt;"",ABS(N(Y1184))&gt;0.3),"⚠ Lệch &gt; 30% so với nhu cầu",IF(Q1184="Có","ℹ Kiểm tra ngoại suy KM","✓ Hợp lệ")))))</f>
        <v/>
      </c>
    </row>
    <row r="1185">
      <c r="A1185" s="16" t="n">
        <v>1181</v>
      </c>
      <c r="B1185" s="17" t="inlineStr">
        <is>
          <t>DEC-S16-BABY_CARE</t>
        </is>
      </c>
      <c r="C1185" s="16" t="n">
        <v>16</v>
      </c>
      <c r="D1185" s="17" t="inlineStr">
        <is>
          <t>BABY CARE</t>
        </is>
      </c>
      <c r="E1185" s="17" t="inlineStr">
        <is>
          <t>HIGH</t>
        </is>
      </c>
      <c r="F1185" s="17" t="inlineStr">
        <is>
          <t>TRUNG BÌNH</t>
        </is>
      </c>
      <c r="G1185" s="18" t="inlineStr">
        <is>
          <t>RISK_HIGH · PROMO_EXTRAPOLATION</t>
        </is>
      </c>
      <c r="H1185" s="19" t="n">
        <v>1.840252453088761</v>
      </c>
      <c r="I1185" s="19" t="n">
        <v>10.32166089955717</v>
      </c>
      <c r="J1185" s="19" t="n">
        <v>80.70658488217741</v>
      </c>
      <c r="K1185" s="19" t="n">
        <v>10.32166089955717</v>
      </c>
      <c r="L1185" s="19" t="n">
        <v>54.31223838869482</v>
      </c>
      <c r="M1185" s="19" t="n">
        <v>80.70658488217741</v>
      </c>
      <c r="N1185" s="17" t="inlineStr">
        <is>
          <t>B</t>
        </is>
      </c>
      <c r="O1185" s="19" t="n">
        <v>46.05490966904907</v>
      </c>
      <c r="P1185" s="18" t="inlineStr">
        <is>
          <t>KHÔNG ĐỀ XUẤT TĂNG</t>
        </is>
      </c>
      <c r="Q1185" s="17" t="inlineStr">
        <is>
          <t>Có</t>
        </is>
      </c>
      <c r="R1185" s="20" t="n"/>
      <c r="S1185" s="20" t="n"/>
      <c r="T1185" s="21" t="n"/>
      <c r="U1185" s="21" t="n"/>
      <c r="V1185" s="22">
        <f>IF(U1185="A",K1185,IF(U1185="B",L1185,IF(U1185="C",M1185,IF(N1185="A",K1185,IF(N1185="B",L1185,M1185)))))</f>
        <v/>
      </c>
      <c r="W1185" s="22">
        <f>IF(R1185="",O1185,MAX(V1185-R1185-N(S1185),0))</f>
        <v/>
      </c>
      <c r="X1185" s="20" t="n"/>
      <c r="Y1185" s="23">
        <f>IF(OR(X1185="",W1185=0),"",X1185/W1185-1)</f>
        <v/>
      </c>
      <c r="Z1185" s="24" t="n"/>
      <c r="AA1185" s="21" t="n"/>
      <c r="AB1185" s="25" t="n"/>
      <c r="AC1185" s="26">
        <f>IF(T1185="","Chưa quyết định",IF(OR(Z1185="",AA1185=""),"⚠ Thiếu lý do/người duyệt",IF(AND(X1185&lt;&gt;"",N(X1185)+N(R1185)+N(S1185)&gt;M1185*1.001,R1185&lt;&gt;""),"⚠ Vượt mục tiêu P90",IF(AND(Y1185&lt;&gt;"",ABS(N(Y1185))&gt;0.3),"⚠ Lệch &gt; 30% so với nhu cầu",IF(Q1185="Có","ℹ Kiểm tra ngoại suy KM","✓ Hợp lệ")))))</f>
        <v/>
      </c>
    </row>
    <row r="1186">
      <c r="A1186" s="16" t="n">
        <v>1182</v>
      </c>
      <c r="B1186" s="17" t="inlineStr">
        <is>
          <t>DEC-S16-BOOKS</t>
        </is>
      </c>
      <c r="C1186" s="16" t="n">
        <v>16</v>
      </c>
      <c r="D1186" s="17" t="inlineStr">
        <is>
          <t>BOOKS</t>
        </is>
      </c>
      <c r="E1186" s="17" t="inlineStr">
        <is>
          <t>HIGH</t>
        </is>
      </c>
      <c r="F1186" s="17" t="inlineStr">
        <is>
          <t>TRUNG BÌNH</t>
        </is>
      </c>
      <c r="G1186" s="18" t="inlineStr">
        <is>
          <t>RISK_HIGH · PROMO_EXTRAPOLATION</t>
        </is>
      </c>
      <c r="H1186" s="19" t="n">
        <v>1.840252453088761</v>
      </c>
      <c r="I1186" s="19" t="n">
        <v>10.30756537616253</v>
      </c>
      <c r="J1186" s="19" t="n">
        <v>80.69248935878277</v>
      </c>
      <c r="K1186" s="19" t="n">
        <v>10.30756537616253</v>
      </c>
      <c r="L1186" s="19" t="n">
        <v>54.29814286530017</v>
      </c>
      <c r="M1186" s="19" t="n">
        <v>80.69248935878277</v>
      </c>
      <c r="N1186" s="17" t="inlineStr">
        <is>
          <t>B</t>
        </is>
      </c>
      <c r="O1186" s="19" t="n">
        <v>46.05209056437015</v>
      </c>
      <c r="P1186" s="18" t="inlineStr">
        <is>
          <t>KHÔNG ĐỀ XUẤT TĂNG</t>
        </is>
      </c>
      <c r="Q1186" s="17" t="inlineStr">
        <is>
          <t>Có</t>
        </is>
      </c>
      <c r="R1186" s="20" t="n"/>
      <c r="S1186" s="20" t="n"/>
      <c r="T1186" s="21" t="n"/>
      <c r="U1186" s="21" t="n"/>
      <c r="V1186" s="22">
        <f>IF(U1186="A",K1186,IF(U1186="B",L1186,IF(U1186="C",M1186,IF(N1186="A",K1186,IF(N1186="B",L1186,M1186)))))</f>
        <v/>
      </c>
      <c r="W1186" s="22">
        <f>IF(R1186="",O1186,MAX(V1186-R1186-N(S1186),0))</f>
        <v/>
      </c>
      <c r="X1186" s="20" t="n"/>
      <c r="Y1186" s="23">
        <f>IF(OR(X1186="",W1186=0),"",X1186/W1186-1)</f>
        <v/>
      </c>
      <c r="Z1186" s="24" t="n"/>
      <c r="AA1186" s="21" t="n"/>
      <c r="AB1186" s="25" t="n"/>
      <c r="AC1186" s="26">
        <f>IF(T1186="","Chưa quyết định",IF(OR(Z1186="",AA1186=""),"⚠ Thiếu lý do/người duyệt",IF(AND(X1186&lt;&gt;"",N(X1186)+N(R1186)+N(S1186)&gt;M1186*1.001,R1186&lt;&gt;""),"⚠ Vượt mục tiêu P90",IF(AND(Y1186&lt;&gt;"",ABS(N(Y1186))&gt;0.3),"⚠ Lệch &gt; 30% so với nhu cầu",IF(Q1186="Có","ℹ Kiểm tra ngoại suy KM","✓ Hợp lệ")))))</f>
        <v/>
      </c>
    </row>
    <row r="1187">
      <c r="A1187" s="16" t="n">
        <v>1183</v>
      </c>
      <c r="B1187" s="17" t="inlineStr">
        <is>
          <t>DEC-S22-BOOKS</t>
        </is>
      </c>
      <c r="C1187" s="16" t="n">
        <v>22</v>
      </c>
      <c r="D1187" s="17" t="inlineStr">
        <is>
          <t>BOOKS</t>
        </is>
      </c>
      <c r="E1187" s="17" t="inlineStr">
        <is>
          <t>HIGH</t>
        </is>
      </c>
      <c r="F1187" s="17" t="inlineStr">
        <is>
          <t>TRUNG BÌNH</t>
        </is>
      </c>
      <c r="G1187" s="18" t="inlineStr">
        <is>
          <t>RISK_HIGH · PROMO_EXTRAPOLATION</t>
        </is>
      </c>
      <c r="H1187" s="19" t="n">
        <v>1.840252453088761</v>
      </c>
      <c r="I1187" s="19" t="n">
        <v>10.30756537616253</v>
      </c>
      <c r="J1187" s="19" t="n">
        <v>80.69248935878277</v>
      </c>
      <c r="K1187" s="19" t="n">
        <v>10.30756537616253</v>
      </c>
      <c r="L1187" s="19" t="n">
        <v>54.29814286530017</v>
      </c>
      <c r="M1187" s="19" t="n">
        <v>80.69248935878277</v>
      </c>
      <c r="N1187" s="17" t="inlineStr">
        <is>
          <t>B</t>
        </is>
      </c>
      <c r="O1187" s="19" t="n">
        <v>46.05209056437015</v>
      </c>
      <c r="P1187" s="18" t="inlineStr">
        <is>
          <t>KHÔNG ĐỀ XUẤT TĂNG</t>
        </is>
      </c>
      <c r="Q1187" s="17" t="inlineStr">
        <is>
          <t>Có</t>
        </is>
      </c>
      <c r="R1187" s="20" t="n"/>
      <c r="S1187" s="20" t="n"/>
      <c r="T1187" s="21" t="n"/>
      <c r="U1187" s="21" t="n"/>
      <c r="V1187" s="22">
        <f>IF(U1187="A",K1187,IF(U1187="B",L1187,IF(U1187="C",M1187,IF(N1187="A",K1187,IF(N1187="B",L1187,M1187)))))</f>
        <v/>
      </c>
      <c r="W1187" s="22">
        <f>IF(R1187="",O1187,MAX(V1187-R1187-N(S1187),0))</f>
        <v/>
      </c>
      <c r="X1187" s="20" t="n"/>
      <c r="Y1187" s="23">
        <f>IF(OR(X1187="",W1187=0),"",X1187/W1187-1)</f>
        <v/>
      </c>
      <c r="Z1187" s="24" t="n"/>
      <c r="AA1187" s="21" t="n"/>
      <c r="AB1187" s="25" t="n"/>
      <c r="AC1187" s="26">
        <f>IF(T1187="","Chưa quyết định",IF(OR(Z1187="",AA1187=""),"⚠ Thiếu lý do/người duyệt",IF(AND(X1187&lt;&gt;"",N(X1187)+N(R1187)+N(S1187)&gt;M1187*1.001,R1187&lt;&gt;""),"⚠ Vượt mục tiêu P90",IF(AND(Y1187&lt;&gt;"",ABS(N(Y1187))&gt;0.3),"⚠ Lệch &gt; 30% so với nhu cầu",IF(Q1187="Có","ℹ Kiểm tra ngoại suy KM","✓ Hợp lệ")))))</f>
        <v/>
      </c>
    </row>
    <row r="1188">
      <c r="A1188" s="16" t="n">
        <v>1184</v>
      </c>
      <c r="B1188" s="17" t="inlineStr">
        <is>
          <t>DEC-S43-SCHOOL_AND_OFFICE_SUPPLIES</t>
        </is>
      </c>
      <c r="C1188" s="16" t="n">
        <v>43</v>
      </c>
      <c r="D1188" s="17" t="inlineStr">
        <is>
          <t>SCHOOL AND OFFICE SUPPLIES</t>
        </is>
      </c>
      <c r="E1188" s="17" t="inlineStr">
        <is>
          <t>HIGH</t>
        </is>
      </c>
      <c r="F1188" s="17" t="inlineStr">
        <is>
          <t>TRUNG BÌNH</t>
        </is>
      </c>
      <c r="G1188" s="18" t="inlineStr">
        <is>
          <t>RISK_HIGH · PROMO_EXTRAPOLATION</t>
        </is>
      </c>
      <c r="H1188" s="19" t="n">
        <v>0.60904860496521</v>
      </c>
      <c r="I1188" s="19" t="n">
        <v>9.97640061378479</v>
      </c>
      <c r="J1188" s="19" t="n">
        <v>82.49041028022766</v>
      </c>
      <c r="K1188" s="19" t="n">
        <v>9.97640061378479</v>
      </c>
      <c r="L1188" s="19" t="n">
        <v>55.29765665531158</v>
      </c>
      <c r="M1188" s="19" t="n">
        <v>82.49041028022766</v>
      </c>
      <c r="N1188" s="17" t="inlineStr">
        <is>
          <t>B</t>
        </is>
      </c>
      <c r="O1188" s="19" t="n">
        <v>47.31653616428376</v>
      </c>
      <c r="P1188" s="18" t="inlineStr">
        <is>
          <t>KHÔNG ĐỀ XUẤT TĂNG</t>
        </is>
      </c>
      <c r="Q1188" s="17" t="inlineStr">
        <is>
          <t>Có</t>
        </is>
      </c>
      <c r="R1188" s="20" t="n"/>
      <c r="S1188" s="20" t="n"/>
      <c r="T1188" s="21" t="n"/>
      <c r="U1188" s="21" t="n"/>
      <c r="V1188" s="22">
        <f>IF(U1188="A",K1188,IF(U1188="B",L1188,IF(U1188="C",M1188,IF(N1188="A",K1188,IF(N1188="B",L1188,M1188)))))</f>
        <v/>
      </c>
      <c r="W1188" s="22">
        <f>IF(R1188="",O1188,MAX(V1188-R1188-N(S1188),0))</f>
        <v/>
      </c>
      <c r="X1188" s="20" t="n"/>
      <c r="Y1188" s="23">
        <f>IF(OR(X1188="",W1188=0),"",X1188/W1188-1)</f>
        <v/>
      </c>
      <c r="Z1188" s="24" t="n"/>
      <c r="AA1188" s="21" t="n"/>
      <c r="AB1188" s="25" t="n"/>
      <c r="AC1188" s="26">
        <f>IF(T1188="","Chưa quyết định",IF(OR(Z1188="",AA1188=""),"⚠ Thiếu lý do/người duyệt",IF(AND(X1188&lt;&gt;"",N(X1188)+N(R1188)+N(S1188)&gt;M1188*1.001,R1188&lt;&gt;""),"⚠ Vượt mục tiêu P90",IF(AND(Y1188&lt;&gt;"",ABS(N(Y1188))&gt;0.3),"⚠ Lệch &gt; 30% so với nhu cầu",IF(Q1188="Có","ℹ Kiểm tra ngoại suy KM","✓ Hợp lệ")))))</f>
        <v/>
      </c>
    </row>
    <row r="1189">
      <c r="A1189" s="16" t="n">
        <v>1185</v>
      </c>
      <c r="B1189" s="17" t="inlineStr">
        <is>
          <t>DEC-S35-BABY_CARE</t>
        </is>
      </c>
      <c r="C1189" s="16" t="n">
        <v>35</v>
      </c>
      <c r="D1189" s="17" t="inlineStr">
        <is>
          <t>BABY CARE</t>
        </is>
      </c>
      <c r="E1189" s="17" t="inlineStr">
        <is>
          <t>HIGH</t>
        </is>
      </c>
      <c r="F1189" s="17" t="inlineStr">
        <is>
          <t>TRUNG BÌNH</t>
        </is>
      </c>
      <c r="G1189" s="18" t="inlineStr">
        <is>
          <t>RISK_HIGH · PROMO_EXTRAPOLATION</t>
        </is>
      </c>
      <c r="H1189" s="19" t="n">
        <v>1.620840924978256</v>
      </c>
      <c r="I1189" s="19" t="n">
        <v>9.912327371537684</v>
      </c>
      <c r="J1189" s="19" t="n">
        <v>80.29725135415792</v>
      </c>
      <c r="K1189" s="19" t="n">
        <v>9.912327371537684</v>
      </c>
      <c r="L1189" s="19" t="n">
        <v>53.90290486067533</v>
      </c>
      <c r="M1189" s="19" t="n">
        <v>80.29725135415792</v>
      </c>
      <c r="N1189" s="17" t="inlineStr">
        <is>
          <t>B</t>
        </is>
      </c>
      <c r="O1189" s="19" t="n">
        <v>45.97304296344518</v>
      </c>
      <c r="P1189" s="18" t="inlineStr">
        <is>
          <t>KHÔNG ĐỀ XUẤT TĂNG</t>
        </is>
      </c>
      <c r="Q1189" s="17" t="inlineStr">
        <is>
          <t>Có</t>
        </is>
      </c>
      <c r="R1189" s="20" t="n"/>
      <c r="S1189" s="20" t="n"/>
      <c r="T1189" s="21" t="n"/>
      <c r="U1189" s="21" t="n"/>
      <c r="V1189" s="22">
        <f>IF(U1189="A",K1189,IF(U1189="B",L1189,IF(U1189="C",M1189,IF(N1189="A",K1189,IF(N1189="B",L1189,M1189)))))</f>
        <v/>
      </c>
      <c r="W1189" s="22">
        <f>IF(R1189="",O1189,MAX(V1189-R1189-N(S1189),0))</f>
        <v/>
      </c>
      <c r="X1189" s="20" t="n"/>
      <c r="Y1189" s="23">
        <f>IF(OR(X1189="",W1189=0),"",X1189/W1189-1)</f>
        <v/>
      </c>
      <c r="Z1189" s="24" t="n"/>
      <c r="AA1189" s="21" t="n"/>
      <c r="AB1189" s="25" t="n"/>
      <c r="AC1189" s="26">
        <f>IF(T1189="","Chưa quyết định",IF(OR(Z1189="",AA1189=""),"⚠ Thiếu lý do/người duyệt",IF(AND(X1189&lt;&gt;"",N(X1189)+N(R1189)+N(S1189)&gt;M1189*1.001,R1189&lt;&gt;""),"⚠ Vượt mục tiêu P90",IF(AND(Y1189&lt;&gt;"",ABS(N(Y1189))&gt;0.3),"⚠ Lệch &gt; 30% so với nhu cầu",IF(Q1189="Có","ℹ Kiểm tra ngoại suy KM","✓ Hợp lệ")))))</f>
        <v/>
      </c>
    </row>
    <row r="1190">
      <c r="A1190" s="16" t="n">
        <v>1186</v>
      </c>
      <c r="B1190" s="17" t="inlineStr">
        <is>
          <t>DEC-S35-BOOKS</t>
        </is>
      </c>
      <c r="C1190" s="16" t="n">
        <v>35</v>
      </c>
      <c r="D1190" s="17" t="inlineStr">
        <is>
          <t>BOOKS</t>
        </is>
      </c>
      <c r="E1190" s="17" t="inlineStr">
        <is>
          <t>HIGH</t>
        </is>
      </c>
      <c r="F1190" s="17" t="inlineStr">
        <is>
          <t>TRUNG BÌNH</t>
        </is>
      </c>
      <c r="G1190" s="18" t="inlineStr">
        <is>
          <t>RISK_HIGH · PROMO_EXTRAPOLATION</t>
        </is>
      </c>
      <c r="H1190" s="19" t="n">
        <v>1.620840924978256</v>
      </c>
      <c r="I1190" s="19" t="n">
        <v>9.912327371537684</v>
      </c>
      <c r="J1190" s="19" t="n">
        <v>80.29725135415792</v>
      </c>
      <c r="K1190" s="19" t="n">
        <v>9.912327371537684</v>
      </c>
      <c r="L1190" s="19" t="n">
        <v>53.90290486067533</v>
      </c>
      <c r="M1190" s="19" t="n">
        <v>80.29725135415792</v>
      </c>
      <c r="N1190" s="17" t="inlineStr">
        <is>
          <t>B</t>
        </is>
      </c>
      <c r="O1190" s="19" t="n">
        <v>45.97304296344518</v>
      </c>
      <c r="P1190" s="18" t="inlineStr">
        <is>
          <t>KHÔNG ĐỀ XUẤT TĂNG</t>
        </is>
      </c>
      <c r="Q1190" s="17" t="inlineStr">
        <is>
          <t>Có</t>
        </is>
      </c>
      <c r="R1190" s="20" t="n"/>
      <c r="S1190" s="20" t="n"/>
      <c r="T1190" s="21" t="n"/>
      <c r="U1190" s="21" t="n"/>
      <c r="V1190" s="22">
        <f>IF(U1190="A",K1190,IF(U1190="B",L1190,IF(U1190="C",M1190,IF(N1190="A",K1190,IF(N1190="B",L1190,M1190)))))</f>
        <v/>
      </c>
      <c r="W1190" s="22">
        <f>IF(R1190="",O1190,MAX(V1190-R1190-N(S1190),0))</f>
        <v/>
      </c>
      <c r="X1190" s="20" t="n"/>
      <c r="Y1190" s="23">
        <f>IF(OR(X1190="",W1190=0),"",X1190/W1190-1)</f>
        <v/>
      </c>
      <c r="Z1190" s="24" t="n"/>
      <c r="AA1190" s="21" t="n"/>
      <c r="AB1190" s="25" t="n"/>
      <c r="AC1190" s="26">
        <f>IF(T1190="","Chưa quyết định",IF(OR(Z1190="",AA1190=""),"⚠ Thiếu lý do/người duyệt",IF(AND(X1190&lt;&gt;"",N(X1190)+N(R1190)+N(S1190)&gt;M1190*1.001,R1190&lt;&gt;""),"⚠ Vượt mục tiêu P90",IF(AND(Y1190&lt;&gt;"",ABS(N(Y1190))&gt;0.3),"⚠ Lệch &gt; 30% so với nhu cầu",IF(Q1190="Có","ℹ Kiểm tra ngoại suy KM","✓ Hợp lệ")))))</f>
        <v/>
      </c>
    </row>
    <row r="1191">
      <c r="A1191" s="16" t="n">
        <v>1187</v>
      </c>
      <c r="B1191" s="17" t="inlineStr">
        <is>
          <t>DEC-S32-BABY_CARE</t>
        </is>
      </c>
      <c r="C1191" s="16" t="n">
        <v>32</v>
      </c>
      <c r="D1191" s="17" t="inlineStr">
        <is>
          <t>BABY CARE</t>
        </is>
      </c>
      <c r="E1191" s="17" t="inlineStr">
        <is>
          <t>HIGH</t>
        </is>
      </c>
      <c r="F1191" s="17" t="inlineStr">
        <is>
          <t>TRUNG BÌNH</t>
        </is>
      </c>
      <c r="G1191" s="18" t="inlineStr">
        <is>
          <t>RISK_HIGH · PROMO_EXTRAPOLATION</t>
        </is>
      </c>
      <c r="H1191" s="19" t="n">
        <v>1.386360424757004</v>
      </c>
      <c r="I1191" s="19" t="n">
        <v>9.560606680810452</v>
      </c>
      <c r="J1191" s="19" t="n">
        <v>79.94553066343069</v>
      </c>
      <c r="K1191" s="19" t="n">
        <v>9.560606680810452</v>
      </c>
      <c r="L1191" s="19" t="n">
        <v>53.55118416994809</v>
      </c>
      <c r="M1191" s="19" t="n">
        <v>79.94553066343069</v>
      </c>
      <c r="N1191" s="17" t="inlineStr">
        <is>
          <t>B</t>
        </is>
      </c>
      <c r="O1191" s="19" t="n">
        <v>45.90269882529973</v>
      </c>
      <c r="P1191" s="18" t="inlineStr">
        <is>
          <t>KHÔNG ĐỀ XUẤT TĂNG</t>
        </is>
      </c>
      <c r="Q1191" s="17" t="inlineStr">
        <is>
          <t>Có</t>
        </is>
      </c>
      <c r="R1191" s="20" t="n"/>
      <c r="S1191" s="20" t="n"/>
      <c r="T1191" s="21" t="n"/>
      <c r="U1191" s="21" t="n"/>
      <c r="V1191" s="22">
        <f>IF(U1191="A",K1191,IF(U1191="B",L1191,IF(U1191="C",M1191,IF(N1191="A",K1191,IF(N1191="B",L1191,M1191)))))</f>
        <v/>
      </c>
      <c r="W1191" s="22">
        <f>IF(R1191="",O1191,MAX(V1191-R1191-N(S1191),0))</f>
        <v/>
      </c>
      <c r="X1191" s="20" t="n"/>
      <c r="Y1191" s="23">
        <f>IF(OR(X1191="",W1191=0),"",X1191/W1191-1)</f>
        <v/>
      </c>
      <c r="Z1191" s="24" t="n"/>
      <c r="AA1191" s="21" t="n"/>
      <c r="AB1191" s="25" t="n"/>
      <c r="AC1191" s="26">
        <f>IF(T1191="","Chưa quyết định",IF(OR(Z1191="",AA1191=""),"⚠ Thiếu lý do/người duyệt",IF(AND(X1191&lt;&gt;"",N(X1191)+N(R1191)+N(S1191)&gt;M1191*1.001,R1191&lt;&gt;""),"⚠ Vượt mục tiêu P90",IF(AND(Y1191&lt;&gt;"",ABS(N(Y1191))&gt;0.3),"⚠ Lệch &gt; 30% so với nhu cầu",IF(Q1191="Có","ℹ Kiểm tra ngoại suy KM","✓ Hợp lệ")))))</f>
        <v/>
      </c>
    </row>
    <row r="1192">
      <c r="A1192" s="16" t="n">
        <v>1188</v>
      </c>
      <c r="B1192" s="17" t="inlineStr">
        <is>
          <t>DEC-S32-BOOKS</t>
        </is>
      </c>
      <c r="C1192" s="16" t="n">
        <v>32</v>
      </c>
      <c r="D1192" s="17" t="inlineStr">
        <is>
          <t>BOOKS</t>
        </is>
      </c>
      <c r="E1192" s="17" t="inlineStr">
        <is>
          <t>HIGH</t>
        </is>
      </c>
      <c r="F1192" s="17" t="inlineStr">
        <is>
          <t>TRUNG BÌNH</t>
        </is>
      </c>
      <c r="G1192" s="18" t="inlineStr">
        <is>
          <t>RISK_HIGH · PROMO_EXTRAPOLATION</t>
        </is>
      </c>
      <c r="H1192" s="19" t="n">
        <v>1.386360424757004</v>
      </c>
      <c r="I1192" s="19" t="n">
        <v>9.560606680810452</v>
      </c>
      <c r="J1192" s="19" t="n">
        <v>79.94553066343069</v>
      </c>
      <c r="K1192" s="19" t="n">
        <v>9.560606680810452</v>
      </c>
      <c r="L1192" s="19" t="n">
        <v>53.55118416994809</v>
      </c>
      <c r="M1192" s="19" t="n">
        <v>79.94553066343069</v>
      </c>
      <c r="N1192" s="17" t="inlineStr">
        <is>
          <t>B</t>
        </is>
      </c>
      <c r="O1192" s="19" t="n">
        <v>45.90269882529973</v>
      </c>
      <c r="P1192" s="18" t="inlineStr">
        <is>
          <t>KHÔNG ĐỀ XUẤT TĂNG</t>
        </is>
      </c>
      <c r="Q1192" s="17" t="inlineStr">
        <is>
          <t>Có</t>
        </is>
      </c>
      <c r="R1192" s="20" t="n"/>
      <c r="S1192" s="20" t="n"/>
      <c r="T1192" s="21" t="n"/>
      <c r="U1192" s="21" t="n"/>
      <c r="V1192" s="22">
        <f>IF(U1192="A",K1192,IF(U1192="B",L1192,IF(U1192="C",M1192,IF(N1192="A",K1192,IF(N1192="B",L1192,M1192)))))</f>
        <v/>
      </c>
      <c r="W1192" s="22">
        <f>IF(R1192="",O1192,MAX(V1192-R1192-N(S1192),0))</f>
        <v/>
      </c>
      <c r="X1192" s="20" t="n"/>
      <c r="Y1192" s="23">
        <f>IF(OR(X1192="",W1192=0),"",X1192/W1192-1)</f>
        <v/>
      </c>
      <c r="Z1192" s="24" t="n"/>
      <c r="AA1192" s="21" t="n"/>
      <c r="AB1192" s="25" t="n"/>
      <c r="AC1192" s="26">
        <f>IF(T1192="","Chưa quyết định",IF(OR(Z1192="",AA1192=""),"⚠ Thiếu lý do/người duyệt",IF(AND(X1192&lt;&gt;"",N(X1192)+N(R1192)+N(S1192)&gt;M1192*1.001,R1192&lt;&gt;""),"⚠ Vượt mục tiêu P90",IF(AND(Y1192&lt;&gt;"",ABS(N(Y1192))&gt;0.3),"⚠ Lệch &gt; 30% so với nhu cầu",IF(Q1192="Có","ℹ Kiểm tra ngoại suy KM","✓ Hợp lệ")))))</f>
        <v/>
      </c>
    </row>
    <row r="1193">
      <c r="A1193" s="16" t="n">
        <v>1189</v>
      </c>
      <c r="B1193" s="17" t="inlineStr">
        <is>
          <t>DEC-S30-LAWN_AND_GARDEN</t>
        </is>
      </c>
      <c r="C1193" s="16" t="n">
        <v>30</v>
      </c>
      <c r="D1193" s="17" t="inlineStr">
        <is>
          <t>LAWN AND GARDEN</t>
        </is>
      </c>
      <c r="E1193" s="17" t="inlineStr">
        <is>
          <t>HIGH</t>
        </is>
      </c>
      <c r="F1193" s="17" t="inlineStr">
        <is>
          <t>TRUNG BÌNH</t>
        </is>
      </c>
      <c r="G1193" s="18" t="inlineStr">
        <is>
          <t>RISK_HIGH · PROMO_EXTRAPOLATION</t>
        </is>
      </c>
      <c r="H1193" s="19" t="n">
        <v>1.403054016828537</v>
      </c>
      <c r="I1193" s="19" t="n">
        <v>9.405627034604549</v>
      </c>
      <c r="J1193" s="19" t="n">
        <v>79.79055101722479</v>
      </c>
      <c r="K1193" s="19" t="n">
        <v>9.405627034604549</v>
      </c>
      <c r="L1193" s="19" t="n">
        <v>53.39620452374219</v>
      </c>
      <c r="M1193" s="19" t="n">
        <v>79.79055101722479</v>
      </c>
      <c r="N1193" s="17" t="inlineStr">
        <is>
          <t>B</t>
        </is>
      </c>
      <c r="O1193" s="19" t="n">
        <v>45.87170289605855</v>
      </c>
      <c r="P1193" s="18" t="inlineStr">
        <is>
          <t>KHÔNG ĐỀ XUẤT TĂNG</t>
        </is>
      </c>
      <c r="Q1193" s="17" t="inlineStr">
        <is>
          <t>Có</t>
        </is>
      </c>
      <c r="R1193" s="20" t="n"/>
      <c r="S1193" s="20" t="n"/>
      <c r="T1193" s="21" t="n"/>
      <c r="U1193" s="21" t="n"/>
      <c r="V1193" s="22">
        <f>IF(U1193="A",K1193,IF(U1193="B",L1193,IF(U1193="C",M1193,IF(N1193="A",K1193,IF(N1193="B",L1193,M1193)))))</f>
        <v/>
      </c>
      <c r="W1193" s="22">
        <f>IF(R1193="",O1193,MAX(V1193-R1193-N(S1193),0))</f>
        <v/>
      </c>
      <c r="X1193" s="20" t="n"/>
      <c r="Y1193" s="23">
        <f>IF(OR(X1193="",W1193=0),"",X1193/W1193-1)</f>
        <v/>
      </c>
      <c r="Z1193" s="24" t="n"/>
      <c r="AA1193" s="21" t="n"/>
      <c r="AB1193" s="25" t="n"/>
      <c r="AC1193" s="26">
        <f>IF(T1193="","Chưa quyết định",IF(OR(Z1193="",AA1193=""),"⚠ Thiếu lý do/người duyệt",IF(AND(X1193&lt;&gt;"",N(X1193)+N(R1193)+N(S1193)&gt;M1193*1.001,R1193&lt;&gt;""),"⚠ Vượt mục tiêu P90",IF(AND(Y1193&lt;&gt;"",ABS(N(Y1193))&gt;0.3),"⚠ Lệch &gt; 30% so với nhu cầu",IF(Q1193="Có","ℹ Kiểm tra ngoại suy KM","✓ Hợp lệ")))))</f>
        <v/>
      </c>
    </row>
    <row r="1194">
      <c r="A1194" s="16" t="n">
        <v>1190</v>
      </c>
      <c r="B1194" s="17" t="inlineStr">
        <is>
          <t>DEC-S19-HOME_APPLIANCES</t>
        </is>
      </c>
      <c r="C1194" s="16" t="n">
        <v>19</v>
      </c>
      <c r="D1194" s="17" t="inlineStr">
        <is>
          <t>HOME APPLIANCES</t>
        </is>
      </c>
      <c r="E1194" s="17" t="inlineStr">
        <is>
          <t>HIGH</t>
        </is>
      </c>
      <c r="F1194" s="17" t="inlineStr">
        <is>
          <t>TRUNG BÌNH</t>
        </is>
      </c>
      <c r="G1194" s="18" t="inlineStr">
        <is>
          <t>RISK_HIGH · PROMO_EXTRAPOLATION</t>
        </is>
      </c>
      <c r="H1194" s="19" t="n">
        <v>1.724465870857239</v>
      </c>
      <c r="I1194" s="19" t="n">
        <v>9.332119107246401</v>
      </c>
      <c r="J1194" s="19" t="n">
        <v>79.71704308986664</v>
      </c>
      <c r="K1194" s="19" t="n">
        <v>9.332119107246401</v>
      </c>
      <c r="L1194" s="19" t="n">
        <v>53.32269659638404</v>
      </c>
      <c r="M1194" s="19" t="n">
        <v>79.71704308986664</v>
      </c>
      <c r="N1194" s="17" t="inlineStr">
        <is>
          <t>B</t>
        </is>
      </c>
      <c r="O1194" s="19" t="n">
        <v>45.85700131058693</v>
      </c>
      <c r="P1194" s="18" t="inlineStr">
        <is>
          <t>KHÔNG ĐỀ XUẤT TĂNG</t>
        </is>
      </c>
      <c r="Q1194" s="17" t="inlineStr">
        <is>
          <t>Có</t>
        </is>
      </c>
      <c r="R1194" s="20" t="n"/>
      <c r="S1194" s="20" t="n"/>
      <c r="T1194" s="21" t="n"/>
      <c r="U1194" s="21" t="n"/>
      <c r="V1194" s="22">
        <f>IF(U1194="A",K1194,IF(U1194="B",L1194,IF(U1194="C",M1194,IF(N1194="A",K1194,IF(N1194="B",L1194,M1194)))))</f>
        <v/>
      </c>
      <c r="W1194" s="22">
        <f>IF(R1194="",O1194,MAX(V1194-R1194-N(S1194),0))</f>
        <v/>
      </c>
      <c r="X1194" s="20" t="n"/>
      <c r="Y1194" s="23">
        <f>IF(OR(X1194="",W1194=0),"",X1194/W1194-1)</f>
        <v/>
      </c>
      <c r="Z1194" s="24" t="n"/>
      <c r="AA1194" s="21" t="n"/>
      <c r="AB1194" s="25" t="n"/>
      <c r="AC1194" s="26">
        <f>IF(T1194="","Chưa quyết định",IF(OR(Z1194="",AA1194=""),"⚠ Thiếu lý do/người duyệt",IF(AND(X1194&lt;&gt;"",N(X1194)+N(R1194)+N(S1194)&gt;M1194*1.001,R1194&lt;&gt;""),"⚠ Vượt mục tiêu P90",IF(AND(Y1194&lt;&gt;"",ABS(N(Y1194))&gt;0.3),"⚠ Lệch &gt; 30% so với nhu cầu",IF(Q1194="Có","ℹ Kiểm tra ngoại suy KM","✓ Hợp lệ")))))</f>
        <v/>
      </c>
    </row>
    <row r="1195">
      <c r="A1195" s="16" t="n">
        <v>1191</v>
      </c>
      <c r="B1195" s="17" t="inlineStr">
        <is>
          <t>DEC-S16-LADIESWEAR</t>
        </is>
      </c>
      <c r="C1195" s="16" t="n">
        <v>16</v>
      </c>
      <c r="D1195" s="17" t="inlineStr">
        <is>
          <t>LADIESWEAR</t>
        </is>
      </c>
      <c r="E1195" s="17" t="inlineStr">
        <is>
          <t>HIGH</t>
        </is>
      </c>
      <c r="F1195" s="17" t="inlineStr">
        <is>
          <t>TRUNG BÌNH</t>
        </is>
      </c>
      <c r="G1195" s="18" t="inlineStr">
        <is>
          <t>RISK_HIGH · PROMO_EXTRAPOLATION</t>
        </is>
      </c>
      <c r="H1195" s="19" t="n">
        <v>1.403054016828537</v>
      </c>
      <c r="I1195" s="19" t="n">
        <v>9.214663527905939</v>
      </c>
      <c r="J1195" s="19" t="n">
        <v>79.59958751052618</v>
      </c>
      <c r="K1195" s="19" t="n">
        <v>9.214663527905939</v>
      </c>
      <c r="L1195" s="19" t="n">
        <v>53.20524101704358</v>
      </c>
      <c r="M1195" s="19" t="n">
        <v>79.59958751052618</v>
      </c>
      <c r="N1195" s="17" t="inlineStr">
        <is>
          <t>B</t>
        </is>
      </c>
      <c r="O1195" s="19" t="n">
        <v>45.83351019471883</v>
      </c>
      <c r="P1195" s="18" t="inlineStr">
        <is>
          <t>KHÔNG ĐỀ XUẤT TĂNG</t>
        </is>
      </c>
      <c r="Q1195" s="17" t="inlineStr">
        <is>
          <t>Có</t>
        </is>
      </c>
      <c r="R1195" s="20" t="n"/>
      <c r="S1195" s="20" t="n"/>
      <c r="T1195" s="21" t="n"/>
      <c r="U1195" s="21" t="n"/>
      <c r="V1195" s="22">
        <f>IF(U1195="A",K1195,IF(U1195="B",L1195,IF(U1195="C",M1195,IF(N1195="A",K1195,IF(N1195="B",L1195,M1195)))))</f>
        <v/>
      </c>
      <c r="W1195" s="22">
        <f>IF(R1195="",O1195,MAX(V1195-R1195-N(S1195),0))</f>
        <v/>
      </c>
      <c r="X1195" s="20" t="n"/>
      <c r="Y1195" s="23">
        <f>IF(OR(X1195="",W1195=0),"",X1195/W1195-1)</f>
        <v/>
      </c>
      <c r="Z1195" s="24" t="n"/>
      <c r="AA1195" s="21" t="n"/>
      <c r="AB1195" s="25" t="n"/>
      <c r="AC1195" s="26">
        <f>IF(T1195="","Chưa quyết định",IF(OR(Z1195="",AA1195=""),"⚠ Thiếu lý do/người duyệt",IF(AND(X1195&lt;&gt;"",N(X1195)+N(R1195)+N(S1195)&gt;M1195*1.001,R1195&lt;&gt;""),"⚠ Vượt mục tiêu P90",IF(AND(Y1195&lt;&gt;"",ABS(N(Y1195))&gt;0.3),"⚠ Lệch &gt; 30% so với nhu cầu",IF(Q1195="Có","ℹ Kiểm tra ngoại suy KM","✓ Hợp lệ")))))</f>
        <v/>
      </c>
    </row>
    <row r="1196">
      <c r="A1196" s="16" t="n">
        <v>1192</v>
      </c>
      <c r="B1196" s="17" t="inlineStr">
        <is>
          <t>DEC-S16-LAWN_AND_GARDEN</t>
        </is>
      </c>
      <c r="C1196" s="16" t="n">
        <v>16</v>
      </c>
      <c r="D1196" s="17" t="inlineStr">
        <is>
          <t>LAWN AND GARDEN</t>
        </is>
      </c>
      <c r="E1196" s="17" t="inlineStr">
        <is>
          <t>HIGH</t>
        </is>
      </c>
      <c r="F1196" s="17" t="inlineStr">
        <is>
          <t>TRUNG BÌNH</t>
        </is>
      </c>
      <c r="G1196" s="18" t="inlineStr">
        <is>
          <t>RISK_HIGH · PROMO_EXTRAPOLATION</t>
        </is>
      </c>
      <c r="H1196" s="19" t="n">
        <v>1.403054016828537</v>
      </c>
      <c r="I1196" s="19" t="n">
        <v>9.214663527905939</v>
      </c>
      <c r="J1196" s="19" t="n">
        <v>79.59958751052618</v>
      </c>
      <c r="K1196" s="19" t="n">
        <v>9.214663527905939</v>
      </c>
      <c r="L1196" s="19" t="n">
        <v>53.20524101704358</v>
      </c>
      <c r="M1196" s="19" t="n">
        <v>79.59958751052618</v>
      </c>
      <c r="N1196" s="17" t="inlineStr">
        <is>
          <t>B</t>
        </is>
      </c>
      <c r="O1196" s="19" t="n">
        <v>45.83351019471883</v>
      </c>
      <c r="P1196" s="18" t="inlineStr">
        <is>
          <t>KHÔNG ĐỀ XUẤT TĂNG</t>
        </is>
      </c>
      <c r="Q1196" s="17" t="inlineStr">
        <is>
          <t>Có</t>
        </is>
      </c>
      <c r="R1196" s="20" t="n"/>
      <c r="S1196" s="20" t="n"/>
      <c r="T1196" s="21" t="n"/>
      <c r="U1196" s="21" t="n"/>
      <c r="V1196" s="22">
        <f>IF(U1196="A",K1196,IF(U1196="B",L1196,IF(U1196="C",M1196,IF(N1196="A",K1196,IF(N1196="B",L1196,M1196)))))</f>
        <v/>
      </c>
      <c r="W1196" s="22">
        <f>IF(R1196="",O1196,MAX(V1196-R1196-N(S1196),0))</f>
        <v/>
      </c>
      <c r="X1196" s="20" t="n"/>
      <c r="Y1196" s="23">
        <f>IF(OR(X1196="",W1196=0),"",X1196/W1196-1)</f>
        <v/>
      </c>
      <c r="Z1196" s="24" t="n"/>
      <c r="AA1196" s="21" t="n"/>
      <c r="AB1196" s="25" t="n"/>
      <c r="AC1196" s="26">
        <f>IF(T1196="","Chưa quyết định",IF(OR(Z1196="",AA1196=""),"⚠ Thiếu lý do/người duyệt",IF(AND(X1196&lt;&gt;"",N(X1196)+N(R1196)+N(S1196)&gt;M1196*1.001,R1196&lt;&gt;""),"⚠ Vượt mục tiêu P90",IF(AND(Y1196&lt;&gt;"",ABS(N(Y1196))&gt;0.3),"⚠ Lệch &gt; 30% so với nhu cầu",IF(Q1196="Có","ℹ Kiểm tra ngoại suy KM","✓ Hợp lệ")))))</f>
        <v/>
      </c>
    </row>
    <row r="1197">
      <c r="A1197" s="16" t="n">
        <v>1193</v>
      </c>
      <c r="B1197" s="17" t="inlineStr">
        <is>
          <t>DEC-S22-LAWN_AND_GARDEN</t>
        </is>
      </c>
      <c r="C1197" s="16" t="n">
        <v>22</v>
      </c>
      <c r="D1197" s="17" t="inlineStr">
        <is>
          <t>LAWN AND GARDEN</t>
        </is>
      </c>
      <c r="E1197" s="17" t="inlineStr">
        <is>
          <t>HIGH</t>
        </is>
      </c>
      <c r="F1197" s="17" t="inlineStr">
        <is>
          <t>TRUNG BÌNH</t>
        </is>
      </c>
      <c r="G1197" s="18" t="inlineStr">
        <is>
          <t>RISK_HIGH · PROMO_EXTRAPOLATION</t>
        </is>
      </c>
      <c r="H1197" s="19" t="n">
        <v>1.403054016828537</v>
      </c>
      <c r="I1197" s="19" t="n">
        <v>9.214663527905939</v>
      </c>
      <c r="J1197" s="19" t="n">
        <v>79.59958751052618</v>
      </c>
      <c r="K1197" s="19" t="n">
        <v>9.214663527905939</v>
      </c>
      <c r="L1197" s="19" t="n">
        <v>53.20524101704358</v>
      </c>
      <c r="M1197" s="19" t="n">
        <v>79.59958751052618</v>
      </c>
      <c r="N1197" s="17" t="inlineStr">
        <is>
          <t>B</t>
        </is>
      </c>
      <c r="O1197" s="19" t="n">
        <v>45.83351019471883</v>
      </c>
      <c r="P1197" s="18" t="inlineStr">
        <is>
          <t>KHÔNG ĐỀ XUẤT TĂNG</t>
        </is>
      </c>
      <c r="Q1197" s="17" t="inlineStr">
        <is>
          <t>Có</t>
        </is>
      </c>
      <c r="R1197" s="20" t="n"/>
      <c r="S1197" s="20" t="n"/>
      <c r="T1197" s="21" t="n"/>
      <c r="U1197" s="21" t="n"/>
      <c r="V1197" s="22">
        <f>IF(U1197="A",K1197,IF(U1197="B",L1197,IF(U1197="C",M1197,IF(N1197="A",K1197,IF(N1197="B",L1197,M1197)))))</f>
        <v/>
      </c>
      <c r="W1197" s="22">
        <f>IF(R1197="",O1197,MAX(V1197-R1197-N(S1197),0))</f>
        <v/>
      </c>
      <c r="X1197" s="20" t="n"/>
      <c r="Y1197" s="23">
        <f>IF(OR(X1197="",W1197=0),"",X1197/W1197-1)</f>
        <v/>
      </c>
      <c r="Z1197" s="24" t="n"/>
      <c r="AA1197" s="21" t="n"/>
      <c r="AB1197" s="25" t="n"/>
      <c r="AC1197" s="26">
        <f>IF(T1197="","Chưa quyết định",IF(OR(Z1197="",AA1197=""),"⚠ Thiếu lý do/người duyệt",IF(AND(X1197&lt;&gt;"",N(X1197)+N(R1197)+N(S1197)&gt;M1197*1.001,R1197&lt;&gt;""),"⚠ Vượt mục tiêu P90",IF(AND(Y1197&lt;&gt;"",ABS(N(Y1197))&gt;0.3),"⚠ Lệch &gt; 30% so với nhu cầu",IF(Q1197="Có","ℹ Kiểm tra ngoại suy KM","✓ Hợp lệ")))))</f>
        <v/>
      </c>
    </row>
    <row r="1198">
      <c r="A1198" s="16" t="n">
        <v>1194</v>
      </c>
      <c r="B1198" s="17" t="inlineStr">
        <is>
          <t>DEC-S32-MAGAZINES</t>
        </is>
      </c>
      <c r="C1198" s="16" t="n">
        <v>32</v>
      </c>
      <c r="D1198" s="17" t="inlineStr">
        <is>
          <t>MAGAZINES</t>
        </is>
      </c>
      <c r="E1198" s="17" t="inlineStr">
        <is>
          <t>HIGH</t>
        </is>
      </c>
      <c r="F1198" s="17" t="inlineStr">
        <is>
          <t>TRUNG BÌNH</t>
        </is>
      </c>
      <c r="G1198" s="18" t="inlineStr">
        <is>
          <t>RISK_HIGH · PROMO_EXTRAPOLATION</t>
        </is>
      </c>
      <c r="H1198" s="19" t="n">
        <v>1.465751552581787</v>
      </c>
      <c r="I1198" s="19" t="n">
        <v>9.165437433868648</v>
      </c>
      <c r="J1198" s="19" t="n">
        <v>79.55036141648888</v>
      </c>
      <c r="K1198" s="19" t="n">
        <v>9.165437433868648</v>
      </c>
      <c r="L1198" s="19" t="n">
        <v>53.15601492300629</v>
      </c>
      <c r="M1198" s="19" t="n">
        <v>79.55036141648888</v>
      </c>
      <c r="N1198" s="17" t="inlineStr">
        <is>
          <t>B</t>
        </is>
      </c>
      <c r="O1198" s="19" t="n">
        <v>45.82366497591137</v>
      </c>
      <c r="P1198" s="18" t="inlineStr">
        <is>
          <t>KHÔNG ĐỀ XUẤT TĂNG</t>
        </is>
      </c>
      <c r="Q1198" s="17" t="inlineStr">
        <is>
          <t>Có</t>
        </is>
      </c>
      <c r="R1198" s="20" t="n"/>
      <c r="S1198" s="20" t="n"/>
      <c r="T1198" s="21" t="n"/>
      <c r="U1198" s="21" t="n"/>
      <c r="V1198" s="22">
        <f>IF(U1198="A",K1198,IF(U1198="B",L1198,IF(U1198="C",M1198,IF(N1198="A",K1198,IF(N1198="B",L1198,M1198)))))</f>
        <v/>
      </c>
      <c r="W1198" s="22">
        <f>IF(R1198="",O1198,MAX(V1198-R1198-N(S1198),0))</f>
        <v/>
      </c>
      <c r="X1198" s="20" t="n"/>
      <c r="Y1198" s="23">
        <f>IF(OR(X1198="",W1198=0),"",X1198/W1198-1)</f>
        <v/>
      </c>
      <c r="Z1198" s="24" t="n"/>
      <c r="AA1198" s="21" t="n"/>
      <c r="AB1198" s="25" t="n"/>
      <c r="AC1198" s="26">
        <f>IF(T1198="","Chưa quyết định",IF(OR(Z1198="",AA1198=""),"⚠ Thiếu lý do/người duyệt",IF(AND(X1198&lt;&gt;"",N(X1198)+N(R1198)+N(S1198)&gt;M1198*1.001,R1198&lt;&gt;""),"⚠ Vượt mục tiêu P90",IF(AND(Y1198&lt;&gt;"",ABS(N(Y1198))&gt;0.3),"⚠ Lệch &gt; 30% so với nhu cầu",IF(Q1198="Có","ℹ Kiểm tra ngoại suy KM","✓ Hợp lệ")))))</f>
        <v/>
      </c>
    </row>
    <row r="1199">
      <c r="A1199" s="16" t="n">
        <v>1195</v>
      </c>
      <c r="B1199" s="17" t="inlineStr">
        <is>
          <t>DEC-S19-BABY_CARE</t>
        </is>
      </c>
      <c r="C1199" s="16" t="n">
        <v>19</v>
      </c>
      <c r="D1199" s="17" t="inlineStr">
        <is>
          <t>BABY CARE</t>
        </is>
      </c>
      <c r="E1199" s="17" t="inlineStr">
        <is>
          <t>HIGH</t>
        </is>
      </c>
      <c r="F1199" s="17" t="inlineStr">
        <is>
          <t>TRUNG BÌNH</t>
        </is>
      </c>
      <c r="G1199" s="18" t="inlineStr">
        <is>
          <t>RISK_HIGH · PROMO_EXTRAPOLATION</t>
        </is>
      </c>
      <c r="H1199" s="19" t="n">
        <v>1.248299050331116</v>
      </c>
      <c r="I1199" s="19" t="n">
        <v>9.129758756607773</v>
      </c>
      <c r="J1199" s="19" t="n">
        <v>79.51468273922801</v>
      </c>
      <c r="K1199" s="19" t="n">
        <v>9.129758756607773</v>
      </c>
      <c r="L1199" s="19" t="n">
        <v>53.12033624574541</v>
      </c>
      <c r="M1199" s="19" t="n">
        <v>79.51468273922801</v>
      </c>
      <c r="N1199" s="17" t="inlineStr">
        <is>
          <t>B</t>
        </is>
      </c>
      <c r="O1199" s="19" t="n">
        <v>45.8165292404592</v>
      </c>
      <c r="P1199" s="18" t="inlineStr">
        <is>
          <t>KHÔNG ĐỀ XUẤT TĂNG</t>
        </is>
      </c>
      <c r="Q1199" s="17" t="inlineStr">
        <is>
          <t>Có</t>
        </is>
      </c>
      <c r="R1199" s="20" t="n"/>
      <c r="S1199" s="20" t="n"/>
      <c r="T1199" s="21" t="n"/>
      <c r="U1199" s="21" t="n"/>
      <c r="V1199" s="22">
        <f>IF(U1199="A",K1199,IF(U1199="B",L1199,IF(U1199="C",M1199,IF(N1199="A",K1199,IF(N1199="B",L1199,M1199)))))</f>
        <v/>
      </c>
      <c r="W1199" s="22">
        <f>IF(R1199="",O1199,MAX(V1199-R1199-N(S1199),0))</f>
        <v/>
      </c>
      <c r="X1199" s="20" t="n"/>
      <c r="Y1199" s="23">
        <f>IF(OR(X1199="",W1199=0),"",X1199/W1199-1)</f>
        <v/>
      </c>
      <c r="Z1199" s="24" t="n"/>
      <c r="AA1199" s="21" t="n"/>
      <c r="AB1199" s="25" t="n"/>
      <c r="AC1199" s="26">
        <f>IF(T1199="","Chưa quyết định",IF(OR(Z1199="",AA1199=""),"⚠ Thiếu lý do/người duyệt",IF(AND(X1199&lt;&gt;"",N(X1199)+N(R1199)+N(S1199)&gt;M1199*1.001,R1199&lt;&gt;""),"⚠ Vượt mục tiêu P90",IF(AND(Y1199&lt;&gt;"",ABS(N(Y1199))&gt;0.3),"⚠ Lệch &gt; 30% so với nhu cầu",IF(Q1199="Có","ℹ Kiểm tra ngoại suy KM","✓ Hợp lệ")))))</f>
        <v/>
      </c>
    </row>
    <row r="1200">
      <c r="A1200" s="16" t="n">
        <v>1196</v>
      </c>
      <c r="B1200" s="17" t="inlineStr">
        <is>
          <t>DEC-S35-HARDWARE</t>
        </is>
      </c>
      <c r="C1200" s="16" t="n">
        <v>35</v>
      </c>
      <c r="D1200" s="17" t="inlineStr">
        <is>
          <t>HARDWARE</t>
        </is>
      </c>
      <c r="E1200" s="17" t="inlineStr">
        <is>
          <t>HIGH</t>
        </is>
      </c>
      <c r="F1200" s="17" t="inlineStr">
        <is>
          <t>TRUNG BÌNH</t>
        </is>
      </c>
      <c r="G1200" s="18" t="inlineStr">
        <is>
          <t>RISK_HIGH · PROMO_EXTRAPOLATION</t>
        </is>
      </c>
      <c r="H1200" s="19" t="n">
        <v>1.285814034938812</v>
      </c>
      <c r="I1200" s="19" t="n">
        <v>9.036140892654656</v>
      </c>
      <c r="J1200" s="19" t="n">
        <v>79.42106487527489</v>
      </c>
      <c r="K1200" s="19" t="n">
        <v>9.036140892654656</v>
      </c>
      <c r="L1200" s="19" t="n">
        <v>53.0267183817923</v>
      </c>
      <c r="M1200" s="19" t="n">
        <v>79.42106487527489</v>
      </c>
      <c r="N1200" s="17" t="inlineStr">
        <is>
          <t>B</t>
        </is>
      </c>
      <c r="O1200" s="19" t="n">
        <v>45.79780566766857</v>
      </c>
      <c r="P1200" s="18" t="inlineStr">
        <is>
          <t>KHÔNG ĐỀ XUẤT TĂNG</t>
        </is>
      </c>
      <c r="Q1200" s="17" t="inlineStr">
        <is>
          <t>Có</t>
        </is>
      </c>
      <c r="R1200" s="20" t="n"/>
      <c r="S1200" s="20" t="n"/>
      <c r="T1200" s="21" t="n"/>
      <c r="U1200" s="21" t="n"/>
      <c r="V1200" s="22">
        <f>IF(U1200="A",K1200,IF(U1200="B",L1200,IF(U1200="C",M1200,IF(N1200="A",K1200,IF(N1200="B",L1200,M1200)))))</f>
        <v/>
      </c>
      <c r="W1200" s="22">
        <f>IF(R1200="",O1200,MAX(V1200-R1200-N(S1200),0))</f>
        <v/>
      </c>
      <c r="X1200" s="20" t="n"/>
      <c r="Y1200" s="23">
        <f>IF(OR(X1200="",W1200=0),"",X1200/W1200-1)</f>
        <v/>
      </c>
      <c r="Z1200" s="24" t="n"/>
      <c r="AA1200" s="21" t="n"/>
      <c r="AB1200" s="25" t="n"/>
      <c r="AC1200" s="26">
        <f>IF(T1200="","Chưa quyết định",IF(OR(Z1200="",AA1200=""),"⚠ Thiếu lý do/người duyệt",IF(AND(X1200&lt;&gt;"",N(X1200)+N(R1200)+N(S1200)&gt;M1200*1.001,R1200&lt;&gt;""),"⚠ Vượt mục tiêu P90",IF(AND(Y1200&lt;&gt;"",ABS(N(Y1200))&gt;0.3),"⚠ Lệch &gt; 30% so với nhu cầu",IF(Q1200="Có","ℹ Kiểm tra ngoại suy KM","✓ Hợp lệ")))))</f>
        <v/>
      </c>
    </row>
    <row r="1201">
      <c r="A1201" s="16" t="n">
        <v>1197</v>
      </c>
      <c r="B1201" s="17" t="inlineStr">
        <is>
          <t>DEC-S34-SCHOOL_AND_OFFICE_SUPPLIES</t>
        </is>
      </c>
      <c r="C1201" s="16" t="n">
        <v>34</v>
      </c>
      <c r="D1201" s="17" t="inlineStr">
        <is>
          <t>SCHOOL AND OFFICE SUPPLIES</t>
        </is>
      </c>
      <c r="E1201" s="17" t="inlineStr">
        <is>
          <t>HIGH</t>
        </is>
      </c>
      <c r="F1201" s="17" t="inlineStr">
        <is>
          <t>TRUNG BÌNH</t>
        </is>
      </c>
      <c r="G1201" s="18" t="inlineStr">
        <is>
          <t>RISK_HIGH · PROMO_EXTRAPOLATION</t>
        </is>
      </c>
      <c r="H1201" s="19" t="n">
        <v>1.65094045996666</v>
      </c>
      <c r="I1201" s="19" t="n">
        <v>8.97723862528801</v>
      </c>
      <c r="J1201" s="19" t="n">
        <v>79.36216260790825</v>
      </c>
      <c r="K1201" s="19" t="n">
        <v>8.97723862528801</v>
      </c>
      <c r="L1201" s="19" t="n">
        <v>52.96781611442565</v>
      </c>
      <c r="M1201" s="19" t="n">
        <v>79.36216260790825</v>
      </c>
      <c r="N1201" s="17" t="inlineStr">
        <is>
          <t>B</t>
        </is>
      </c>
      <c r="O1201" s="19" t="n">
        <v>45.78602521419524</v>
      </c>
      <c r="P1201" s="18" t="inlineStr">
        <is>
          <t>KHÔNG ĐỀ XUẤT TĂNG</t>
        </is>
      </c>
      <c r="Q1201" s="17" t="inlineStr">
        <is>
          <t>Có</t>
        </is>
      </c>
      <c r="R1201" s="20" t="n"/>
      <c r="S1201" s="20" t="n"/>
      <c r="T1201" s="21" t="n"/>
      <c r="U1201" s="21" t="n"/>
      <c r="V1201" s="22">
        <f>IF(U1201="A",K1201,IF(U1201="B",L1201,IF(U1201="C",M1201,IF(N1201="A",K1201,IF(N1201="B",L1201,M1201)))))</f>
        <v/>
      </c>
      <c r="W1201" s="22">
        <f>IF(R1201="",O1201,MAX(V1201-R1201-N(S1201),0))</f>
        <v/>
      </c>
      <c r="X1201" s="20" t="n"/>
      <c r="Y1201" s="23">
        <f>IF(OR(X1201="",W1201=0),"",X1201/W1201-1)</f>
        <v/>
      </c>
      <c r="Z1201" s="24" t="n"/>
      <c r="AA1201" s="21" t="n"/>
      <c r="AB1201" s="25" t="n"/>
      <c r="AC1201" s="26">
        <f>IF(T1201="","Chưa quyết định",IF(OR(Z1201="",AA1201=""),"⚠ Thiếu lý do/người duyệt",IF(AND(X1201&lt;&gt;"",N(X1201)+N(R1201)+N(S1201)&gt;M1201*1.001,R1201&lt;&gt;""),"⚠ Vượt mục tiêu P90",IF(AND(Y1201&lt;&gt;"",ABS(N(Y1201))&gt;0.3),"⚠ Lệch &gt; 30% so với nhu cầu",IF(Q1201="Có","ℹ Kiểm tra ngoại suy KM","✓ Hợp lệ")))))</f>
        <v/>
      </c>
    </row>
    <row r="1202">
      <c r="A1202" s="16" t="n">
        <v>1198</v>
      </c>
      <c r="B1202" s="17" t="inlineStr">
        <is>
          <t>DEC-S35-LADIESWEAR</t>
        </is>
      </c>
      <c r="C1202" s="16" t="n">
        <v>35</v>
      </c>
      <c r="D1202" s="17" t="inlineStr">
        <is>
          <t>LADIESWEAR</t>
        </is>
      </c>
      <c r="E1202" s="17" t="inlineStr">
        <is>
          <t>HIGH</t>
        </is>
      </c>
      <c r="F1202" s="17" t="inlineStr">
        <is>
          <t>TRUNG BÌNH</t>
        </is>
      </c>
      <c r="G1202" s="18" t="inlineStr">
        <is>
          <t>RISK_HIGH · PROMO_EXTRAPOLATION</t>
        </is>
      </c>
      <c r="H1202" s="19" t="n">
        <v>1.285814034938812</v>
      </c>
      <c r="I1202" s="19" t="n">
        <v>8.851983401924372</v>
      </c>
      <c r="J1202" s="19" t="n">
        <v>79.23690738454461</v>
      </c>
      <c r="K1202" s="19" t="n">
        <v>8.851983401924372</v>
      </c>
      <c r="L1202" s="19" t="n">
        <v>52.84256089106201</v>
      </c>
      <c r="M1202" s="19" t="n">
        <v>79.23690738454461</v>
      </c>
      <c r="N1202" s="17" t="inlineStr">
        <is>
          <t>B</t>
        </is>
      </c>
      <c r="O1202" s="19" t="n">
        <v>45.76097416952251</v>
      </c>
      <c r="P1202" s="18" t="inlineStr">
        <is>
          <t>KHÔNG ĐỀ XUẤT TĂNG</t>
        </is>
      </c>
      <c r="Q1202" s="17" t="inlineStr">
        <is>
          <t>Có</t>
        </is>
      </c>
      <c r="R1202" s="20" t="n"/>
      <c r="S1202" s="20" t="n"/>
      <c r="T1202" s="21" t="n"/>
      <c r="U1202" s="21" t="n"/>
      <c r="V1202" s="22">
        <f>IF(U1202="A",K1202,IF(U1202="B",L1202,IF(U1202="C",M1202,IF(N1202="A",K1202,IF(N1202="B",L1202,M1202)))))</f>
        <v/>
      </c>
      <c r="W1202" s="22">
        <f>IF(R1202="",O1202,MAX(V1202-R1202-N(S1202),0))</f>
        <v/>
      </c>
      <c r="X1202" s="20" t="n"/>
      <c r="Y1202" s="23">
        <f>IF(OR(X1202="",W1202=0),"",X1202/W1202-1)</f>
        <v/>
      </c>
      <c r="Z1202" s="24" t="n"/>
      <c r="AA1202" s="21" t="n"/>
      <c r="AB1202" s="25" t="n"/>
      <c r="AC1202" s="26">
        <f>IF(T1202="","Chưa quyết định",IF(OR(Z1202="",AA1202=""),"⚠ Thiếu lý do/người duyệt",IF(AND(X1202&lt;&gt;"",N(X1202)+N(R1202)+N(S1202)&gt;M1202*1.001,R1202&lt;&gt;""),"⚠ Vượt mục tiêu P90",IF(AND(Y1202&lt;&gt;"",ABS(N(Y1202))&gt;0.3),"⚠ Lệch &gt; 30% so với nhu cầu",IF(Q1202="Có","ℹ Kiểm tra ngoại suy KM","✓ Hợp lệ")))))</f>
        <v/>
      </c>
    </row>
    <row r="1203">
      <c r="A1203" s="16" t="n">
        <v>1199</v>
      </c>
      <c r="B1203" s="17" t="inlineStr">
        <is>
          <t>DEC-S35-LAWN_AND_GARDEN</t>
        </is>
      </c>
      <c r="C1203" s="16" t="n">
        <v>35</v>
      </c>
      <c r="D1203" s="17" t="inlineStr">
        <is>
          <t>LAWN AND GARDEN</t>
        </is>
      </c>
      <c r="E1203" s="17" t="inlineStr">
        <is>
          <t>HIGH</t>
        </is>
      </c>
      <c r="F1203" s="17" t="inlineStr">
        <is>
          <t>TRUNG BÌNH</t>
        </is>
      </c>
      <c r="G1203" s="18" t="inlineStr">
        <is>
          <t>RISK_HIGH · PROMO_EXTRAPOLATION</t>
        </is>
      </c>
      <c r="H1203" s="19" t="n">
        <v>1.285814034938812</v>
      </c>
      <c r="I1203" s="19" t="n">
        <v>8.851983401924372</v>
      </c>
      <c r="J1203" s="19" t="n">
        <v>79.23690738454461</v>
      </c>
      <c r="K1203" s="19" t="n">
        <v>8.851983401924372</v>
      </c>
      <c r="L1203" s="19" t="n">
        <v>52.84256089106201</v>
      </c>
      <c r="M1203" s="19" t="n">
        <v>79.23690738454461</v>
      </c>
      <c r="N1203" s="17" t="inlineStr">
        <is>
          <t>B</t>
        </is>
      </c>
      <c r="O1203" s="19" t="n">
        <v>45.76097416952251</v>
      </c>
      <c r="P1203" s="18" t="inlineStr">
        <is>
          <t>KHÔNG ĐỀ XUẤT TĂNG</t>
        </is>
      </c>
      <c r="Q1203" s="17" t="inlineStr">
        <is>
          <t>Có</t>
        </is>
      </c>
      <c r="R1203" s="20" t="n"/>
      <c r="S1203" s="20" t="n"/>
      <c r="T1203" s="21" t="n"/>
      <c r="U1203" s="21" t="n"/>
      <c r="V1203" s="22">
        <f>IF(U1203="A",K1203,IF(U1203="B",L1203,IF(U1203="C",M1203,IF(N1203="A",K1203,IF(N1203="B",L1203,M1203)))))</f>
        <v/>
      </c>
      <c r="W1203" s="22">
        <f>IF(R1203="",O1203,MAX(V1203-R1203-N(S1203),0))</f>
        <v/>
      </c>
      <c r="X1203" s="20" t="n"/>
      <c r="Y1203" s="23">
        <f>IF(OR(X1203="",W1203=0),"",X1203/W1203-1)</f>
        <v/>
      </c>
      <c r="Z1203" s="24" t="n"/>
      <c r="AA1203" s="21" t="n"/>
      <c r="AB1203" s="25" t="n"/>
      <c r="AC1203" s="26">
        <f>IF(T1203="","Chưa quyết định",IF(OR(Z1203="",AA1203=""),"⚠ Thiếu lý do/người duyệt",IF(AND(X1203&lt;&gt;"",N(X1203)+N(R1203)+N(S1203)&gt;M1203*1.001,R1203&lt;&gt;""),"⚠ Vượt mục tiêu P90",IF(AND(Y1203&lt;&gt;"",ABS(N(Y1203))&gt;0.3),"⚠ Lệch &gt; 30% so với nhu cầu",IF(Q1203="Có","ℹ Kiểm tra ngoại suy KM","✓ Hợp lệ")))))</f>
        <v/>
      </c>
    </row>
    <row r="1204">
      <c r="A1204" s="16" t="n">
        <v>1200</v>
      </c>
      <c r="B1204" s="17" t="inlineStr">
        <is>
          <t>DEC-S32-HOME_APPLIANCES</t>
        </is>
      </c>
      <c r="C1204" s="16" t="n">
        <v>32</v>
      </c>
      <c r="D1204" s="17" t="inlineStr">
        <is>
          <t>HOME APPLIANCES</t>
        </is>
      </c>
      <c r="E1204" s="17" t="inlineStr">
        <is>
          <t>HIGH</t>
        </is>
      </c>
      <c r="F1204" s="17" t="inlineStr">
        <is>
          <t>TRUNG BÌNH</t>
        </is>
      </c>
      <c r="G1204" s="18" t="inlineStr">
        <is>
          <t>RISK_HIGH · PROMO_EXTRAPOLATION</t>
        </is>
      </c>
      <c r="H1204" s="19" t="n">
        <v>1.051333892345428</v>
      </c>
      <c r="I1204" s="19" t="n">
        <v>8.500263068825006</v>
      </c>
      <c r="J1204" s="19" t="n">
        <v>78.88518705144524</v>
      </c>
      <c r="K1204" s="19" t="n">
        <v>8.500263068825006</v>
      </c>
      <c r="L1204" s="19" t="n">
        <v>52.49084055796265</v>
      </c>
      <c r="M1204" s="19" t="n">
        <v>78.88518705144524</v>
      </c>
      <c r="N1204" s="17" t="inlineStr">
        <is>
          <t>B</t>
        </is>
      </c>
      <c r="O1204" s="19" t="n">
        <v>45.69063010290265</v>
      </c>
      <c r="P1204" s="18" t="inlineStr">
        <is>
          <t>KHÔNG ĐỀ XUẤT TĂNG</t>
        </is>
      </c>
      <c r="Q1204" s="17" t="inlineStr">
        <is>
          <t>Có</t>
        </is>
      </c>
      <c r="R1204" s="20" t="n"/>
      <c r="S1204" s="20" t="n"/>
      <c r="T1204" s="21" t="n"/>
      <c r="U1204" s="21" t="n"/>
      <c r="V1204" s="22">
        <f>IF(U1204="A",K1204,IF(U1204="B",L1204,IF(U1204="C",M1204,IF(N1204="A",K1204,IF(N1204="B",L1204,M1204)))))</f>
        <v/>
      </c>
      <c r="W1204" s="22">
        <f>IF(R1204="",O1204,MAX(V1204-R1204-N(S1204),0))</f>
        <v/>
      </c>
      <c r="X1204" s="20" t="n"/>
      <c r="Y1204" s="23">
        <f>IF(OR(X1204="",W1204=0),"",X1204/W1204-1)</f>
        <v/>
      </c>
      <c r="Z1204" s="24" t="n"/>
      <c r="AA1204" s="21" t="n"/>
      <c r="AB1204" s="25" t="n"/>
      <c r="AC1204" s="26">
        <f>IF(T1204="","Chưa quyết định",IF(OR(Z1204="",AA1204=""),"⚠ Thiếu lý do/người duyệt",IF(AND(X1204&lt;&gt;"",N(X1204)+N(R1204)+N(S1204)&gt;M1204*1.001,R1204&lt;&gt;""),"⚠ Vượt mục tiêu P90",IF(AND(Y1204&lt;&gt;"",ABS(N(Y1204))&gt;0.3),"⚠ Lệch &gt; 30% so với nhu cầu",IF(Q1204="Có","ℹ Kiểm tra ngoại suy KM","✓ Hợp lệ")))))</f>
        <v/>
      </c>
    </row>
    <row r="1205">
      <c r="A1205" s="16" t="n">
        <v>1201</v>
      </c>
      <c r="B1205" s="17" t="inlineStr">
        <is>
          <t>DEC-S32-LADIESWEAR</t>
        </is>
      </c>
      <c r="C1205" s="16" t="n">
        <v>32</v>
      </c>
      <c r="D1205" s="17" t="inlineStr">
        <is>
          <t>LADIESWEAR</t>
        </is>
      </c>
      <c r="E1205" s="17" t="inlineStr">
        <is>
          <t>HIGH</t>
        </is>
      </c>
      <c r="F1205" s="17" t="inlineStr">
        <is>
          <t>TRUNG BÌNH</t>
        </is>
      </c>
      <c r="G1205" s="18" t="inlineStr">
        <is>
          <t>RISK_HIGH · PROMO_EXTRAPOLATION</t>
        </is>
      </c>
      <c r="H1205" s="19" t="n">
        <v>1.051333892345428</v>
      </c>
      <c r="I1205" s="19" t="n">
        <v>8.500263068825006</v>
      </c>
      <c r="J1205" s="19" t="n">
        <v>78.88518705144524</v>
      </c>
      <c r="K1205" s="19" t="n">
        <v>8.500263068825006</v>
      </c>
      <c r="L1205" s="19" t="n">
        <v>52.49084055796265</v>
      </c>
      <c r="M1205" s="19" t="n">
        <v>78.88518705144524</v>
      </c>
      <c r="N1205" s="17" t="inlineStr">
        <is>
          <t>B</t>
        </is>
      </c>
      <c r="O1205" s="19" t="n">
        <v>45.69063010290265</v>
      </c>
      <c r="P1205" s="18" t="inlineStr">
        <is>
          <t>KHÔNG ĐỀ XUẤT TĂNG</t>
        </is>
      </c>
      <c r="Q1205" s="17" t="inlineStr">
        <is>
          <t>Có</t>
        </is>
      </c>
      <c r="R1205" s="20" t="n"/>
      <c r="S1205" s="20" t="n"/>
      <c r="T1205" s="21" t="n"/>
      <c r="U1205" s="21" t="n"/>
      <c r="V1205" s="22">
        <f>IF(U1205="A",K1205,IF(U1205="B",L1205,IF(U1205="C",M1205,IF(N1205="A",K1205,IF(N1205="B",L1205,M1205)))))</f>
        <v/>
      </c>
      <c r="W1205" s="22">
        <f>IF(R1205="",O1205,MAX(V1205-R1205-N(S1205),0))</f>
        <v/>
      </c>
      <c r="X1205" s="20" t="n"/>
      <c r="Y1205" s="23">
        <f>IF(OR(X1205="",W1205=0),"",X1205/W1205-1)</f>
        <v/>
      </c>
      <c r="Z1205" s="24" t="n"/>
      <c r="AA1205" s="21" t="n"/>
      <c r="AB1205" s="25" t="n"/>
      <c r="AC1205" s="26">
        <f>IF(T1205="","Chưa quyết định",IF(OR(Z1205="",AA1205=""),"⚠ Thiếu lý do/người duyệt",IF(AND(X1205&lt;&gt;"",N(X1205)+N(R1205)+N(S1205)&gt;M1205*1.001,R1205&lt;&gt;""),"⚠ Vượt mục tiêu P90",IF(AND(Y1205&lt;&gt;"",ABS(N(Y1205))&gt;0.3),"⚠ Lệch &gt; 30% so với nhu cầu",IF(Q1205="Có","ℹ Kiểm tra ngoại suy KM","✓ Hợp lệ")))))</f>
        <v/>
      </c>
    </row>
    <row r="1206">
      <c r="A1206" s="16" t="n">
        <v>1202</v>
      </c>
      <c r="B1206" s="17" t="inlineStr">
        <is>
          <t>DEC-S32-LAWN_AND_GARDEN</t>
        </is>
      </c>
      <c r="C1206" s="16" t="n">
        <v>32</v>
      </c>
      <c r="D1206" s="17" t="inlineStr">
        <is>
          <t>LAWN AND GARDEN</t>
        </is>
      </c>
      <c r="E1206" s="17" t="inlineStr">
        <is>
          <t>HIGH</t>
        </is>
      </c>
      <c r="F1206" s="17" t="inlineStr">
        <is>
          <t>TRUNG BÌNH</t>
        </is>
      </c>
      <c r="G1206" s="18" t="inlineStr">
        <is>
          <t>RISK_HIGH · PROMO_EXTRAPOLATION</t>
        </is>
      </c>
      <c r="H1206" s="19" t="n">
        <v>1.051333892345428</v>
      </c>
      <c r="I1206" s="19" t="n">
        <v>8.500263068825006</v>
      </c>
      <c r="J1206" s="19" t="n">
        <v>78.88518705144524</v>
      </c>
      <c r="K1206" s="19" t="n">
        <v>8.500263068825006</v>
      </c>
      <c r="L1206" s="19" t="n">
        <v>52.49084055796265</v>
      </c>
      <c r="M1206" s="19" t="n">
        <v>78.88518705144524</v>
      </c>
      <c r="N1206" s="17" t="inlineStr">
        <is>
          <t>B</t>
        </is>
      </c>
      <c r="O1206" s="19" t="n">
        <v>45.69063010290265</v>
      </c>
      <c r="P1206" s="18" t="inlineStr">
        <is>
          <t>KHÔNG ĐỀ XUẤT TĂNG</t>
        </is>
      </c>
      <c r="Q1206" s="17" t="inlineStr">
        <is>
          <t>Có</t>
        </is>
      </c>
      <c r="R1206" s="20" t="n"/>
      <c r="S1206" s="20" t="n"/>
      <c r="T1206" s="21" t="n"/>
      <c r="U1206" s="21" t="n"/>
      <c r="V1206" s="22">
        <f>IF(U1206="A",K1206,IF(U1206="B",L1206,IF(U1206="C",M1206,IF(N1206="A",K1206,IF(N1206="B",L1206,M1206)))))</f>
        <v/>
      </c>
      <c r="W1206" s="22">
        <f>IF(R1206="",O1206,MAX(V1206-R1206-N(S1206),0))</f>
        <v/>
      </c>
      <c r="X1206" s="20" t="n"/>
      <c r="Y1206" s="23">
        <f>IF(OR(X1206="",W1206=0),"",X1206/W1206-1)</f>
        <v/>
      </c>
      <c r="Z1206" s="24" t="n"/>
      <c r="AA1206" s="21" t="n"/>
      <c r="AB1206" s="25" t="n"/>
      <c r="AC1206" s="26">
        <f>IF(T1206="","Chưa quyết định",IF(OR(Z1206="",AA1206=""),"⚠ Thiếu lý do/người duyệt",IF(AND(X1206&lt;&gt;"",N(X1206)+N(R1206)+N(S1206)&gt;M1206*1.001,R1206&lt;&gt;""),"⚠ Vượt mục tiêu P90",IF(AND(Y1206&lt;&gt;"",ABS(N(Y1206))&gt;0.3),"⚠ Lệch &gt; 30% so với nhu cầu",IF(Q1206="Có","ℹ Kiểm tra ngoại suy KM","✓ Hợp lệ")))))</f>
        <v/>
      </c>
    </row>
    <row r="1207">
      <c r="A1207" s="16" t="n">
        <v>1203</v>
      </c>
      <c r="B1207" s="17" t="inlineStr">
        <is>
          <t>DEC-S19-BOOKS</t>
        </is>
      </c>
      <c r="C1207" s="16" t="n">
        <v>19</v>
      </c>
      <c r="D1207" s="17" t="inlineStr">
        <is>
          <t>BOOKS</t>
        </is>
      </c>
      <c r="E1207" s="17" t="inlineStr">
        <is>
          <t>HIGH</t>
        </is>
      </c>
      <c r="F1207" s="17" t="inlineStr">
        <is>
          <t>TRUNG BÌNH</t>
        </is>
      </c>
      <c r="G1207" s="18" t="inlineStr">
        <is>
          <t>RISK_HIGH · PROMO_EXTRAPOLATION</t>
        </is>
      </c>
      <c r="H1207" s="19" t="n">
        <v>1.043258953094482</v>
      </c>
      <c r="I1207" s="19" t="n">
        <v>8.474535659421235</v>
      </c>
      <c r="J1207" s="19" t="n">
        <v>78.85945964204147</v>
      </c>
      <c r="K1207" s="19" t="n">
        <v>8.474535659421235</v>
      </c>
      <c r="L1207" s="19" t="n">
        <v>52.46511314855888</v>
      </c>
      <c r="M1207" s="19" t="n">
        <v>78.85945964204147</v>
      </c>
      <c r="N1207" s="17" t="inlineStr">
        <is>
          <t>B</t>
        </is>
      </c>
      <c r="O1207" s="19" t="n">
        <v>45.68548462102189</v>
      </c>
      <c r="P1207" s="18" t="inlineStr">
        <is>
          <t>KHÔNG ĐỀ XUẤT TĂNG</t>
        </is>
      </c>
      <c r="Q1207" s="17" t="inlineStr">
        <is>
          <t>Có</t>
        </is>
      </c>
      <c r="R1207" s="20" t="n"/>
      <c r="S1207" s="20" t="n"/>
      <c r="T1207" s="21" t="n"/>
      <c r="U1207" s="21" t="n"/>
      <c r="V1207" s="22">
        <f>IF(U1207="A",K1207,IF(U1207="B",L1207,IF(U1207="C",M1207,IF(N1207="A",K1207,IF(N1207="B",L1207,M1207)))))</f>
        <v/>
      </c>
      <c r="W1207" s="22">
        <f>IF(R1207="",O1207,MAX(V1207-R1207-N(S1207),0))</f>
        <v/>
      </c>
      <c r="X1207" s="20" t="n"/>
      <c r="Y1207" s="23">
        <f>IF(OR(X1207="",W1207=0),"",X1207/W1207-1)</f>
        <v/>
      </c>
      <c r="Z1207" s="24" t="n"/>
      <c r="AA1207" s="21" t="n"/>
      <c r="AB1207" s="25" t="n"/>
      <c r="AC1207" s="26">
        <f>IF(T1207="","Chưa quyết định",IF(OR(Z1207="",AA1207=""),"⚠ Thiếu lý do/người duyệt",IF(AND(X1207&lt;&gt;"",N(X1207)+N(R1207)+N(S1207)&gt;M1207*1.001,R1207&lt;&gt;""),"⚠ Vượt mục tiêu P90",IF(AND(Y1207&lt;&gt;"",ABS(N(Y1207))&gt;0.3),"⚠ Lệch &gt; 30% so với nhu cầu",IF(Q1207="Có","ℹ Kiểm tra ngoại suy KM","✓ Hợp lệ")))))</f>
        <v/>
      </c>
    </row>
    <row r="1208">
      <c r="A1208" s="16" t="n">
        <v>1204</v>
      </c>
      <c r="B1208" s="17" t="inlineStr">
        <is>
          <t>DEC-S10-HOME_APPLIANCES</t>
        </is>
      </c>
      <c r="C1208" s="16" t="n">
        <v>10</v>
      </c>
      <c r="D1208" s="17" t="inlineStr">
        <is>
          <t>HOME APPLIANCES</t>
        </is>
      </c>
      <c r="E1208" s="17" t="inlineStr">
        <is>
          <t>HIGH</t>
        </is>
      </c>
      <c r="F1208" s="17" t="inlineStr">
        <is>
          <t>TRUNG BÌNH</t>
        </is>
      </c>
      <c r="G1208" s="18" t="inlineStr">
        <is>
          <t>RISK_HIGH · PROMO_EXTRAPOLATION</t>
        </is>
      </c>
      <c r="H1208" s="19" t="n">
        <v>0.2923925638198853</v>
      </c>
      <c r="I1208" s="19" t="n">
        <v>7.601829841732979</v>
      </c>
      <c r="J1208" s="19" t="n">
        <v>77.98675382435322</v>
      </c>
      <c r="K1208" s="19" t="n">
        <v>7.601829841732979</v>
      </c>
      <c r="L1208" s="19" t="n">
        <v>51.59240733087062</v>
      </c>
      <c r="M1208" s="19" t="n">
        <v>77.98675382435322</v>
      </c>
      <c r="N1208" s="17" t="inlineStr">
        <is>
          <t>B</t>
        </is>
      </c>
      <c r="O1208" s="19" t="n">
        <v>45.51094345748424</v>
      </c>
      <c r="P1208" s="18" t="inlineStr">
        <is>
          <t>KHÔNG ĐỀ XUẤT TĂNG</t>
        </is>
      </c>
      <c r="Q1208" s="17" t="inlineStr">
        <is>
          <t>Có</t>
        </is>
      </c>
      <c r="R1208" s="20" t="n"/>
      <c r="S1208" s="20" t="n"/>
      <c r="T1208" s="21" t="n"/>
      <c r="U1208" s="21" t="n"/>
      <c r="V1208" s="22">
        <f>IF(U1208="A",K1208,IF(U1208="B",L1208,IF(U1208="C",M1208,IF(N1208="A",K1208,IF(N1208="B",L1208,M1208)))))</f>
        <v/>
      </c>
      <c r="W1208" s="22">
        <f>IF(R1208="",O1208,MAX(V1208-R1208-N(S1208),0))</f>
        <v/>
      </c>
      <c r="X1208" s="20" t="n"/>
      <c r="Y1208" s="23">
        <f>IF(OR(X1208="",W1208=0),"",X1208/W1208-1)</f>
        <v/>
      </c>
      <c r="Z1208" s="24" t="n"/>
      <c r="AA1208" s="21" t="n"/>
      <c r="AB1208" s="25" t="n"/>
      <c r="AC1208" s="26">
        <f>IF(T1208="","Chưa quyết định",IF(OR(Z1208="",AA1208=""),"⚠ Thiếu lý do/người duyệt",IF(AND(X1208&lt;&gt;"",N(X1208)+N(R1208)+N(S1208)&gt;M1208*1.001,R1208&lt;&gt;""),"⚠ Vượt mục tiêu P90",IF(AND(Y1208&lt;&gt;"",ABS(N(Y1208))&gt;0.3),"⚠ Lệch &gt; 30% so với nhu cầu",IF(Q1208="Có","ℹ Kiểm tra ngoại suy KM","✓ Hợp lệ")))))</f>
        <v/>
      </c>
    </row>
    <row r="1209">
      <c r="A1209" s="16" t="n">
        <v>1205</v>
      </c>
      <c r="B1209" s="17" t="inlineStr">
        <is>
          <t>DEC-S12-BABY_CARE</t>
        </is>
      </c>
      <c r="C1209" s="16" t="n">
        <v>12</v>
      </c>
      <c r="D1209" s="17" t="inlineStr">
        <is>
          <t>BABY CARE</t>
        </is>
      </c>
      <c r="E1209" s="17" t="inlineStr">
        <is>
          <t>HIGH</t>
        </is>
      </c>
      <c r="F1209" s="17" t="inlineStr">
        <is>
          <t>TRUNG BÌNH</t>
        </is>
      </c>
      <c r="G1209" s="18" t="inlineStr">
        <is>
          <t>RISK_HIGH · PROMO_EXTRAPOLATION</t>
        </is>
      </c>
      <c r="H1209" s="19" t="n">
        <v>1.758749449253082</v>
      </c>
      <c r="I1209" s="19" t="n">
        <v>7.553471099585295</v>
      </c>
      <c r="J1209" s="19" t="n">
        <v>75.80930939838291</v>
      </c>
      <c r="K1209" s="19" t="n">
        <v>7.553471099585295</v>
      </c>
      <c r="L1209" s="19" t="n">
        <v>50.2133700363338</v>
      </c>
      <c r="M1209" s="19" t="n">
        <v>75.80930939838291</v>
      </c>
      <c r="N1209" s="17" t="inlineStr">
        <is>
          <t>B</t>
        </is>
      </c>
      <c r="O1209" s="19" t="n">
        <v>44.17059315666556</v>
      </c>
      <c r="P1209" s="18" t="inlineStr">
        <is>
          <t>KHÔNG ĐỀ XUẤT TĂNG</t>
        </is>
      </c>
      <c r="Q1209" s="17" t="inlineStr">
        <is>
          <t>Có</t>
        </is>
      </c>
      <c r="R1209" s="20" t="n"/>
      <c r="S1209" s="20" t="n"/>
      <c r="T1209" s="21" t="n"/>
      <c r="U1209" s="21" t="n"/>
      <c r="V1209" s="22">
        <f>IF(U1209="A",K1209,IF(U1209="B",L1209,IF(U1209="C",M1209,IF(N1209="A",K1209,IF(N1209="B",L1209,M1209)))))</f>
        <v/>
      </c>
      <c r="W1209" s="22">
        <f>IF(R1209="",O1209,MAX(V1209-R1209-N(S1209),0))</f>
        <v/>
      </c>
      <c r="X1209" s="20" t="n"/>
      <c r="Y1209" s="23">
        <f>IF(OR(X1209="",W1209=0),"",X1209/W1209-1)</f>
        <v/>
      </c>
      <c r="Z1209" s="24" t="n"/>
      <c r="AA1209" s="21" t="n"/>
      <c r="AB1209" s="25" t="n"/>
      <c r="AC1209" s="26">
        <f>IF(T1209="","Chưa quyết định",IF(OR(Z1209="",AA1209=""),"⚠ Thiếu lý do/người duyệt",IF(AND(X1209&lt;&gt;"",N(X1209)+N(R1209)+N(S1209)&gt;M1209*1.001,R1209&lt;&gt;""),"⚠ Vượt mục tiêu P90",IF(AND(Y1209&lt;&gt;"",ABS(N(Y1209))&gt;0.3),"⚠ Lệch &gt; 30% so với nhu cầu",IF(Q1209="Có","ℹ Kiểm tra ngoại suy KM","✓ Hợp lệ")))))</f>
        <v/>
      </c>
    </row>
    <row r="1210">
      <c r="A1210" s="16" t="n">
        <v>1206</v>
      </c>
      <c r="B1210" s="17" t="inlineStr">
        <is>
          <t>DEC-S12-BOOKS</t>
        </is>
      </c>
      <c r="C1210" s="16" t="n">
        <v>12</v>
      </c>
      <c r="D1210" s="17" t="inlineStr">
        <is>
          <t>BOOKS</t>
        </is>
      </c>
      <c r="E1210" s="17" t="inlineStr">
        <is>
          <t>HIGH</t>
        </is>
      </c>
      <c r="F1210" s="17" t="inlineStr">
        <is>
          <t>TRUNG BÌNH</t>
        </is>
      </c>
      <c r="G1210" s="18" t="inlineStr">
        <is>
          <t>RISK_HIGH · PROMO_EXTRAPOLATION</t>
        </is>
      </c>
      <c r="H1210" s="19" t="n">
        <v>1.758749449253082</v>
      </c>
      <c r="I1210" s="19" t="n">
        <v>7.553471099585295</v>
      </c>
      <c r="J1210" s="19" t="n">
        <v>75.80930939838291</v>
      </c>
      <c r="K1210" s="19" t="n">
        <v>7.553471099585295</v>
      </c>
      <c r="L1210" s="19" t="n">
        <v>50.2133700363338</v>
      </c>
      <c r="M1210" s="19" t="n">
        <v>75.80930939838291</v>
      </c>
      <c r="N1210" s="17" t="inlineStr">
        <is>
          <t>B</t>
        </is>
      </c>
      <c r="O1210" s="19" t="n">
        <v>44.17059315666556</v>
      </c>
      <c r="P1210" s="18" t="inlineStr">
        <is>
          <t>KHÔNG ĐỀ XUẤT TĂNG</t>
        </is>
      </c>
      <c r="Q1210" s="17" t="inlineStr">
        <is>
          <t>Có</t>
        </is>
      </c>
      <c r="R1210" s="20" t="n"/>
      <c r="S1210" s="20" t="n"/>
      <c r="T1210" s="21" t="n"/>
      <c r="U1210" s="21" t="n"/>
      <c r="V1210" s="22">
        <f>IF(U1210="A",K1210,IF(U1210="B",L1210,IF(U1210="C",M1210,IF(N1210="A",K1210,IF(N1210="B",L1210,M1210)))))</f>
        <v/>
      </c>
      <c r="W1210" s="22">
        <f>IF(R1210="",O1210,MAX(V1210-R1210-N(S1210),0))</f>
        <v/>
      </c>
      <c r="X1210" s="20" t="n"/>
      <c r="Y1210" s="23">
        <f>IF(OR(X1210="",W1210=0),"",X1210/W1210-1)</f>
        <v/>
      </c>
      <c r="Z1210" s="24" t="n"/>
      <c r="AA1210" s="21" t="n"/>
      <c r="AB1210" s="25" t="n"/>
      <c r="AC1210" s="26">
        <f>IF(T1210="","Chưa quyết định",IF(OR(Z1210="",AA1210=""),"⚠ Thiếu lý do/người duyệt",IF(AND(X1210&lt;&gt;"",N(X1210)+N(R1210)+N(S1210)&gt;M1210*1.001,R1210&lt;&gt;""),"⚠ Vượt mục tiêu P90",IF(AND(Y1210&lt;&gt;"",ABS(N(Y1210))&gt;0.3),"⚠ Lệch &gt; 30% so với nhu cầu",IF(Q1210="Có","ℹ Kiểm tra ngoại suy KM","✓ Hợp lệ")))))</f>
        <v/>
      </c>
    </row>
    <row r="1211">
      <c r="A1211" s="16" t="n">
        <v>1207</v>
      </c>
      <c r="B1211" s="17" t="inlineStr">
        <is>
          <t>DEC-S13-HOME_APPLIANCES</t>
        </is>
      </c>
      <c r="C1211" s="16" t="n">
        <v>13</v>
      </c>
      <c r="D1211" s="17" t="inlineStr">
        <is>
          <t>HOME APPLIANCES</t>
        </is>
      </c>
      <c r="E1211" s="17" t="inlineStr">
        <is>
          <t>HIGH</t>
        </is>
      </c>
      <c r="F1211" s="17" t="inlineStr">
        <is>
          <t>TRUNG BÌNH</t>
        </is>
      </c>
      <c r="G1211" s="18" t="inlineStr">
        <is>
          <t>RISK_HIGH · PROMO_EXTRAPOLATION</t>
        </is>
      </c>
      <c r="H1211" s="19" t="n">
        <v>0.608554494380951</v>
      </c>
      <c r="I1211" s="19" t="n">
        <v>7.322935596108437</v>
      </c>
      <c r="J1211" s="19" t="n">
        <v>77.70785957872867</v>
      </c>
      <c r="K1211" s="19" t="n">
        <v>7.322935596108437</v>
      </c>
      <c r="L1211" s="19" t="n">
        <v>51.31351308524608</v>
      </c>
      <c r="M1211" s="19" t="n">
        <v>77.70785957872867</v>
      </c>
      <c r="N1211" s="17" t="inlineStr">
        <is>
          <t>B</t>
        </is>
      </c>
      <c r="O1211" s="19" t="n">
        <v>45.45516460835933</v>
      </c>
      <c r="P1211" s="18" t="inlineStr">
        <is>
          <t>KHÔNG ĐỀ XUẤT TĂNG</t>
        </is>
      </c>
      <c r="Q1211" s="17" t="inlineStr">
        <is>
          <t>Có</t>
        </is>
      </c>
      <c r="R1211" s="20" t="n"/>
      <c r="S1211" s="20" t="n"/>
      <c r="T1211" s="21" t="n"/>
      <c r="U1211" s="21" t="n"/>
      <c r="V1211" s="22">
        <f>IF(U1211="A",K1211,IF(U1211="B",L1211,IF(U1211="C",M1211,IF(N1211="A",K1211,IF(N1211="B",L1211,M1211)))))</f>
        <v/>
      </c>
      <c r="W1211" s="22">
        <f>IF(R1211="",O1211,MAX(V1211-R1211-N(S1211),0))</f>
        <v/>
      </c>
      <c r="X1211" s="20" t="n"/>
      <c r="Y1211" s="23">
        <f>IF(OR(X1211="",W1211=0),"",X1211/W1211-1)</f>
        <v/>
      </c>
      <c r="Z1211" s="24" t="n"/>
      <c r="AA1211" s="21" t="n"/>
      <c r="AB1211" s="25" t="n"/>
      <c r="AC1211" s="26">
        <f>IF(T1211="","Chưa quyết định",IF(OR(Z1211="",AA1211=""),"⚠ Thiếu lý do/người duyệt",IF(AND(X1211&lt;&gt;"",N(X1211)+N(R1211)+N(S1211)&gt;M1211*1.001,R1211&lt;&gt;""),"⚠ Vượt mục tiêu P90",IF(AND(Y1211&lt;&gt;"",ABS(N(Y1211))&gt;0.3),"⚠ Lệch &gt; 30% so với nhu cầu",IF(Q1211="Có","ℹ Kiểm tra ngoại suy KM","✓ Hợp lệ")))))</f>
        <v/>
      </c>
    </row>
    <row r="1212">
      <c r="A1212" s="16" t="n">
        <v>1208</v>
      </c>
      <c r="B1212" s="17" t="inlineStr">
        <is>
          <t>DEC-S12-HOME_APPLIANCES</t>
        </is>
      </c>
      <c r="C1212" s="16" t="n">
        <v>12</v>
      </c>
      <c r="D1212" s="17" t="inlineStr">
        <is>
          <t>HOME APPLIANCES</t>
        </is>
      </c>
      <c r="E1212" s="17" t="inlineStr">
        <is>
          <t>HIGH</t>
        </is>
      </c>
      <c r="F1212" s="17" t="inlineStr">
        <is>
          <t>TRUNG BÌNH</t>
        </is>
      </c>
      <c r="G1212" s="18" t="inlineStr">
        <is>
          <t>RISK_HIGH · PROMO_EXTRAPOLATION</t>
        </is>
      </c>
      <c r="H1212" s="19" t="n">
        <v>1.554735392332077</v>
      </c>
      <c r="I1212" s="19" t="n">
        <v>7.203959256410599</v>
      </c>
      <c r="J1212" s="19" t="n">
        <v>75.45979755520821</v>
      </c>
      <c r="K1212" s="19" t="n">
        <v>7.203959256410599</v>
      </c>
      <c r="L1212" s="19" t="n">
        <v>49.8638581931591</v>
      </c>
      <c r="M1212" s="19" t="n">
        <v>75.45979755520821</v>
      </c>
      <c r="N1212" s="17" t="inlineStr">
        <is>
          <t>B</t>
        </is>
      </c>
      <c r="O1212" s="19" t="n">
        <v>44.10069078803063</v>
      </c>
      <c r="P1212" s="18" t="inlineStr">
        <is>
          <t>KHÔNG ĐỀ XUẤT TĂNG</t>
        </is>
      </c>
      <c r="Q1212" s="17" t="inlineStr">
        <is>
          <t>Có</t>
        </is>
      </c>
      <c r="R1212" s="20" t="n"/>
      <c r="S1212" s="20" t="n"/>
      <c r="T1212" s="21" t="n"/>
      <c r="U1212" s="21" t="n"/>
      <c r="V1212" s="22">
        <f>IF(U1212="A",K1212,IF(U1212="B",L1212,IF(U1212="C",M1212,IF(N1212="A",K1212,IF(N1212="B",L1212,M1212)))))</f>
        <v/>
      </c>
      <c r="W1212" s="22">
        <f>IF(R1212="",O1212,MAX(V1212-R1212-N(S1212),0))</f>
        <v/>
      </c>
      <c r="X1212" s="20" t="n"/>
      <c r="Y1212" s="23">
        <f>IF(OR(X1212="",W1212=0),"",X1212/W1212-1)</f>
        <v/>
      </c>
      <c r="Z1212" s="24" t="n"/>
      <c r="AA1212" s="21" t="n"/>
      <c r="AB1212" s="25" t="n"/>
      <c r="AC1212" s="26">
        <f>IF(T1212="","Chưa quyết định",IF(OR(Z1212="",AA1212=""),"⚠ Thiếu lý do/người duyệt",IF(AND(X1212&lt;&gt;"",N(X1212)+N(R1212)+N(S1212)&gt;M1212*1.001,R1212&lt;&gt;""),"⚠ Vượt mục tiêu P90",IF(AND(Y1212&lt;&gt;"",ABS(N(Y1212))&gt;0.3),"⚠ Lệch &gt; 30% so với nhu cầu",IF(Q1212="Có","ℹ Kiểm tra ngoại suy KM","✓ Hợp lệ")))))</f>
        <v/>
      </c>
    </row>
    <row r="1213">
      <c r="A1213" s="16" t="n">
        <v>1209</v>
      </c>
      <c r="B1213" s="17" t="inlineStr">
        <is>
          <t>DEC-S19-LAWN_AND_GARDEN</t>
        </is>
      </c>
      <c r="C1213" s="16" t="n">
        <v>19</v>
      </c>
      <c r="D1213" s="17" t="inlineStr">
        <is>
          <t>LAWN AND GARDEN</t>
        </is>
      </c>
      <c r="E1213" s="17" t="inlineStr">
        <is>
          <t>HIGH</t>
        </is>
      </c>
      <c r="F1213" s="17" t="inlineStr">
        <is>
          <t>TRUNG BÌNH</t>
        </is>
      </c>
      <c r="G1213" s="18" t="inlineStr">
        <is>
          <t>RISK_HIGH · PROMO_EXTRAPOLATION</t>
        </is>
      </c>
      <c r="H1213" s="19" t="n">
        <v>1.37919762134552</v>
      </c>
      <c r="I1213" s="19" t="n">
        <v>6.808079600334168</v>
      </c>
      <c r="J1213" s="19" t="n">
        <v>75.06391789913178</v>
      </c>
      <c r="K1213" s="19" t="n">
        <v>6.808079600334168</v>
      </c>
      <c r="L1213" s="19" t="n">
        <v>49.46797853708267</v>
      </c>
      <c r="M1213" s="19" t="n">
        <v>75.06391789913178</v>
      </c>
      <c r="N1213" s="17" t="inlineStr">
        <is>
          <t>B</t>
        </is>
      </c>
      <c r="O1213" s="19" t="n">
        <v>44.02151485681534</v>
      </c>
      <c r="P1213" s="18" t="inlineStr">
        <is>
          <t>KHÔNG ĐỀ XUẤT TĂNG</t>
        </is>
      </c>
      <c r="Q1213" s="17" t="inlineStr">
        <is>
          <t>Có</t>
        </is>
      </c>
      <c r="R1213" s="20" t="n"/>
      <c r="S1213" s="20" t="n"/>
      <c r="T1213" s="21" t="n"/>
      <c r="U1213" s="21" t="n"/>
      <c r="V1213" s="22">
        <f>IF(U1213="A",K1213,IF(U1213="B",L1213,IF(U1213="C",M1213,IF(N1213="A",K1213,IF(N1213="B",L1213,M1213)))))</f>
        <v/>
      </c>
      <c r="W1213" s="22">
        <f>IF(R1213="",O1213,MAX(V1213-R1213-N(S1213),0))</f>
        <v/>
      </c>
      <c r="X1213" s="20" t="n"/>
      <c r="Y1213" s="23">
        <f>IF(OR(X1213="",W1213=0),"",X1213/W1213-1)</f>
        <v/>
      </c>
      <c r="Z1213" s="24" t="n"/>
      <c r="AA1213" s="21" t="n"/>
      <c r="AB1213" s="25" t="n"/>
      <c r="AC1213" s="26">
        <f>IF(T1213="","Chưa quyết định",IF(OR(Z1213="",AA1213=""),"⚠ Thiếu lý do/người duyệt",IF(AND(X1213&lt;&gt;"",N(X1213)+N(R1213)+N(S1213)&gt;M1213*1.001,R1213&lt;&gt;""),"⚠ Vượt mục tiêu P90",IF(AND(Y1213&lt;&gt;"",ABS(N(Y1213))&gt;0.3),"⚠ Lệch &gt; 30% so với nhu cầu",IF(Q1213="Có","ℹ Kiểm tra ngoại suy KM","✓ Hợp lệ")))))</f>
        <v/>
      </c>
    </row>
    <row r="1214">
      <c r="A1214" s="16" t="n">
        <v>1210</v>
      </c>
      <c r="B1214" s="17" t="inlineStr">
        <is>
          <t>DEC-S13-HARDWARE</t>
        </is>
      </c>
      <c r="C1214" s="16" t="n">
        <v>13</v>
      </c>
      <c r="D1214" s="17" t="inlineStr">
        <is>
          <t>HARDWARE</t>
        </is>
      </c>
      <c r="E1214" s="17" t="inlineStr">
        <is>
          <t>HIGH</t>
        </is>
      </c>
      <c r="F1214" s="17" t="inlineStr">
        <is>
          <t>TRUNG BÌNH</t>
        </is>
      </c>
      <c r="G1214" s="18" t="inlineStr">
        <is>
          <t>RISK_HIGH · PROMO_EXTRAPOLATION</t>
        </is>
      </c>
      <c r="H1214" s="19" t="n">
        <v>0.892303216457367</v>
      </c>
      <c r="I1214" s="19" t="n">
        <v>6.660019069910049</v>
      </c>
      <c r="J1214" s="19" t="n">
        <v>74.91585736870766</v>
      </c>
      <c r="K1214" s="19" t="n">
        <v>6.660019069910049</v>
      </c>
      <c r="L1214" s="19" t="n">
        <v>49.31991800665855</v>
      </c>
      <c r="M1214" s="19" t="n">
        <v>74.91585736870766</v>
      </c>
      <c r="N1214" s="17" t="inlineStr">
        <is>
          <t>B</t>
        </is>
      </c>
      <c r="O1214" s="19" t="n">
        <v>43.99190275073052</v>
      </c>
      <c r="P1214" s="18" t="inlineStr">
        <is>
          <t>KHÔNG ĐỀ XUẤT TĂNG</t>
        </is>
      </c>
      <c r="Q1214" s="17" t="inlineStr">
        <is>
          <t>Có</t>
        </is>
      </c>
      <c r="R1214" s="20" t="n"/>
      <c r="S1214" s="20" t="n"/>
      <c r="T1214" s="21" t="n"/>
      <c r="U1214" s="21" t="n"/>
      <c r="V1214" s="22">
        <f>IF(U1214="A",K1214,IF(U1214="B",L1214,IF(U1214="C",M1214,IF(N1214="A",K1214,IF(N1214="B",L1214,M1214)))))</f>
        <v/>
      </c>
      <c r="W1214" s="22">
        <f>IF(R1214="",O1214,MAX(V1214-R1214-N(S1214),0))</f>
        <v/>
      </c>
      <c r="X1214" s="20" t="n"/>
      <c r="Y1214" s="23">
        <f>IF(OR(X1214="",W1214=0),"",X1214/W1214-1)</f>
        <v/>
      </c>
      <c r="Z1214" s="24" t="n"/>
      <c r="AA1214" s="21" t="n"/>
      <c r="AB1214" s="25" t="n"/>
      <c r="AC1214" s="26">
        <f>IF(T1214="","Chưa quyết định",IF(OR(Z1214="",AA1214=""),"⚠ Thiếu lý do/người duyệt",IF(AND(X1214&lt;&gt;"",N(X1214)+N(R1214)+N(S1214)&gt;M1214*1.001,R1214&lt;&gt;""),"⚠ Vượt mục tiêu P90",IF(AND(Y1214&lt;&gt;"",ABS(N(Y1214))&gt;0.3),"⚠ Lệch &gt; 30% so với nhu cầu",IF(Q1214="Có","ℹ Kiểm tra ngoại suy KM","✓ Hợp lệ")))))</f>
        <v/>
      </c>
    </row>
    <row r="1215">
      <c r="A1215" s="16" t="n">
        <v>1211</v>
      </c>
      <c r="B1215" s="17" t="inlineStr">
        <is>
          <t>DEC-S13-BABY_CARE</t>
        </is>
      </c>
      <c r="C1215" s="16" t="n">
        <v>13</v>
      </c>
      <c r="D1215" s="17" t="inlineStr">
        <is>
          <t>BABY CARE</t>
        </is>
      </c>
      <c r="E1215" s="17" t="inlineStr">
        <is>
          <t>HIGH</t>
        </is>
      </c>
      <c r="F1215" s="17" t="inlineStr">
        <is>
          <t>TRUNG BÌNH</t>
        </is>
      </c>
      <c r="G1215" s="18" t="inlineStr">
        <is>
          <t>RISK_HIGH · PROMO_EXTRAPOLATION</t>
        </is>
      </c>
      <c r="H1215" s="19" t="n">
        <v>1.28820193707943</v>
      </c>
      <c r="I1215" s="19" t="n">
        <v>6.633712515234947</v>
      </c>
      <c r="J1215" s="19" t="n">
        <v>74.88955081403256</v>
      </c>
      <c r="K1215" s="19" t="n">
        <v>6.633712515234947</v>
      </c>
      <c r="L1215" s="19" t="n">
        <v>49.29361145198345</v>
      </c>
      <c r="M1215" s="19" t="n">
        <v>74.88955081403256</v>
      </c>
      <c r="N1215" s="17" t="inlineStr">
        <is>
          <t>B</t>
        </is>
      </c>
      <c r="O1215" s="19" t="n">
        <v>43.98664143979549</v>
      </c>
      <c r="P1215" s="18" t="inlineStr">
        <is>
          <t>KHÔNG ĐỀ XUẤT TĂNG</t>
        </is>
      </c>
      <c r="Q1215" s="17" t="inlineStr">
        <is>
          <t>Có</t>
        </is>
      </c>
      <c r="R1215" s="20" t="n"/>
      <c r="S1215" s="20" t="n"/>
      <c r="T1215" s="21" t="n"/>
      <c r="U1215" s="21" t="n"/>
      <c r="V1215" s="22">
        <f>IF(U1215="A",K1215,IF(U1215="B",L1215,IF(U1215="C",M1215,IF(N1215="A",K1215,IF(N1215="B",L1215,M1215)))))</f>
        <v/>
      </c>
      <c r="W1215" s="22">
        <f>IF(R1215="",O1215,MAX(V1215-R1215-N(S1215),0))</f>
        <v/>
      </c>
      <c r="X1215" s="20" t="n"/>
      <c r="Y1215" s="23">
        <f>IF(OR(X1215="",W1215=0),"",X1215/W1215-1)</f>
        <v/>
      </c>
      <c r="Z1215" s="24" t="n"/>
      <c r="AA1215" s="21" t="n"/>
      <c r="AB1215" s="25" t="n"/>
      <c r="AC1215" s="26">
        <f>IF(T1215="","Chưa quyết định",IF(OR(Z1215="",AA1215=""),"⚠ Thiếu lý do/người duyệt",IF(AND(X1215&lt;&gt;"",N(X1215)+N(R1215)+N(S1215)&gt;M1215*1.001,R1215&lt;&gt;""),"⚠ Vượt mục tiêu P90",IF(AND(Y1215&lt;&gt;"",ABS(N(Y1215))&gt;0.3),"⚠ Lệch &gt; 30% so với nhu cầu",IF(Q1215="Có","ℹ Kiểm tra ngoại suy KM","✓ Hợp lệ")))))</f>
        <v/>
      </c>
    </row>
    <row r="1216">
      <c r="A1216" s="16" t="n">
        <v>1212</v>
      </c>
      <c r="B1216" s="17" t="inlineStr">
        <is>
          <t>DEC-S13-BOOKS</t>
        </is>
      </c>
      <c r="C1216" s="16" t="n">
        <v>13</v>
      </c>
      <c r="D1216" s="17" t="inlineStr">
        <is>
          <t>BOOKS</t>
        </is>
      </c>
      <c r="E1216" s="17" t="inlineStr">
        <is>
          <t>HIGH</t>
        </is>
      </c>
      <c r="F1216" s="17" t="inlineStr">
        <is>
          <t>TRUNG BÌNH</t>
        </is>
      </c>
      <c r="G1216" s="18" t="inlineStr">
        <is>
          <t>RISK_HIGH · PROMO_EXTRAPOLATION</t>
        </is>
      </c>
      <c r="H1216" s="19" t="n">
        <v>1.28820193707943</v>
      </c>
      <c r="I1216" s="19" t="n">
        <v>6.633712515234947</v>
      </c>
      <c r="J1216" s="19" t="n">
        <v>74.88955081403256</v>
      </c>
      <c r="K1216" s="19" t="n">
        <v>6.633712515234947</v>
      </c>
      <c r="L1216" s="19" t="n">
        <v>49.29361145198345</v>
      </c>
      <c r="M1216" s="19" t="n">
        <v>74.88955081403256</v>
      </c>
      <c r="N1216" s="17" t="inlineStr">
        <is>
          <t>B</t>
        </is>
      </c>
      <c r="O1216" s="19" t="n">
        <v>43.98664143979549</v>
      </c>
      <c r="P1216" s="18" t="inlineStr">
        <is>
          <t>KHÔNG ĐỀ XUẤT TĂNG</t>
        </is>
      </c>
      <c r="Q1216" s="17" t="inlineStr">
        <is>
          <t>Có</t>
        </is>
      </c>
      <c r="R1216" s="20" t="n"/>
      <c r="S1216" s="20" t="n"/>
      <c r="T1216" s="21" t="n"/>
      <c r="U1216" s="21" t="n"/>
      <c r="V1216" s="22">
        <f>IF(U1216="A",K1216,IF(U1216="B",L1216,IF(U1216="C",M1216,IF(N1216="A",K1216,IF(N1216="B",L1216,M1216)))))</f>
        <v/>
      </c>
      <c r="W1216" s="22">
        <f>IF(R1216="",O1216,MAX(V1216-R1216-N(S1216),0))</f>
        <v/>
      </c>
      <c r="X1216" s="20" t="n"/>
      <c r="Y1216" s="23">
        <f>IF(OR(X1216="",W1216=0),"",X1216/W1216-1)</f>
        <v/>
      </c>
      <c r="Z1216" s="24" t="n"/>
      <c r="AA1216" s="21" t="n"/>
      <c r="AB1216" s="25" t="n"/>
      <c r="AC1216" s="26">
        <f>IF(T1216="","Chưa quyết định",IF(OR(Z1216="",AA1216=""),"⚠ Thiếu lý do/người duyệt",IF(AND(X1216&lt;&gt;"",N(X1216)+N(R1216)+N(S1216)&gt;M1216*1.001,R1216&lt;&gt;""),"⚠ Vượt mục tiêu P90",IF(AND(Y1216&lt;&gt;"",ABS(N(Y1216))&gt;0.3),"⚠ Lệch &gt; 30% so với nhu cầu",IF(Q1216="Có","ℹ Kiểm tra ngoại suy KM","✓ Hợp lệ")))))</f>
        <v/>
      </c>
    </row>
    <row r="1217">
      <c r="A1217" s="16" t="n">
        <v>1213</v>
      </c>
      <c r="B1217" s="17" t="inlineStr">
        <is>
          <t>DEC-S12-LAWN_AND_GARDEN</t>
        </is>
      </c>
      <c r="C1217" s="16" t="n">
        <v>12</v>
      </c>
      <c r="D1217" s="17" t="inlineStr">
        <is>
          <t>LAWN AND GARDEN</t>
        </is>
      </c>
      <c r="E1217" s="17" t="inlineStr">
        <is>
          <t>HIGH</t>
        </is>
      </c>
      <c r="F1217" s="17" t="inlineStr">
        <is>
          <t>TRUNG BÌNH</t>
        </is>
      </c>
      <c r="G1217" s="18" t="inlineStr">
        <is>
          <t>RISK_HIGH · PROMO_EXTRAPOLATION</t>
        </is>
      </c>
      <c r="H1217" s="19" t="n">
        <v>1.14648666381836</v>
      </c>
      <c r="I1217" s="19" t="n">
        <v>6.575368642807007</v>
      </c>
      <c r="J1217" s="19" t="n">
        <v>74.83120694160462</v>
      </c>
      <c r="K1217" s="19" t="n">
        <v>6.575368642807007</v>
      </c>
      <c r="L1217" s="19" t="n">
        <v>49.23526757955551</v>
      </c>
      <c r="M1217" s="19" t="n">
        <v>74.83120694160462</v>
      </c>
      <c r="N1217" s="17" t="inlineStr">
        <is>
          <t>B</t>
        </is>
      </c>
      <c r="O1217" s="19" t="n">
        <v>43.97497266530991</v>
      </c>
      <c r="P1217" s="18" t="inlineStr">
        <is>
          <t>KHÔNG ĐỀ XUẤT TĂNG</t>
        </is>
      </c>
      <c r="Q1217" s="17" t="inlineStr">
        <is>
          <t>Có</t>
        </is>
      </c>
      <c r="R1217" s="20" t="n"/>
      <c r="S1217" s="20" t="n"/>
      <c r="T1217" s="21" t="n"/>
      <c r="U1217" s="21" t="n"/>
      <c r="V1217" s="22">
        <f>IF(U1217="A",K1217,IF(U1217="B",L1217,IF(U1217="C",M1217,IF(N1217="A",K1217,IF(N1217="B",L1217,M1217)))))</f>
        <v/>
      </c>
      <c r="W1217" s="22">
        <f>IF(R1217="",O1217,MAX(V1217-R1217-N(S1217),0))</f>
        <v/>
      </c>
      <c r="X1217" s="20" t="n"/>
      <c r="Y1217" s="23">
        <f>IF(OR(X1217="",W1217=0),"",X1217/W1217-1)</f>
        <v/>
      </c>
      <c r="Z1217" s="24" t="n"/>
      <c r="AA1217" s="21" t="n"/>
      <c r="AB1217" s="25" t="n"/>
      <c r="AC1217" s="26">
        <f>IF(T1217="","Chưa quyết định",IF(OR(Z1217="",AA1217=""),"⚠ Thiếu lý do/người duyệt",IF(AND(X1217&lt;&gt;"",N(X1217)+N(R1217)+N(S1217)&gt;M1217*1.001,R1217&lt;&gt;""),"⚠ Vượt mục tiêu P90",IF(AND(Y1217&lt;&gt;"",ABS(N(Y1217))&gt;0.3),"⚠ Lệch &gt; 30% so với nhu cầu",IF(Q1217="Có","ℹ Kiểm tra ngoại suy KM","✓ Hợp lệ")))))</f>
        <v/>
      </c>
    </row>
    <row r="1218">
      <c r="A1218" s="16" t="n">
        <v>1214</v>
      </c>
      <c r="B1218" s="17" t="inlineStr">
        <is>
          <t>DEC-S10-BABY_CARE</t>
        </is>
      </c>
      <c r="C1218" s="16" t="n">
        <v>10</v>
      </c>
      <c r="D1218" s="17" t="inlineStr">
        <is>
          <t>BABY CARE</t>
        </is>
      </c>
      <c r="E1218" s="17" t="inlineStr">
        <is>
          <t>HIGH</t>
        </is>
      </c>
      <c r="F1218" s="17" t="inlineStr">
        <is>
          <t>TRUNG BÌNH</t>
        </is>
      </c>
      <c r="G1218" s="18" t="inlineStr">
        <is>
          <t>RISK_HIGH · PROMO_EXTRAPOLATION</t>
        </is>
      </c>
      <c r="H1218" s="19" t="n">
        <v>0.8234040319919587</v>
      </c>
      <c r="I1218" s="19" t="n">
        <v>6.11140801012516</v>
      </c>
      <c r="J1218" s="19" t="n">
        <v>74.36724630892277</v>
      </c>
      <c r="K1218" s="19" t="n">
        <v>6.11140801012516</v>
      </c>
      <c r="L1218" s="19" t="n">
        <v>48.77130694687366</v>
      </c>
      <c r="M1218" s="19" t="n">
        <v>74.36724630892277</v>
      </c>
      <c r="N1218" s="17" t="inlineStr">
        <is>
          <t>B</t>
        </is>
      </c>
      <c r="O1218" s="19" t="n">
        <v>43.88218053877354</v>
      </c>
      <c r="P1218" s="18" t="inlineStr">
        <is>
          <t>KHÔNG ĐỀ XUẤT TĂNG</t>
        </is>
      </c>
      <c r="Q1218" s="17" t="inlineStr">
        <is>
          <t>Có</t>
        </is>
      </c>
      <c r="R1218" s="20" t="n"/>
      <c r="S1218" s="20" t="n"/>
      <c r="T1218" s="21" t="n"/>
      <c r="U1218" s="21" t="n"/>
      <c r="V1218" s="22">
        <f>IF(U1218="A",K1218,IF(U1218="B",L1218,IF(U1218="C",M1218,IF(N1218="A",K1218,IF(N1218="B",L1218,M1218)))))</f>
        <v/>
      </c>
      <c r="W1218" s="22">
        <f>IF(R1218="",O1218,MAX(V1218-R1218-N(S1218),0))</f>
        <v/>
      </c>
      <c r="X1218" s="20" t="n"/>
      <c r="Y1218" s="23">
        <f>IF(OR(X1218="",W1218=0),"",X1218/W1218-1)</f>
        <v/>
      </c>
      <c r="Z1218" s="24" t="n"/>
      <c r="AA1218" s="21" t="n"/>
      <c r="AB1218" s="25" t="n"/>
      <c r="AC1218" s="26">
        <f>IF(T1218="","Chưa quyết định",IF(OR(Z1218="",AA1218=""),"⚠ Thiếu lý do/người duyệt",IF(AND(X1218&lt;&gt;"",N(X1218)+N(R1218)+N(S1218)&gt;M1218*1.001,R1218&lt;&gt;""),"⚠ Vượt mục tiêu P90",IF(AND(Y1218&lt;&gt;"",ABS(N(Y1218))&gt;0.3),"⚠ Lệch &gt; 30% so với nhu cầu",IF(Q1218="Có","ℹ Kiểm tra ngoại suy KM","✓ Hợp lệ")))))</f>
        <v/>
      </c>
    </row>
    <row r="1219">
      <c r="A1219" s="16" t="n">
        <v>1215</v>
      </c>
      <c r="B1219" s="17" t="inlineStr">
        <is>
          <t>DEC-S10-BOOKS</t>
        </is>
      </c>
      <c r="C1219" s="16" t="n">
        <v>10</v>
      </c>
      <c r="D1219" s="17" t="inlineStr">
        <is>
          <t>BOOKS</t>
        </is>
      </c>
      <c r="E1219" s="17" t="inlineStr">
        <is>
          <t>HIGH</t>
        </is>
      </c>
      <c r="F1219" s="17" t="inlineStr">
        <is>
          <t>TRUNG BÌNH</t>
        </is>
      </c>
      <c r="G1219" s="18" t="inlineStr">
        <is>
          <t>RISK_HIGH · PROMO_EXTRAPOLATION</t>
        </is>
      </c>
      <c r="H1219" s="19" t="n">
        <v>0.8234040319919587</v>
      </c>
      <c r="I1219" s="19" t="n">
        <v>6.11140801012516</v>
      </c>
      <c r="J1219" s="19" t="n">
        <v>74.36724630892277</v>
      </c>
      <c r="K1219" s="19" t="n">
        <v>6.11140801012516</v>
      </c>
      <c r="L1219" s="19" t="n">
        <v>48.77130694687366</v>
      </c>
      <c r="M1219" s="19" t="n">
        <v>74.36724630892277</v>
      </c>
      <c r="N1219" s="17" t="inlineStr">
        <is>
          <t>B</t>
        </is>
      </c>
      <c r="O1219" s="19" t="n">
        <v>43.88218053877354</v>
      </c>
      <c r="P1219" s="18" t="inlineStr">
        <is>
          <t>KHÔNG ĐỀ XUẤT TĂNG</t>
        </is>
      </c>
      <c r="Q1219" s="17" t="inlineStr">
        <is>
          <t>Có</t>
        </is>
      </c>
      <c r="R1219" s="20" t="n"/>
      <c r="S1219" s="20" t="n"/>
      <c r="T1219" s="21" t="n"/>
      <c r="U1219" s="21" t="n"/>
      <c r="V1219" s="22">
        <f>IF(U1219="A",K1219,IF(U1219="B",L1219,IF(U1219="C",M1219,IF(N1219="A",K1219,IF(N1219="B",L1219,M1219)))))</f>
        <v/>
      </c>
      <c r="W1219" s="22">
        <f>IF(R1219="",O1219,MAX(V1219-R1219-N(S1219),0))</f>
        <v/>
      </c>
      <c r="X1219" s="20" t="n"/>
      <c r="Y1219" s="23">
        <f>IF(OR(X1219="",W1219=0),"",X1219/W1219-1)</f>
        <v/>
      </c>
      <c r="Z1219" s="24" t="n"/>
      <c r="AA1219" s="21" t="n"/>
      <c r="AB1219" s="25" t="n"/>
      <c r="AC1219" s="26">
        <f>IF(T1219="","Chưa quyết định",IF(OR(Z1219="",AA1219=""),"⚠ Thiếu lý do/người duyệt",IF(AND(X1219&lt;&gt;"",N(X1219)+N(R1219)+N(S1219)&gt;M1219*1.001,R1219&lt;&gt;""),"⚠ Vượt mục tiêu P90",IF(AND(Y1219&lt;&gt;"",ABS(N(Y1219))&gt;0.3),"⚠ Lệch &gt; 30% so với nhu cầu",IF(Q1219="Có","ℹ Kiểm tra ngoại suy KM","✓ Hợp lệ")))))</f>
        <v/>
      </c>
    </row>
    <row r="1220">
      <c r="A1220" s="16" t="n">
        <v>1216</v>
      </c>
      <c r="B1220" s="17" t="inlineStr">
        <is>
          <t>DEC-S13-LAWN_AND_GARDEN</t>
        </is>
      </c>
      <c r="C1220" s="16" t="n">
        <v>13</v>
      </c>
      <c r="D1220" s="17" t="inlineStr">
        <is>
          <t>LAWN AND GARDEN</t>
        </is>
      </c>
      <c r="E1220" s="17" t="inlineStr">
        <is>
          <t>HIGH</t>
        </is>
      </c>
      <c r="F1220" s="17" t="inlineStr">
        <is>
          <t>TRUNG BÌNH</t>
        </is>
      </c>
      <c r="G1220" s="18" t="inlineStr">
        <is>
          <t>RISK_HIGH · PROMO_EXTRAPOLATION</t>
        </is>
      </c>
      <c r="H1220" s="19" t="n">
        <v>0.7710854887962342</v>
      </c>
      <c r="I1220" s="19" t="n">
        <v>5.785942822694778</v>
      </c>
      <c r="J1220" s="19" t="n">
        <v>74.04178112149239</v>
      </c>
      <c r="K1220" s="19" t="n">
        <v>5.785942822694778</v>
      </c>
      <c r="L1220" s="19" t="n">
        <v>48.44584175944328</v>
      </c>
      <c r="M1220" s="19" t="n">
        <v>74.04178112149239</v>
      </c>
      <c r="N1220" s="17" t="inlineStr">
        <is>
          <t>B</t>
        </is>
      </c>
      <c r="O1220" s="19" t="n">
        <v>43.81708750128746</v>
      </c>
      <c r="P1220" s="18" t="inlineStr">
        <is>
          <t>KHÔNG ĐỀ XUẤT TĂNG</t>
        </is>
      </c>
      <c r="Q1220" s="17" t="inlineStr">
        <is>
          <t>Có</t>
        </is>
      </c>
      <c r="R1220" s="20" t="n"/>
      <c r="S1220" s="20" t="n"/>
      <c r="T1220" s="21" t="n"/>
      <c r="U1220" s="21" t="n"/>
      <c r="V1220" s="22">
        <f>IF(U1220="A",K1220,IF(U1220="B",L1220,IF(U1220="C",M1220,IF(N1220="A",K1220,IF(N1220="B",L1220,M1220)))))</f>
        <v/>
      </c>
      <c r="W1220" s="22">
        <f>IF(R1220="",O1220,MAX(V1220-R1220-N(S1220),0))</f>
        <v/>
      </c>
      <c r="X1220" s="20" t="n"/>
      <c r="Y1220" s="23">
        <f>IF(OR(X1220="",W1220=0),"",X1220/W1220-1)</f>
        <v/>
      </c>
      <c r="Z1220" s="24" t="n"/>
      <c r="AA1220" s="21" t="n"/>
      <c r="AB1220" s="25" t="n"/>
      <c r="AC1220" s="26">
        <f>IF(T1220="","Chưa quyết định",IF(OR(Z1220="",AA1220=""),"⚠ Thiếu lý do/người duyệt",IF(AND(X1220&lt;&gt;"",N(X1220)+N(R1220)+N(S1220)&gt;M1220*1.001,R1220&lt;&gt;""),"⚠ Vượt mục tiêu P90",IF(AND(Y1220&lt;&gt;"",ABS(N(Y1220))&gt;0.3),"⚠ Lệch &gt; 30% so với nhu cầu",IF(Q1220="Có","ℹ Kiểm tra ngoại suy KM","✓ Hợp lệ")))))</f>
        <v/>
      </c>
    </row>
    <row r="1221">
      <c r="A1221" s="16" t="n">
        <v>1217</v>
      </c>
      <c r="B1221" s="17" t="inlineStr">
        <is>
          <t>DEC-S10-HARDWARE</t>
        </is>
      </c>
      <c r="C1221" s="16" t="n">
        <v>10</v>
      </c>
      <c r="D1221" s="17" t="inlineStr">
        <is>
          <t>HARDWARE</t>
        </is>
      </c>
      <c r="E1221" s="17" t="inlineStr">
        <is>
          <t>HIGH</t>
        </is>
      </c>
      <c r="F1221" s="17" t="inlineStr">
        <is>
          <t>TRUNG BÌNH</t>
        </is>
      </c>
      <c r="G1221" s="18" t="inlineStr">
        <is>
          <t>RISK_HIGH · PROMO_EXTRAPOLATION</t>
        </is>
      </c>
      <c r="H1221" s="19" t="n">
        <v>0.7807756543159485</v>
      </c>
      <c r="I1221" s="19" t="n">
        <v>5.741122730076313</v>
      </c>
      <c r="J1221" s="19" t="n">
        <v>73.99696102887393</v>
      </c>
      <c r="K1221" s="19" t="n">
        <v>5.741122730076313</v>
      </c>
      <c r="L1221" s="19" t="n">
        <v>48.40102166682482</v>
      </c>
      <c r="M1221" s="19" t="n">
        <v>73.99696102887393</v>
      </c>
      <c r="N1221" s="17" t="inlineStr">
        <is>
          <t>B</t>
        </is>
      </c>
      <c r="O1221" s="19" t="n">
        <v>43.80812348276377</v>
      </c>
      <c r="P1221" s="18" t="inlineStr">
        <is>
          <t>KHÔNG ĐỀ XUẤT TĂNG</t>
        </is>
      </c>
      <c r="Q1221" s="17" t="inlineStr">
        <is>
          <t>Có</t>
        </is>
      </c>
      <c r="R1221" s="20" t="n"/>
      <c r="S1221" s="20" t="n"/>
      <c r="T1221" s="21" t="n"/>
      <c r="U1221" s="21" t="n"/>
      <c r="V1221" s="22">
        <f>IF(U1221="A",K1221,IF(U1221="B",L1221,IF(U1221="C",M1221,IF(N1221="A",K1221,IF(N1221="B",L1221,M1221)))))</f>
        <v/>
      </c>
      <c r="W1221" s="22">
        <f>IF(R1221="",O1221,MAX(V1221-R1221-N(S1221),0))</f>
        <v/>
      </c>
      <c r="X1221" s="20" t="n"/>
      <c r="Y1221" s="23">
        <f>IF(OR(X1221="",W1221=0),"",X1221/W1221-1)</f>
        <v/>
      </c>
      <c r="Z1221" s="24" t="n"/>
      <c r="AA1221" s="21" t="n"/>
      <c r="AB1221" s="25" t="n"/>
      <c r="AC1221" s="26">
        <f>IF(T1221="","Chưa quyết định",IF(OR(Z1221="",AA1221=""),"⚠ Thiếu lý do/người duyệt",IF(AND(X1221&lt;&gt;"",N(X1221)+N(R1221)+N(S1221)&gt;M1221*1.001,R1221&lt;&gt;""),"⚠ Vượt mục tiêu P90",IF(AND(Y1221&lt;&gt;"",ABS(N(Y1221))&gt;0.3),"⚠ Lệch &gt; 30% so với nhu cầu",IF(Q1221="Có","ℹ Kiểm tra ngoại suy KM","✓ Hợp lệ")))))</f>
        <v/>
      </c>
    </row>
    <row r="1222">
      <c r="A1222" s="16" t="n">
        <v>1218</v>
      </c>
      <c r="B1222" s="17" t="inlineStr">
        <is>
          <t>DEC-S10-LAWN_AND_GARDEN</t>
        </is>
      </c>
      <c r="C1222" s="16" t="n">
        <v>10</v>
      </c>
      <c r="D1222" s="17" t="inlineStr">
        <is>
          <t>LAWN AND GARDEN</t>
        </is>
      </c>
      <c r="E1222" s="17" t="inlineStr">
        <is>
          <t>HIGH</t>
        </is>
      </c>
      <c r="F1222" s="17" t="inlineStr">
        <is>
          <t>TRUNG BÌNH</t>
        </is>
      </c>
      <c r="G1222" s="18" t="inlineStr">
        <is>
          <t>RISK_HIGH · PROMO_EXTRAPOLATION</t>
        </is>
      </c>
      <c r="H1222" s="19" t="n">
        <v>0.3337058305740357</v>
      </c>
      <c r="I1222" s="19" t="n">
        <v>5.263638086616993</v>
      </c>
      <c r="J1222" s="19" t="n">
        <v>73.51947638541461</v>
      </c>
      <c r="K1222" s="19" t="n">
        <v>5.263638086616993</v>
      </c>
      <c r="L1222" s="19" t="n">
        <v>47.9235370233655</v>
      </c>
      <c r="M1222" s="19" t="n">
        <v>73.51947638541461</v>
      </c>
      <c r="N1222" s="17" t="inlineStr">
        <is>
          <t>B</t>
        </is>
      </c>
      <c r="O1222" s="19" t="n">
        <v>43.7126265540719</v>
      </c>
      <c r="P1222" s="18" t="inlineStr">
        <is>
          <t>KHÔNG ĐỀ XUẤT TĂNG</t>
        </is>
      </c>
      <c r="Q1222" s="17" t="inlineStr">
        <is>
          <t>Có</t>
        </is>
      </c>
      <c r="R1222" s="20" t="n"/>
      <c r="S1222" s="20" t="n"/>
      <c r="T1222" s="21" t="n"/>
      <c r="U1222" s="21" t="n"/>
      <c r="V1222" s="22">
        <f>IF(U1222="A",K1222,IF(U1222="B",L1222,IF(U1222="C",M1222,IF(N1222="A",K1222,IF(N1222="B",L1222,M1222)))))</f>
        <v/>
      </c>
      <c r="W1222" s="22">
        <f>IF(R1222="",O1222,MAX(V1222-R1222-N(S1222),0))</f>
        <v/>
      </c>
      <c r="X1222" s="20" t="n"/>
      <c r="Y1222" s="23">
        <f>IF(OR(X1222="",W1222=0),"",X1222/W1222-1)</f>
        <v/>
      </c>
      <c r="Z1222" s="24" t="n"/>
      <c r="AA1222" s="21" t="n"/>
      <c r="AB1222" s="25" t="n"/>
      <c r="AC1222" s="26">
        <f>IF(T1222="","Chưa quyết định",IF(OR(Z1222="",AA1222=""),"⚠ Thiếu lý do/người duyệt",IF(AND(X1222&lt;&gt;"",N(X1222)+N(R1222)+N(S1222)&gt;M1222*1.001,R1222&lt;&gt;""),"⚠ Vượt mục tiêu P90",IF(AND(Y1222&lt;&gt;"",ABS(N(Y1222))&gt;0.3),"⚠ Lệch &gt; 30% so với nhu cầu",IF(Q1222="Có","ℹ Kiểm tra ngoại suy KM","✓ Hợp lệ")))))</f>
        <v/>
      </c>
    </row>
    <row r="1223">
      <c r="A1223" s="16" t="n">
        <v>1219</v>
      </c>
      <c r="B1223" s="17" t="inlineStr">
        <is>
          <t>DEC-S08-SCHOOL_AND_OFFICE_SUPPLIES</t>
        </is>
      </c>
      <c r="C1223" s="16" t="n">
        <v>8</v>
      </c>
      <c r="D1223" s="17" t="inlineStr">
        <is>
          <t>SCHOOL AND OFFICE SUPPLIES</t>
        </is>
      </c>
      <c r="E1223" s="17" t="inlineStr">
        <is>
          <t>HIGH</t>
        </is>
      </c>
      <c r="F1223" s="17" t="inlineStr">
        <is>
          <t>TRUNG BÌNH</t>
        </is>
      </c>
      <c r="G1223" s="18" t="inlineStr">
        <is>
          <t>RISK_HIGH · PROMO_EXTRAPOLATION</t>
        </is>
      </c>
      <c r="H1223" s="19" t="n">
        <v>0.1112101078033447</v>
      </c>
      <c r="I1223" s="19" t="n">
        <v>5.028520584106445</v>
      </c>
      <c r="J1223" s="19" t="n">
        <v>73.28435888290406</v>
      </c>
      <c r="K1223" s="19" t="n">
        <v>5.028520584106445</v>
      </c>
      <c r="L1223" s="19" t="n">
        <v>47.68841952085495</v>
      </c>
      <c r="M1223" s="19" t="n">
        <v>73.28435888290406</v>
      </c>
      <c r="N1223" s="17" t="inlineStr">
        <is>
          <t>B</t>
        </is>
      </c>
      <c r="O1223" s="19" t="n">
        <v>43.6656030535698</v>
      </c>
      <c r="P1223" s="18" t="inlineStr">
        <is>
          <t>KHÔNG ĐỀ XUẤT TĂNG</t>
        </is>
      </c>
      <c r="Q1223" s="17" t="inlineStr">
        <is>
          <t>Có</t>
        </is>
      </c>
      <c r="R1223" s="20" t="n"/>
      <c r="S1223" s="20" t="n"/>
      <c r="T1223" s="21" t="n"/>
      <c r="U1223" s="21" t="n"/>
      <c r="V1223" s="22">
        <f>IF(U1223="A",K1223,IF(U1223="B",L1223,IF(U1223="C",M1223,IF(N1223="A",K1223,IF(N1223="B",L1223,M1223)))))</f>
        <v/>
      </c>
      <c r="W1223" s="22">
        <f>IF(R1223="",O1223,MAX(V1223-R1223-N(S1223),0))</f>
        <v/>
      </c>
      <c r="X1223" s="20" t="n"/>
      <c r="Y1223" s="23">
        <f>IF(OR(X1223="",W1223=0),"",X1223/W1223-1)</f>
        <v/>
      </c>
      <c r="Z1223" s="24" t="n"/>
      <c r="AA1223" s="21" t="n"/>
      <c r="AB1223" s="25" t="n"/>
      <c r="AC1223" s="26">
        <f>IF(T1223="","Chưa quyết định",IF(OR(Z1223="",AA1223=""),"⚠ Thiếu lý do/người duyệt",IF(AND(X1223&lt;&gt;"",N(X1223)+N(R1223)+N(S1223)&gt;M1223*1.001,R1223&lt;&gt;""),"⚠ Vượt mục tiêu P90",IF(AND(Y1223&lt;&gt;"",ABS(N(Y1223))&gt;0.3),"⚠ Lệch &gt; 30% so với nhu cầu",IF(Q1223="Có","ℹ Kiểm tra ngoại suy KM","✓ Hợp lệ")))))</f>
        <v/>
      </c>
    </row>
    <row r="1224">
      <c r="A1224" s="16" t="n">
        <v>1220</v>
      </c>
      <c r="B1224" s="17" t="inlineStr">
        <is>
          <t>DEC-S51-SCHOOL_AND_OFFICE_SUPPLIES</t>
        </is>
      </c>
      <c r="C1224" s="16" t="n">
        <v>51</v>
      </c>
      <c r="D1224" s="17" t="inlineStr">
        <is>
          <t>SCHOOL AND OFFICE SUPPLIES</t>
        </is>
      </c>
      <c r="E1224" s="17" t="inlineStr">
        <is>
          <t>HIGH</t>
        </is>
      </c>
      <c r="F1224" s="17" t="inlineStr">
        <is>
          <t>TRUNG BÌNH</t>
        </is>
      </c>
      <c r="G1224" s="18" t="inlineStr">
        <is>
          <t>RISK_HIGH · PROMO_EXTRAPOLATION</t>
        </is>
      </c>
      <c r="H1224" s="19" t="n">
        <v>0.356865644454956</v>
      </c>
      <c r="I1224" s="19" t="n">
        <v>4.950204730033875</v>
      </c>
      <c r="J1224" s="19" t="n">
        <v>73.20604302883149</v>
      </c>
      <c r="K1224" s="19" t="n">
        <v>4.950204730033875</v>
      </c>
      <c r="L1224" s="19" t="n">
        <v>47.61010366678238</v>
      </c>
      <c r="M1224" s="19" t="n">
        <v>73.20604302883149</v>
      </c>
      <c r="N1224" s="17" t="inlineStr">
        <is>
          <t>B</t>
        </is>
      </c>
      <c r="O1224" s="19" t="n">
        <v>43.64993988275528</v>
      </c>
      <c r="P1224" s="18" t="inlineStr">
        <is>
          <t>KHÔNG ĐỀ XUẤT TĂNG</t>
        </is>
      </c>
      <c r="Q1224" s="17" t="inlineStr">
        <is>
          <t>Có</t>
        </is>
      </c>
      <c r="R1224" s="20" t="n"/>
      <c r="S1224" s="20" t="n"/>
      <c r="T1224" s="21" t="n"/>
      <c r="U1224" s="21" t="n"/>
      <c r="V1224" s="22">
        <f>IF(U1224="A",K1224,IF(U1224="B",L1224,IF(U1224="C",M1224,IF(N1224="A",K1224,IF(N1224="B",L1224,M1224)))))</f>
        <v/>
      </c>
      <c r="W1224" s="22">
        <f>IF(R1224="",O1224,MAX(V1224-R1224-N(S1224),0))</f>
        <v/>
      </c>
      <c r="X1224" s="20" t="n"/>
      <c r="Y1224" s="23">
        <f>IF(OR(X1224="",W1224=0),"",X1224/W1224-1)</f>
        <v/>
      </c>
      <c r="Z1224" s="24" t="n"/>
      <c r="AA1224" s="21" t="n"/>
      <c r="AB1224" s="25" t="n"/>
      <c r="AC1224" s="26">
        <f>IF(T1224="","Chưa quyết định",IF(OR(Z1224="",AA1224=""),"⚠ Thiếu lý do/người duyệt",IF(AND(X1224&lt;&gt;"",N(X1224)+N(R1224)+N(S1224)&gt;M1224*1.001,R1224&lt;&gt;""),"⚠ Vượt mục tiêu P90",IF(AND(Y1224&lt;&gt;"",ABS(N(Y1224))&gt;0.3),"⚠ Lệch &gt; 30% so với nhu cầu",IF(Q1224="Có","ℹ Kiểm tra ngoại suy KM","✓ Hợp lệ")))))</f>
        <v/>
      </c>
    </row>
    <row r="1225">
      <c r="A1225" s="16" t="n">
        <v>1221</v>
      </c>
      <c r="B1225" s="17" t="inlineStr">
        <is>
          <t>DEC-S28-SCHOOL_AND_OFFICE_SUPPLIES</t>
        </is>
      </c>
      <c r="C1225" s="16" t="n">
        <v>28</v>
      </c>
      <c r="D1225" s="17" t="inlineStr">
        <is>
          <t>SCHOOL AND OFFICE SUPPLIES</t>
        </is>
      </c>
      <c r="E1225" s="17" t="inlineStr">
        <is>
          <t>HIGH</t>
        </is>
      </c>
      <c r="F1225" s="17" t="inlineStr">
        <is>
          <t>TRUNG BÌNH</t>
        </is>
      </c>
      <c r="G1225" s="18" t="inlineStr">
        <is>
          <t>RISK_HIGH · PROMO_EXTRAPOLATION</t>
        </is>
      </c>
      <c r="H1225" s="19" t="n">
        <v>0</v>
      </c>
      <c r="I1225" s="19" t="n">
        <v>3.540074825286865</v>
      </c>
      <c r="J1225" s="19" t="n">
        <v>71.79591312408448</v>
      </c>
      <c r="K1225" s="19" t="n">
        <v>3.540074825286865</v>
      </c>
      <c r="L1225" s="19" t="n">
        <v>46.19997376203537</v>
      </c>
      <c r="M1225" s="19" t="n">
        <v>71.79591312408448</v>
      </c>
      <c r="N1225" s="17" t="inlineStr">
        <is>
          <t>B</t>
        </is>
      </c>
      <c r="O1225" s="19" t="n">
        <v>43.36791390180588</v>
      </c>
      <c r="P1225" s="18" t="inlineStr">
        <is>
          <t>KHÔNG ĐỀ XUẤT TĂNG</t>
        </is>
      </c>
      <c r="Q1225" s="17" t="inlineStr">
        <is>
          <t>Có</t>
        </is>
      </c>
      <c r="R1225" s="20" t="n"/>
      <c r="S1225" s="20" t="n"/>
      <c r="T1225" s="21" t="n"/>
      <c r="U1225" s="21" t="n"/>
      <c r="V1225" s="22">
        <f>IF(U1225="A",K1225,IF(U1225="B",L1225,IF(U1225="C",M1225,IF(N1225="A",K1225,IF(N1225="B",L1225,M1225)))))</f>
        <v/>
      </c>
      <c r="W1225" s="22">
        <f>IF(R1225="",O1225,MAX(V1225-R1225-N(S1225),0))</f>
        <v/>
      </c>
      <c r="X1225" s="20" t="n"/>
      <c r="Y1225" s="23">
        <f>IF(OR(X1225="",W1225=0),"",X1225/W1225-1)</f>
        <v/>
      </c>
      <c r="Z1225" s="24" t="n"/>
      <c r="AA1225" s="21" t="n"/>
      <c r="AB1225" s="25" t="n"/>
      <c r="AC1225" s="26">
        <f>IF(T1225="","Chưa quyết định",IF(OR(Z1225="",AA1225=""),"⚠ Thiếu lý do/người duyệt",IF(AND(X1225&lt;&gt;"",N(X1225)+N(R1225)+N(S1225)&gt;M1225*1.001,R1225&lt;&gt;""),"⚠ Vượt mục tiêu P90",IF(AND(Y1225&lt;&gt;"",ABS(N(Y1225))&gt;0.3),"⚠ Lệch &gt; 30% so với nhu cầu",IF(Q1225="Có","ℹ Kiểm tra ngoại suy KM","✓ Hợp lệ")))))</f>
        <v/>
      </c>
    </row>
    <row r="1226">
      <c r="A1226" s="16" t="n">
        <v>1222</v>
      </c>
      <c r="B1226" s="17" t="inlineStr">
        <is>
          <t>DEC-S27-SCHOOL_AND_OFFICE_SUPPLIES</t>
        </is>
      </c>
      <c r="C1226" s="16" t="n">
        <v>27</v>
      </c>
      <c r="D1226" s="17" t="inlineStr">
        <is>
          <t>SCHOOL AND OFFICE SUPPLIES</t>
        </is>
      </c>
      <c r="E1226" s="17" t="inlineStr">
        <is>
          <t>HIGH</t>
        </is>
      </c>
      <c r="F1226" s="17" t="inlineStr">
        <is>
          <t>TRUNG BÌNH</t>
        </is>
      </c>
      <c r="G1226" s="18" t="inlineStr">
        <is>
          <t>RISK_HIGH · PROMO_EXTRAPOLATION</t>
        </is>
      </c>
      <c r="H1226" s="19" t="n">
        <v>0.4263224720954895</v>
      </c>
      <c r="I1226" s="19" t="n">
        <v>2.899711072444916</v>
      </c>
      <c r="J1226" s="19" t="n">
        <v>69.02646368741989</v>
      </c>
      <c r="K1226" s="19" t="n">
        <v>2.899711072444916</v>
      </c>
      <c r="L1226" s="19" t="n">
        <v>44.22893145680428</v>
      </c>
      <c r="M1226" s="19" t="n">
        <v>69.02646368741989</v>
      </c>
      <c r="N1226" s="17" t="inlineStr">
        <is>
          <t>B</t>
        </is>
      </c>
      <c r="O1226" s="19" t="n">
        <v>41.90916259884834</v>
      </c>
      <c r="P1226" s="18" t="inlineStr">
        <is>
          <t>KHÔNG ĐỀ XUẤT TĂNG</t>
        </is>
      </c>
      <c r="Q1226" s="17" t="inlineStr">
        <is>
          <t>Có</t>
        </is>
      </c>
      <c r="R1226" s="20" t="n"/>
      <c r="S1226" s="20" t="n"/>
      <c r="T1226" s="21" t="n"/>
      <c r="U1226" s="21" t="n"/>
      <c r="V1226" s="22">
        <f>IF(U1226="A",K1226,IF(U1226="B",L1226,IF(U1226="C",M1226,IF(N1226="A",K1226,IF(N1226="B",L1226,M1226)))))</f>
        <v/>
      </c>
      <c r="W1226" s="22">
        <f>IF(R1226="",O1226,MAX(V1226-R1226-N(S1226),0))</f>
        <v/>
      </c>
      <c r="X1226" s="20" t="n"/>
      <c r="Y1226" s="23">
        <f>IF(OR(X1226="",W1226=0),"",X1226/W1226-1)</f>
        <v/>
      </c>
      <c r="Z1226" s="24" t="n"/>
      <c r="AA1226" s="21" t="n"/>
      <c r="AB1226" s="25" t="n"/>
      <c r="AC1226" s="26">
        <f>IF(T1226="","Chưa quyết định",IF(OR(Z1226="",AA1226=""),"⚠ Thiếu lý do/người duyệt",IF(AND(X1226&lt;&gt;"",N(X1226)+N(R1226)+N(S1226)&gt;M1226*1.001,R1226&lt;&gt;""),"⚠ Vượt mục tiêu P90",IF(AND(Y1226&lt;&gt;"",ABS(N(Y1226))&gt;0.3),"⚠ Lệch &gt; 30% so với nhu cầu",IF(Q1226="Có","ℹ Kiểm tra ngoại suy KM","✓ Hợp lệ")))))</f>
        <v/>
      </c>
    </row>
    <row r="1227">
      <c r="A1227" s="16" t="n">
        <v>1223</v>
      </c>
      <c r="B1227" s="17" t="inlineStr">
        <is>
          <t>DEC-S29-SCHOOL_AND_OFFICE_SUPPLIES</t>
        </is>
      </c>
      <c r="C1227" s="16" t="n">
        <v>29</v>
      </c>
      <c r="D1227" s="17" t="inlineStr">
        <is>
          <t>SCHOOL AND OFFICE SUPPLIES</t>
        </is>
      </c>
      <c r="E1227" s="17" t="inlineStr">
        <is>
          <t>HIGH</t>
        </is>
      </c>
      <c r="F1227" s="17" t="inlineStr">
        <is>
          <t>TRUNG BÌNH</t>
        </is>
      </c>
      <c r="G1227" s="18" t="inlineStr">
        <is>
          <t>RISK_HIGH · PROMO_EXTRAPOLATION</t>
        </is>
      </c>
      <c r="H1227" s="19" t="n">
        <v>0</v>
      </c>
      <c r="I1227" s="19" t="n">
        <v>1.865718029439449</v>
      </c>
      <c r="J1227" s="19" t="n">
        <v>67.99247064441442</v>
      </c>
      <c r="K1227" s="19" t="n">
        <v>1.865718029439449</v>
      </c>
      <c r="L1227" s="19" t="n">
        <v>43.19493841379881</v>
      </c>
      <c r="M1227" s="19" t="n">
        <v>67.99247064441442</v>
      </c>
      <c r="N1227" s="17" t="inlineStr">
        <is>
          <t>B</t>
        </is>
      </c>
      <c r="O1227" s="19" t="n">
        <v>41.70236399024725</v>
      </c>
      <c r="P1227" s="18" t="inlineStr">
        <is>
          <t>KHÔNG ĐỀ XUẤT TĂNG</t>
        </is>
      </c>
      <c r="Q1227" s="17" t="inlineStr">
        <is>
          <t>Có</t>
        </is>
      </c>
      <c r="R1227" s="20" t="n"/>
      <c r="S1227" s="20" t="n"/>
      <c r="T1227" s="21" t="n"/>
      <c r="U1227" s="21" t="n"/>
      <c r="V1227" s="22">
        <f>IF(U1227="A",K1227,IF(U1227="B",L1227,IF(U1227="C",M1227,IF(N1227="A",K1227,IF(N1227="B",L1227,M1227)))))</f>
        <v/>
      </c>
      <c r="W1227" s="22">
        <f>IF(R1227="",O1227,MAX(V1227-R1227-N(S1227),0))</f>
        <v/>
      </c>
      <c r="X1227" s="20" t="n"/>
      <c r="Y1227" s="23">
        <f>IF(OR(X1227="",W1227=0),"",X1227/W1227-1)</f>
        <v/>
      </c>
      <c r="Z1227" s="24" t="n"/>
      <c r="AA1227" s="21" t="n"/>
      <c r="AB1227" s="25" t="n"/>
      <c r="AC1227" s="26">
        <f>IF(T1227="","Chưa quyết định",IF(OR(Z1227="",AA1227=""),"⚠ Thiếu lý do/người duyệt",IF(AND(X1227&lt;&gt;"",N(X1227)+N(R1227)+N(S1227)&gt;M1227*1.001,R1227&lt;&gt;""),"⚠ Vượt mục tiêu P90",IF(AND(Y1227&lt;&gt;"",ABS(N(Y1227))&gt;0.3),"⚠ Lệch &gt; 30% so với nhu cầu",IF(Q1227="Có","ℹ Kiểm tra ngoại suy KM","✓ Hợp lệ")))))</f>
        <v/>
      </c>
    </row>
    <row r="1228">
      <c r="A1228" s="16" t="n">
        <v>1224</v>
      </c>
      <c r="B1228" s="17" t="inlineStr">
        <is>
          <t>DEC-S21-SCHOOL_AND_OFFICE_SUPPLIES</t>
        </is>
      </c>
      <c r="C1228" s="16" t="n">
        <v>21</v>
      </c>
      <c r="D1228" s="17" t="inlineStr">
        <is>
          <t>SCHOOL AND OFFICE SUPPLIES</t>
        </is>
      </c>
      <c r="E1228" s="17" t="inlineStr">
        <is>
          <t>HIGH</t>
        </is>
      </c>
      <c r="F1228" s="17" t="inlineStr">
        <is>
          <t>TRUNG BÌNH</t>
        </is>
      </c>
      <c r="G1228" s="18" t="inlineStr">
        <is>
          <t>RISK_HIGH · PROMO_EXTRAPOLATION</t>
        </is>
      </c>
      <c r="H1228" s="19" t="n">
        <v>0.3164966225624085</v>
      </c>
      <c r="I1228" s="19" t="n">
        <v>0.757180392742157</v>
      </c>
      <c r="J1228" s="19" t="n">
        <v>64.7548473238945</v>
      </c>
      <c r="K1228" s="19" t="n">
        <v>0.757180392742157</v>
      </c>
      <c r="L1228" s="19" t="n">
        <v>40.75572222471236</v>
      </c>
      <c r="M1228" s="19" t="n">
        <v>64.7548473238945</v>
      </c>
      <c r="N1228" s="17" t="inlineStr">
        <is>
          <t>B</t>
        </is>
      </c>
      <c r="O1228" s="19" t="n">
        <v>40.14997791051864</v>
      </c>
      <c r="P1228" s="18" t="inlineStr">
        <is>
          <t>KHÔNG ĐỀ XUẤT TĂNG</t>
        </is>
      </c>
      <c r="Q1228" s="17" t="inlineStr">
        <is>
          <t>Có</t>
        </is>
      </c>
      <c r="R1228" s="20" t="n"/>
      <c r="S1228" s="20" t="n"/>
      <c r="T1228" s="21" t="n"/>
      <c r="U1228" s="21" t="n"/>
      <c r="V1228" s="22">
        <f>IF(U1228="A",K1228,IF(U1228="B",L1228,IF(U1228="C",M1228,IF(N1228="A",K1228,IF(N1228="B",L1228,M1228)))))</f>
        <v/>
      </c>
      <c r="W1228" s="22">
        <f>IF(R1228="",O1228,MAX(V1228-R1228-N(S1228),0))</f>
        <v/>
      </c>
      <c r="X1228" s="20" t="n"/>
      <c r="Y1228" s="23">
        <f>IF(OR(X1228="",W1228=0),"",X1228/W1228-1)</f>
        <v/>
      </c>
      <c r="Z1228" s="24" t="n"/>
      <c r="AA1228" s="21" t="n"/>
      <c r="AB1228" s="25" t="n"/>
      <c r="AC1228" s="26">
        <f>IF(T1228="","Chưa quyết định",IF(OR(Z1228="",AA1228=""),"⚠ Thiếu lý do/người duyệt",IF(AND(X1228&lt;&gt;"",N(X1228)+N(R1228)+N(S1228)&gt;M1228*1.001,R1228&lt;&gt;""),"⚠ Vượt mục tiêu P90",IF(AND(Y1228&lt;&gt;"",ABS(N(Y1228))&gt;0.3),"⚠ Lệch &gt; 30% so với nhu cầu",IF(Q1228="Có","ℹ Kiểm tra ngoại suy KM","✓ Hợp lệ")))))</f>
        <v/>
      </c>
    </row>
    <row r="1229">
      <c r="A1229" s="16" t="n">
        <v>1225</v>
      </c>
      <c r="B1229" s="17" t="inlineStr">
        <is>
          <t>DEC-S01-SCHOOL_AND_OFFICE_SUPPLIES</t>
        </is>
      </c>
      <c r="C1229" s="16" t="n">
        <v>1</v>
      </c>
      <c r="D1229" s="17" t="inlineStr">
        <is>
          <t>SCHOOL AND OFFICE SUPPLIES</t>
        </is>
      </c>
      <c r="E1229" s="17" t="inlineStr">
        <is>
          <t>HIGH</t>
        </is>
      </c>
      <c r="F1229" s="17" t="inlineStr">
        <is>
          <t>TRUNG BÌNH</t>
        </is>
      </c>
      <c r="G1229" s="18" t="inlineStr">
        <is>
          <t>RISK_HIGH · PROMO_EXTRAPOLATION</t>
        </is>
      </c>
      <c r="H1229" s="19" t="n">
        <v>0</v>
      </c>
      <c r="I1229" s="19" t="n">
        <v>0</v>
      </c>
      <c r="J1229" s="19" t="n">
        <v>63.99766693115235</v>
      </c>
      <c r="K1229" s="19" t="n">
        <v>0</v>
      </c>
      <c r="L1229" s="19" t="n">
        <v>39.99854183197021</v>
      </c>
      <c r="M1229" s="19" t="n">
        <v>63.99766693115235</v>
      </c>
      <c r="N1229" s="17" t="inlineStr">
        <is>
          <t>B</t>
        </is>
      </c>
      <c r="O1229" s="19" t="n">
        <v>39.99854183197021</v>
      </c>
      <c r="P1229" s="18" t="inlineStr">
        <is>
          <t>KHÔNG ĐỀ XUẤT TĂNG</t>
        </is>
      </c>
      <c r="Q1229" s="17" t="inlineStr">
        <is>
          <t>Có</t>
        </is>
      </c>
      <c r="R1229" s="20" t="n"/>
      <c r="S1229" s="20" t="n"/>
      <c r="T1229" s="21" t="n"/>
      <c r="U1229" s="21" t="n"/>
      <c r="V1229" s="22">
        <f>IF(U1229="A",K1229,IF(U1229="B",L1229,IF(U1229="C",M1229,IF(N1229="A",K1229,IF(N1229="B",L1229,M1229)))))</f>
        <v/>
      </c>
      <c r="W1229" s="22">
        <f>IF(R1229="",O1229,MAX(V1229-R1229-N(S1229),0))</f>
        <v/>
      </c>
      <c r="X1229" s="20" t="n"/>
      <c r="Y1229" s="23">
        <f>IF(OR(X1229="",W1229=0),"",X1229/W1229-1)</f>
        <v/>
      </c>
      <c r="Z1229" s="24" t="n"/>
      <c r="AA1229" s="21" t="n"/>
      <c r="AB1229" s="25" t="n"/>
      <c r="AC1229" s="26">
        <f>IF(T1229="","Chưa quyết định",IF(OR(Z1229="",AA1229=""),"⚠ Thiếu lý do/người duyệt",IF(AND(X1229&lt;&gt;"",N(X1229)+N(R1229)+N(S1229)&gt;M1229*1.001,R1229&lt;&gt;""),"⚠ Vượt mục tiêu P90",IF(AND(Y1229&lt;&gt;"",ABS(N(Y1229))&gt;0.3),"⚠ Lệch &gt; 30% so với nhu cầu",IF(Q1229="Có","ℹ Kiểm tra ngoại suy KM","✓ Hợp lệ")))))</f>
        <v/>
      </c>
    </row>
    <row r="1230">
      <c r="A1230" s="16" t="n">
        <v>1226</v>
      </c>
      <c r="B1230" s="17" t="inlineStr">
        <is>
          <t>DEC-S02-SCHOOL_AND_OFFICE_SUPPLIES</t>
        </is>
      </c>
      <c r="C1230" s="16" t="n">
        <v>2</v>
      </c>
      <c r="D1230" s="17" t="inlineStr">
        <is>
          <t>SCHOOL AND OFFICE SUPPLIES</t>
        </is>
      </c>
      <c r="E1230" s="17" t="inlineStr">
        <is>
          <t>HIGH</t>
        </is>
      </c>
      <c r="F1230" s="17" t="inlineStr">
        <is>
          <t>TRUNG BÌNH</t>
        </is>
      </c>
      <c r="G1230" s="18" t="inlineStr">
        <is>
          <t>RISK_HIGH · PROMO_EXTRAPOLATION</t>
        </is>
      </c>
      <c r="H1230" s="19" t="n">
        <v>0</v>
      </c>
      <c r="I1230" s="19" t="n">
        <v>0</v>
      </c>
      <c r="J1230" s="19" t="n">
        <v>63.99766693115235</v>
      </c>
      <c r="K1230" s="19" t="n">
        <v>0</v>
      </c>
      <c r="L1230" s="19" t="n">
        <v>39.99854183197021</v>
      </c>
      <c r="M1230" s="19" t="n">
        <v>63.99766693115235</v>
      </c>
      <c r="N1230" s="17" t="inlineStr">
        <is>
          <t>B</t>
        </is>
      </c>
      <c r="O1230" s="19" t="n">
        <v>39.99854183197021</v>
      </c>
      <c r="P1230" s="18" t="inlineStr">
        <is>
          <t>KHÔNG ĐỀ XUẤT TĂNG</t>
        </is>
      </c>
      <c r="Q1230" s="17" t="inlineStr">
        <is>
          <t>Có</t>
        </is>
      </c>
      <c r="R1230" s="20" t="n"/>
      <c r="S1230" s="20" t="n"/>
      <c r="T1230" s="21" t="n"/>
      <c r="U1230" s="21" t="n"/>
      <c r="V1230" s="22">
        <f>IF(U1230="A",K1230,IF(U1230="B",L1230,IF(U1230="C",M1230,IF(N1230="A",K1230,IF(N1230="B",L1230,M1230)))))</f>
        <v/>
      </c>
      <c r="W1230" s="22">
        <f>IF(R1230="",O1230,MAX(V1230-R1230-N(S1230),0))</f>
        <v/>
      </c>
      <c r="X1230" s="20" t="n"/>
      <c r="Y1230" s="23">
        <f>IF(OR(X1230="",W1230=0),"",X1230/W1230-1)</f>
        <v/>
      </c>
      <c r="Z1230" s="24" t="n"/>
      <c r="AA1230" s="21" t="n"/>
      <c r="AB1230" s="25" t="n"/>
      <c r="AC1230" s="26">
        <f>IF(T1230="","Chưa quyết định",IF(OR(Z1230="",AA1230=""),"⚠ Thiếu lý do/người duyệt",IF(AND(X1230&lt;&gt;"",N(X1230)+N(R1230)+N(S1230)&gt;M1230*1.001,R1230&lt;&gt;""),"⚠ Vượt mục tiêu P90",IF(AND(Y1230&lt;&gt;"",ABS(N(Y1230))&gt;0.3),"⚠ Lệch &gt; 30% so với nhu cầu",IF(Q1230="Có","ℹ Kiểm tra ngoại suy KM","✓ Hợp lệ")))))</f>
        <v/>
      </c>
    </row>
    <row r="1231">
      <c r="A1231" s="16" t="n">
        <v>1227</v>
      </c>
      <c r="B1231" s="17" t="inlineStr">
        <is>
          <t>DEC-S04-SCHOOL_AND_OFFICE_SUPPLIES</t>
        </is>
      </c>
      <c r="C1231" s="16" t="n">
        <v>4</v>
      </c>
      <c r="D1231" s="17" t="inlineStr">
        <is>
          <t>SCHOOL AND OFFICE SUPPLIES</t>
        </is>
      </c>
      <c r="E1231" s="17" t="inlineStr">
        <is>
          <t>HIGH</t>
        </is>
      </c>
      <c r="F1231" s="17" t="inlineStr">
        <is>
          <t>TRUNG BÌNH</t>
        </is>
      </c>
      <c r="G1231" s="18" t="inlineStr">
        <is>
          <t>RISK_HIGH · PROMO_EXTRAPOLATION</t>
        </is>
      </c>
      <c r="H1231" s="19" t="n">
        <v>0</v>
      </c>
      <c r="I1231" s="19" t="n">
        <v>0</v>
      </c>
      <c r="J1231" s="19" t="n">
        <v>63.99766693115235</v>
      </c>
      <c r="K1231" s="19" t="n">
        <v>0</v>
      </c>
      <c r="L1231" s="19" t="n">
        <v>39.99854183197021</v>
      </c>
      <c r="M1231" s="19" t="n">
        <v>63.99766693115235</v>
      </c>
      <c r="N1231" s="17" t="inlineStr">
        <is>
          <t>B</t>
        </is>
      </c>
      <c r="O1231" s="19" t="n">
        <v>39.99854183197021</v>
      </c>
      <c r="P1231" s="18" t="inlineStr">
        <is>
          <t>KHÔNG ĐỀ XUẤT TĂNG</t>
        </is>
      </c>
      <c r="Q1231" s="17" t="inlineStr">
        <is>
          <t>Có</t>
        </is>
      </c>
      <c r="R1231" s="20" t="n"/>
      <c r="S1231" s="20" t="n"/>
      <c r="T1231" s="21" t="n"/>
      <c r="U1231" s="21" t="n"/>
      <c r="V1231" s="22">
        <f>IF(U1231="A",K1231,IF(U1231="B",L1231,IF(U1231="C",M1231,IF(N1231="A",K1231,IF(N1231="B",L1231,M1231)))))</f>
        <v/>
      </c>
      <c r="W1231" s="22">
        <f>IF(R1231="",O1231,MAX(V1231-R1231-N(S1231),0))</f>
        <v/>
      </c>
      <c r="X1231" s="20" t="n"/>
      <c r="Y1231" s="23">
        <f>IF(OR(X1231="",W1231=0),"",X1231/W1231-1)</f>
        <v/>
      </c>
      <c r="Z1231" s="24" t="n"/>
      <c r="AA1231" s="21" t="n"/>
      <c r="AB1231" s="25" t="n"/>
      <c r="AC1231" s="26">
        <f>IF(T1231="","Chưa quyết định",IF(OR(Z1231="",AA1231=""),"⚠ Thiếu lý do/người duyệt",IF(AND(X1231&lt;&gt;"",N(X1231)+N(R1231)+N(S1231)&gt;M1231*1.001,R1231&lt;&gt;""),"⚠ Vượt mục tiêu P90",IF(AND(Y1231&lt;&gt;"",ABS(N(Y1231))&gt;0.3),"⚠ Lệch &gt; 30% so với nhu cầu",IF(Q1231="Có","ℹ Kiểm tra ngoại suy KM","✓ Hợp lệ")))))</f>
        <v/>
      </c>
    </row>
    <row r="1232">
      <c r="A1232" s="16" t="n">
        <v>1228</v>
      </c>
      <c r="B1232" s="17" t="inlineStr">
        <is>
          <t>DEC-S05-SCHOOL_AND_OFFICE_SUPPLIES</t>
        </is>
      </c>
      <c r="C1232" s="16" t="n">
        <v>5</v>
      </c>
      <c r="D1232" s="17" t="inlineStr">
        <is>
          <t>SCHOOL AND OFFICE SUPPLIES</t>
        </is>
      </c>
      <c r="E1232" s="17" t="inlineStr">
        <is>
          <t>HIGH</t>
        </is>
      </c>
      <c r="F1232" s="17" t="inlineStr">
        <is>
          <t>TRUNG BÌNH</t>
        </is>
      </c>
      <c r="G1232" s="18" t="inlineStr">
        <is>
          <t>RISK_HIGH · PROMO_EXTRAPOLATION</t>
        </is>
      </c>
      <c r="H1232" s="19" t="n">
        <v>0</v>
      </c>
      <c r="I1232" s="19" t="n">
        <v>0</v>
      </c>
      <c r="J1232" s="19" t="n">
        <v>63.99766693115235</v>
      </c>
      <c r="K1232" s="19" t="n">
        <v>0</v>
      </c>
      <c r="L1232" s="19" t="n">
        <v>39.99854183197021</v>
      </c>
      <c r="M1232" s="19" t="n">
        <v>63.99766693115235</v>
      </c>
      <c r="N1232" s="17" t="inlineStr">
        <is>
          <t>B</t>
        </is>
      </c>
      <c r="O1232" s="19" t="n">
        <v>39.99854183197021</v>
      </c>
      <c r="P1232" s="18" t="inlineStr">
        <is>
          <t>KHÔNG ĐỀ XUẤT TĂNG</t>
        </is>
      </c>
      <c r="Q1232" s="17" t="inlineStr">
        <is>
          <t>Có</t>
        </is>
      </c>
      <c r="R1232" s="20" t="n"/>
      <c r="S1232" s="20" t="n"/>
      <c r="T1232" s="21" t="n"/>
      <c r="U1232" s="21" t="n"/>
      <c r="V1232" s="22">
        <f>IF(U1232="A",K1232,IF(U1232="B",L1232,IF(U1232="C",M1232,IF(N1232="A",K1232,IF(N1232="B",L1232,M1232)))))</f>
        <v/>
      </c>
      <c r="W1232" s="22">
        <f>IF(R1232="",O1232,MAX(V1232-R1232-N(S1232),0))</f>
        <v/>
      </c>
      <c r="X1232" s="20" t="n"/>
      <c r="Y1232" s="23">
        <f>IF(OR(X1232="",W1232=0),"",X1232/W1232-1)</f>
        <v/>
      </c>
      <c r="Z1232" s="24" t="n"/>
      <c r="AA1232" s="21" t="n"/>
      <c r="AB1232" s="25" t="n"/>
      <c r="AC1232" s="26">
        <f>IF(T1232="","Chưa quyết định",IF(OR(Z1232="",AA1232=""),"⚠ Thiếu lý do/người duyệt",IF(AND(X1232&lt;&gt;"",N(X1232)+N(R1232)+N(S1232)&gt;M1232*1.001,R1232&lt;&gt;""),"⚠ Vượt mục tiêu P90",IF(AND(Y1232&lt;&gt;"",ABS(N(Y1232))&gt;0.3),"⚠ Lệch &gt; 30% so với nhu cầu",IF(Q1232="Có","ℹ Kiểm tra ngoại suy KM","✓ Hợp lệ")))))</f>
        <v/>
      </c>
    </row>
    <row r="1233">
      <c r="A1233" s="16" t="n">
        <v>1229</v>
      </c>
      <c r="B1233" s="17" t="inlineStr">
        <is>
          <t>DEC-S06-SCHOOL_AND_OFFICE_SUPPLIES</t>
        </is>
      </c>
      <c r="C1233" s="16" t="n">
        <v>6</v>
      </c>
      <c r="D1233" s="17" t="inlineStr">
        <is>
          <t>SCHOOL AND OFFICE SUPPLIES</t>
        </is>
      </c>
      <c r="E1233" s="17" t="inlineStr">
        <is>
          <t>HIGH</t>
        </is>
      </c>
      <c r="F1233" s="17" t="inlineStr">
        <is>
          <t>TRUNG BÌNH</t>
        </is>
      </c>
      <c r="G1233" s="18" t="inlineStr">
        <is>
          <t>RISK_HIGH · PROMO_EXTRAPOLATION</t>
        </is>
      </c>
      <c r="H1233" s="19" t="n">
        <v>0</v>
      </c>
      <c r="I1233" s="19" t="n">
        <v>0</v>
      </c>
      <c r="J1233" s="19" t="n">
        <v>63.99766693115235</v>
      </c>
      <c r="K1233" s="19" t="n">
        <v>0</v>
      </c>
      <c r="L1233" s="19" t="n">
        <v>39.99854183197021</v>
      </c>
      <c r="M1233" s="19" t="n">
        <v>63.99766693115235</v>
      </c>
      <c r="N1233" s="17" t="inlineStr">
        <is>
          <t>B</t>
        </is>
      </c>
      <c r="O1233" s="19" t="n">
        <v>39.99854183197021</v>
      </c>
      <c r="P1233" s="18" t="inlineStr">
        <is>
          <t>KHÔNG ĐỀ XUẤT TĂNG</t>
        </is>
      </c>
      <c r="Q1233" s="17" t="inlineStr">
        <is>
          <t>Có</t>
        </is>
      </c>
      <c r="R1233" s="20" t="n"/>
      <c r="S1233" s="20" t="n"/>
      <c r="T1233" s="21" t="n"/>
      <c r="U1233" s="21" t="n"/>
      <c r="V1233" s="22">
        <f>IF(U1233="A",K1233,IF(U1233="B",L1233,IF(U1233="C",M1233,IF(N1233="A",K1233,IF(N1233="B",L1233,M1233)))))</f>
        <v/>
      </c>
      <c r="W1233" s="22">
        <f>IF(R1233="",O1233,MAX(V1233-R1233-N(S1233),0))</f>
        <v/>
      </c>
      <c r="X1233" s="20" t="n"/>
      <c r="Y1233" s="23">
        <f>IF(OR(X1233="",W1233=0),"",X1233/W1233-1)</f>
        <v/>
      </c>
      <c r="Z1233" s="24" t="n"/>
      <c r="AA1233" s="21" t="n"/>
      <c r="AB1233" s="25" t="n"/>
      <c r="AC1233" s="26">
        <f>IF(T1233="","Chưa quyết định",IF(OR(Z1233="",AA1233=""),"⚠ Thiếu lý do/người duyệt",IF(AND(X1233&lt;&gt;"",N(X1233)+N(R1233)+N(S1233)&gt;M1233*1.001,R1233&lt;&gt;""),"⚠ Vượt mục tiêu P90",IF(AND(Y1233&lt;&gt;"",ABS(N(Y1233))&gt;0.3),"⚠ Lệch &gt; 30% so với nhu cầu",IF(Q1233="Có","ℹ Kiểm tra ngoại suy KM","✓ Hợp lệ")))))</f>
        <v/>
      </c>
    </row>
    <row r="1234">
      <c r="A1234" s="16" t="n">
        <v>1230</v>
      </c>
      <c r="B1234" s="17" t="inlineStr">
        <is>
          <t>DEC-S07-SCHOOL_AND_OFFICE_SUPPLIES</t>
        </is>
      </c>
      <c r="C1234" s="16" t="n">
        <v>7</v>
      </c>
      <c r="D1234" s="17" t="inlineStr">
        <is>
          <t>SCHOOL AND OFFICE SUPPLIES</t>
        </is>
      </c>
      <c r="E1234" s="17" t="inlineStr">
        <is>
          <t>HIGH</t>
        </is>
      </c>
      <c r="F1234" s="17" t="inlineStr">
        <is>
          <t>TRUNG BÌNH</t>
        </is>
      </c>
      <c r="G1234" s="18" t="inlineStr">
        <is>
          <t>RISK_HIGH · PROMO_EXTRAPOLATION</t>
        </is>
      </c>
      <c r="H1234" s="19" t="n">
        <v>0</v>
      </c>
      <c r="I1234" s="19" t="n">
        <v>0</v>
      </c>
      <c r="J1234" s="19" t="n">
        <v>63.99766693115235</v>
      </c>
      <c r="K1234" s="19" t="n">
        <v>0</v>
      </c>
      <c r="L1234" s="19" t="n">
        <v>39.99854183197021</v>
      </c>
      <c r="M1234" s="19" t="n">
        <v>63.99766693115235</v>
      </c>
      <c r="N1234" s="17" t="inlineStr">
        <is>
          <t>B</t>
        </is>
      </c>
      <c r="O1234" s="19" t="n">
        <v>39.99854183197021</v>
      </c>
      <c r="P1234" s="18" t="inlineStr">
        <is>
          <t>KHÔNG ĐỀ XUẤT TĂNG</t>
        </is>
      </c>
      <c r="Q1234" s="17" t="inlineStr">
        <is>
          <t>Có</t>
        </is>
      </c>
      <c r="R1234" s="20" t="n"/>
      <c r="S1234" s="20" t="n"/>
      <c r="T1234" s="21" t="n"/>
      <c r="U1234" s="21" t="n"/>
      <c r="V1234" s="22">
        <f>IF(U1234="A",K1234,IF(U1234="B",L1234,IF(U1234="C",M1234,IF(N1234="A",K1234,IF(N1234="B",L1234,M1234)))))</f>
        <v/>
      </c>
      <c r="W1234" s="22">
        <f>IF(R1234="",O1234,MAX(V1234-R1234-N(S1234),0))</f>
        <v/>
      </c>
      <c r="X1234" s="20" t="n"/>
      <c r="Y1234" s="23">
        <f>IF(OR(X1234="",W1234=0),"",X1234/W1234-1)</f>
        <v/>
      </c>
      <c r="Z1234" s="24" t="n"/>
      <c r="AA1234" s="21" t="n"/>
      <c r="AB1234" s="25" t="n"/>
      <c r="AC1234" s="26">
        <f>IF(T1234="","Chưa quyết định",IF(OR(Z1234="",AA1234=""),"⚠ Thiếu lý do/người duyệt",IF(AND(X1234&lt;&gt;"",N(X1234)+N(R1234)+N(S1234)&gt;M1234*1.001,R1234&lt;&gt;""),"⚠ Vượt mục tiêu P90",IF(AND(Y1234&lt;&gt;"",ABS(N(Y1234))&gt;0.3),"⚠ Lệch &gt; 30% so với nhu cầu",IF(Q1234="Có","ℹ Kiểm tra ngoại suy KM","✓ Hợp lệ")))))</f>
        <v/>
      </c>
    </row>
    <row r="1235">
      <c r="A1235" s="16" t="n">
        <v>1231</v>
      </c>
      <c r="B1235" s="17" t="inlineStr">
        <is>
          <t>DEC-S16-SCHOOL_AND_OFFICE_SUPPLIES</t>
        </is>
      </c>
      <c r="C1235" s="16" t="n">
        <v>16</v>
      </c>
      <c r="D1235" s="17" t="inlineStr">
        <is>
          <t>SCHOOL AND OFFICE SUPPLIES</t>
        </is>
      </c>
      <c r="E1235" s="17" t="inlineStr">
        <is>
          <t>HIGH</t>
        </is>
      </c>
      <c r="F1235" s="17" t="inlineStr">
        <is>
          <t>TRUNG BÌNH</t>
        </is>
      </c>
      <c r="G1235" s="18" t="inlineStr">
        <is>
          <t>RISK_HIGH · PROMO_EXTRAPOLATION</t>
        </is>
      </c>
      <c r="H1235" s="19" t="n">
        <v>0</v>
      </c>
      <c r="I1235" s="19" t="n">
        <v>0</v>
      </c>
      <c r="J1235" s="19" t="n">
        <v>63.99766693115235</v>
      </c>
      <c r="K1235" s="19" t="n">
        <v>0</v>
      </c>
      <c r="L1235" s="19" t="n">
        <v>39.99854183197021</v>
      </c>
      <c r="M1235" s="19" t="n">
        <v>63.99766693115235</v>
      </c>
      <c r="N1235" s="17" t="inlineStr">
        <is>
          <t>B</t>
        </is>
      </c>
      <c r="O1235" s="19" t="n">
        <v>39.99854183197021</v>
      </c>
      <c r="P1235" s="18" t="inlineStr">
        <is>
          <t>KHÔNG ĐỀ XUẤT TĂNG</t>
        </is>
      </c>
      <c r="Q1235" s="17" t="inlineStr">
        <is>
          <t>Có</t>
        </is>
      </c>
      <c r="R1235" s="20" t="n"/>
      <c r="S1235" s="20" t="n"/>
      <c r="T1235" s="21" t="n"/>
      <c r="U1235" s="21" t="n"/>
      <c r="V1235" s="22">
        <f>IF(U1235="A",K1235,IF(U1235="B",L1235,IF(U1235="C",M1235,IF(N1235="A",K1235,IF(N1235="B",L1235,M1235)))))</f>
        <v/>
      </c>
      <c r="W1235" s="22">
        <f>IF(R1235="",O1235,MAX(V1235-R1235-N(S1235),0))</f>
        <v/>
      </c>
      <c r="X1235" s="20" t="n"/>
      <c r="Y1235" s="23">
        <f>IF(OR(X1235="",W1235=0),"",X1235/W1235-1)</f>
        <v/>
      </c>
      <c r="Z1235" s="24" t="n"/>
      <c r="AA1235" s="21" t="n"/>
      <c r="AB1235" s="25" t="n"/>
      <c r="AC1235" s="26">
        <f>IF(T1235="","Chưa quyết định",IF(OR(Z1235="",AA1235=""),"⚠ Thiếu lý do/người duyệt",IF(AND(X1235&lt;&gt;"",N(X1235)+N(R1235)+N(S1235)&gt;M1235*1.001,R1235&lt;&gt;""),"⚠ Vượt mục tiêu P90",IF(AND(Y1235&lt;&gt;"",ABS(N(Y1235))&gt;0.3),"⚠ Lệch &gt; 30% so với nhu cầu",IF(Q1235="Có","ℹ Kiểm tra ngoại suy KM","✓ Hợp lệ")))))</f>
        <v/>
      </c>
    </row>
    <row r="1236">
      <c r="A1236" s="16" t="n">
        <v>1232</v>
      </c>
      <c r="B1236" s="17" t="inlineStr">
        <is>
          <t>DEC-S16-SEAFOOD</t>
        </is>
      </c>
      <c r="C1236" s="16" t="n">
        <v>16</v>
      </c>
      <c r="D1236" s="17" t="inlineStr">
        <is>
          <t>SEAFOOD</t>
        </is>
      </c>
      <c r="E1236" s="17" t="inlineStr">
        <is>
          <t>HIGH</t>
        </is>
      </c>
      <c r="F1236" s="17" t="inlineStr">
        <is>
          <t>TRUNG BÌNH</t>
        </is>
      </c>
      <c r="G1236" s="18" t="inlineStr">
        <is>
          <t>RISK_HIGH · PROMO_EXTRAPOLATION</t>
        </is>
      </c>
      <c r="H1236" s="19" t="n">
        <v>0</v>
      </c>
      <c r="I1236" s="19" t="n">
        <v>0</v>
      </c>
      <c r="J1236" s="19" t="n">
        <v>63.99766693115235</v>
      </c>
      <c r="K1236" s="19" t="n">
        <v>0</v>
      </c>
      <c r="L1236" s="19" t="n">
        <v>39.99854183197021</v>
      </c>
      <c r="M1236" s="19" t="n">
        <v>63.99766693115235</v>
      </c>
      <c r="N1236" s="17" t="inlineStr">
        <is>
          <t>B</t>
        </is>
      </c>
      <c r="O1236" s="19" t="n">
        <v>39.99854183197021</v>
      </c>
      <c r="P1236" s="18" t="inlineStr">
        <is>
          <t>KHÔNG ĐỀ XUẤT TĂNG</t>
        </is>
      </c>
      <c r="Q1236" s="17" t="inlineStr">
        <is>
          <t>Có</t>
        </is>
      </c>
      <c r="R1236" s="20" t="n"/>
      <c r="S1236" s="20" t="n"/>
      <c r="T1236" s="21" t="n"/>
      <c r="U1236" s="21" t="n"/>
      <c r="V1236" s="22">
        <f>IF(U1236="A",K1236,IF(U1236="B",L1236,IF(U1236="C",M1236,IF(N1236="A",K1236,IF(N1236="B",L1236,M1236)))))</f>
        <v/>
      </c>
      <c r="W1236" s="22">
        <f>IF(R1236="",O1236,MAX(V1236-R1236-N(S1236),0))</f>
        <v/>
      </c>
      <c r="X1236" s="20" t="n"/>
      <c r="Y1236" s="23">
        <f>IF(OR(X1236="",W1236=0),"",X1236/W1236-1)</f>
        <v/>
      </c>
      <c r="Z1236" s="24" t="n"/>
      <c r="AA1236" s="21" t="n"/>
      <c r="AB1236" s="25" t="n"/>
      <c r="AC1236" s="26">
        <f>IF(T1236="","Chưa quyết định",IF(OR(Z1236="",AA1236=""),"⚠ Thiếu lý do/người duyệt",IF(AND(X1236&lt;&gt;"",N(X1236)+N(R1236)+N(S1236)&gt;M1236*1.001,R1236&lt;&gt;""),"⚠ Vượt mục tiêu P90",IF(AND(Y1236&lt;&gt;"",ABS(N(Y1236))&gt;0.3),"⚠ Lệch &gt; 30% so với nhu cầu",IF(Q1236="Có","ℹ Kiểm tra ngoại suy KM","✓ Hợp lệ")))))</f>
        <v/>
      </c>
    </row>
    <row r="1237">
      <c r="A1237" s="16" t="n">
        <v>1233</v>
      </c>
      <c r="B1237" s="17" t="inlineStr">
        <is>
          <t>DEC-S23-SCHOOL_AND_OFFICE_SUPPLIES</t>
        </is>
      </c>
      <c r="C1237" s="16" t="n">
        <v>23</v>
      </c>
      <c r="D1237" s="17" t="inlineStr">
        <is>
          <t>SCHOOL AND OFFICE SUPPLIES</t>
        </is>
      </c>
      <c r="E1237" s="17" t="inlineStr">
        <is>
          <t>HIGH</t>
        </is>
      </c>
      <c r="F1237" s="17" t="inlineStr">
        <is>
          <t>TRUNG BÌNH</t>
        </is>
      </c>
      <c r="G1237" s="18" t="inlineStr">
        <is>
          <t>RISK_HIGH · PROMO_EXTRAPOLATION</t>
        </is>
      </c>
      <c r="H1237" s="19" t="n">
        <v>0</v>
      </c>
      <c r="I1237" s="19" t="n">
        <v>0</v>
      </c>
      <c r="J1237" s="19" t="n">
        <v>63.99766693115235</v>
      </c>
      <c r="K1237" s="19" t="n">
        <v>0</v>
      </c>
      <c r="L1237" s="19" t="n">
        <v>39.99854183197021</v>
      </c>
      <c r="M1237" s="19" t="n">
        <v>63.99766693115235</v>
      </c>
      <c r="N1237" s="17" t="inlineStr">
        <is>
          <t>B</t>
        </is>
      </c>
      <c r="O1237" s="19" t="n">
        <v>39.99854183197021</v>
      </c>
      <c r="P1237" s="18" t="inlineStr">
        <is>
          <t>KHÔNG ĐỀ XUẤT TĂNG</t>
        </is>
      </c>
      <c r="Q1237" s="17" t="inlineStr">
        <is>
          <t>Có</t>
        </is>
      </c>
      <c r="R1237" s="20" t="n"/>
      <c r="S1237" s="20" t="n"/>
      <c r="T1237" s="21" t="n"/>
      <c r="U1237" s="21" t="n"/>
      <c r="V1237" s="22">
        <f>IF(U1237="A",K1237,IF(U1237="B",L1237,IF(U1237="C",M1237,IF(N1237="A",K1237,IF(N1237="B",L1237,M1237)))))</f>
        <v/>
      </c>
      <c r="W1237" s="22">
        <f>IF(R1237="",O1237,MAX(V1237-R1237-N(S1237),0))</f>
        <v/>
      </c>
      <c r="X1237" s="20" t="n"/>
      <c r="Y1237" s="23">
        <f>IF(OR(X1237="",W1237=0),"",X1237/W1237-1)</f>
        <v/>
      </c>
      <c r="Z1237" s="24" t="n"/>
      <c r="AA1237" s="21" t="n"/>
      <c r="AB1237" s="25" t="n"/>
      <c r="AC1237" s="26">
        <f>IF(T1237="","Chưa quyết định",IF(OR(Z1237="",AA1237=""),"⚠ Thiếu lý do/người duyệt",IF(AND(X1237&lt;&gt;"",N(X1237)+N(R1237)+N(S1237)&gt;M1237*1.001,R1237&lt;&gt;""),"⚠ Vượt mục tiêu P90",IF(AND(Y1237&lt;&gt;"",ABS(N(Y1237))&gt;0.3),"⚠ Lệch &gt; 30% so với nhu cầu",IF(Q1237="Có","ℹ Kiểm tra ngoại suy KM","✓ Hợp lệ")))))</f>
        <v/>
      </c>
    </row>
    <row r="1238">
      <c r="A1238" s="16" t="n">
        <v>1234</v>
      </c>
      <c r="B1238" s="17" t="inlineStr">
        <is>
          <t>DEC-S24-SCHOOL_AND_OFFICE_SUPPLIES</t>
        </is>
      </c>
      <c r="C1238" s="16" t="n">
        <v>24</v>
      </c>
      <c r="D1238" s="17" t="inlineStr">
        <is>
          <t>SCHOOL AND OFFICE SUPPLIES</t>
        </is>
      </c>
      <c r="E1238" s="17" t="inlineStr">
        <is>
          <t>HIGH</t>
        </is>
      </c>
      <c r="F1238" s="17" t="inlineStr">
        <is>
          <t>TRUNG BÌNH</t>
        </is>
      </c>
      <c r="G1238" s="18" t="inlineStr">
        <is>
          <t>RISK_HIGH · PROMO_EXTRAPOLATION</t>
        </is>
      </c>
      <c r="H1238" s="19" t="n">
        <v>0</v>
      </c>
      <c r="I1238" s="19" t="n">
        <v>0</v>
      </c>
      <c r="J1238" s="19" t="n">
        <v>63.99766693115235</v>
      </c>
      <c r="K1238" s="19" t="n">
        <v>0</v>
      </c>
      <c r="L1238" s="19" t="n">
        <v>39.99854183197021</v>
      </c>
      <c r="M1238" s="19" t="n">
        <v>63.99766693115235</v>
      </c>
      <c r="N1238" s="17" t="inlineStr">
        <is>
          <t>B</t>
        </is>
      </c>
      <c r="O1238" s="19" t="n">
        <v>39.99854183197021</v>
      </c>
      <c r="P1238" s="18" t="inlineStr">
        <is>
          <t>KHÔNG ĐỀ XUẤT TĂNG</t>
        </is>
      </c>
      <c r="Q1238" s="17" t="inlineStr">
        <is>
          <t>Có</t>
        </is>
      </c>
      <c r="R1238" s="20" t="n"/>
      <c r="S1238" s="20" t="n"/>
      <c r="T1238" s="21" t="n"/>
      <c r="U1238" s="21" t="n"/>
      <c r="V1238" s="22">
        <f>IF(U1238="A",K1238,IF(U1238="B",L1238,IF(U1238="C",M1238,IF(N1238="A",K1238,IF(N1238="B",L1238,M1238)))))</f>
        <v/>
      </c>
      <c r="W1238" s="22">
        <f>IF(R1238="",O1238,MAX(V1238-R1238-N(S1238),0))</f>
        <v/>
      </c>
      <c r="X1238" s="20" t="n"/>
      <c r="Y1238" s="23">
        <f>IF(OR(X1238="",W1238=0),"",X1238/W1238-1)</f>
        <v/>
      </c>
      <c r="Z1238" s="24" t="n"/>
      <c r="AA1238" s="21" t="n"/>
      <c r="AB1238" s="25" t="n"/>
      <c r="AC1238" s="26">
        <f>IF(T1238="","Chưa quyết định",IF(OR(Z1238="",AA1238=""),"⚠ Thiếu lý do/người duyệt",IF(AND(X1238&lt;&gt;"",N(X1238)+N(R1238)+N(S1238)&gt;M1238*1.001,R1238&lt;&gt;""),"⚠ Vượt mục tiêu P90",IF(AND(Y1238&lt;&gt;"",ABS(N(Y1238))&gt;0.3),"⚠ Lệch &gt; 30% so với nhu cầu",IF(Q1238="Có","ℹ Kiểm tra ngoại suy KM","✓ Hợp lệ")))))</f>
        <v/>
      </c>
    </row>
    <row r="1239">
      <c r="A1239" s="16" t="n">
        <v>1235</v>
      </c>
      <c r="B1239" s="17" t="inlineStr">
        <is>
          <t>DEC-S25-SCHOOL_AND_OFFICE_SUPPLIES</t>
        </is>
      </c>
      <c r="C1239" s="16" t="n">
        <v>25</v>
      </c>
      <c r="D1239" s="17" t="inlineStr">
        <is>
          <t>SCHOOL AND OFFICE SUPPLIES</t>
        </is>
      </c>
      <c r="E1239" s="17" t="inlineStr">
        <is>
          <t>HIGH</t>
        </is>
      </c>
      <c r="F1239" s="17" t="inlineStr">
        <is>
          <t>TRUNG BÌNH</t>
        </is>
      </c>
      <c r="G1239" s="18" t="inlineStr">
        <is>
          <t>RISK_HIGH · PROMO_EXTRAPOLATION</t>
        </is>
      </c>
      <c r="H1239" s="19" t="n">
        <v>0</v>
      </c>
      <c r="I1239" s="19" t="n">
        <v>0</v>
      </c>
      <c r="J1239" s="19" t="n">
        <v>63.99766693115235</v>
      </c>
      <c r="K1239" s="19" t="n">
        <v>0</v>
      </c>
      <c r="L1239" s="19" t="n">
        <v>39.99854183197021</v>
      </c>
      <c r="M1239" s="19" t="n">
        <v>63.99766693115235</v>
      </c>
      <c r="N1239" s="17" t="inlineStr">
        <is>
          <t>B</t>
        </is>
      </c>
      <c r="O1239" s="19" t="n">
        <v>39.99854183197021</v>
      </c>
      <c r="P1239" s="18" t="inlineStr">
        <is>
          <t>KHÔNG ĐỀ XUẤT TĂNG</t>
        </is>
      </c>
      <c r="Q1239" s="17" t="inlineStr">
        <is>
          <t>Có</t>
        </is>
      </c>
      <c r="R1239" s="20" t="n"/>
      <c r="S1239" s="20" t="n"/>
      <c r="T1239" s="21" t="n"/>
      <c r="U1239" s="21" t="n"/>
      <c r="V1239" s="22">
        <f>IF(U1239="A",K1239,IF(U1239="B",L1239,IF(U1239="C",M1239,IF(N1239="A",K1239,IF(N1239="B",L1239,M1239)))))</f>
        <v/>
      </c>
      <c r="W1239" s="22">
        <f>IF(R1239="",O1239,MAX(V1239-R1239-N(S1239),0))</f>
        <v/>
      </c>
      <c r="X1239" s="20" t="n"/>
      <c r="Y1239" s="23">
        <f>IF(OR(X1239="",W1239=0),"",X1239/W1239-1)</f>
        <v/>
      </c>
      <c r="Z1239" s="24" t="n"/>
      <c r="AA1239" s="21" t="n"/>
      <c r="AB1239" s="25" t="n"/>
      <c r="AC1239" s="26">
        <f>IF(T1239="","Chưa quyết định",IF(OR(Z1239="",AA1239=""),"⚠ Thiếu lý do/người duyệt",IF(AND(X1239&lt;&gt;"",N(X1239)+N(R1239)+N(S1239)&gt;M1239*1.001,R1239&lt;&gt;""),"⚠ Vượt mục tiêu P90",IF(AND(Y1239&lt;&gt;"",ABS(N(Y1239))&gt;0.3),"⚠ Lệch &gt; 30% so với nhu cầu",IF(Q1239="Có","ℹ Kiểm tra ngoại suy KM","✓ Hợp lệ")))))</f>
        <v/>
      </c>
    </row>
    <row r="1240">
      <c r="A1240" s="16" t="n">
        <v>1236</v>
      </c>
      <c r="B1240" s="17" t="inlineStr">
        <is>
          <t>DEC-S26-SCHOOL_AND_OFFICE_SUPPLIES</t>
        </is>
      </c>
      <c r="C1240" s="16" t="n">
        <v>26</v>
      </c>
      <c r="D1240" s="17" t="inlineStr">
        <is>
          <t>SCHOOL AND OFFICE SUPPLIES</t>
        </is>
      </c>
      <c r="E1240" s="17" t="inlineStr">
        <is>
          <t>HIGH</t>
        </is>
      </c>
      <c r="F1240" s="17" t="inlineStr">
        <is>
          <t>TRUNG BÌNH</t>
        </is>
      </c>
      <c r="G1240" s="18" t="inlineStr">
        <is>
          <t>RISK_HIGH · PROMO_EXTRAPOLATION</t>
        </is>
      </c>
      <c r="H1240" s="19" t="n">
        <v>0</v>
      </c>
      <c r="I1240" s="19" t="n">
        <v>0</v>
      </c>
      <c r="J1240" s="19" t="n">
        <v>63.99766693115235</v>
      </c>
      <c r="K1240" s="19" t="n">
        <v>0</v>
      </c>
      <c r="L1240" s="19" t="n">
        <v>39.99854183197021</v>
      </c>
      <c r="M1240" s="19" t="n">
        <v>63.99766693115235</v>
      </c>
      <c r="N1240" s="17" t="inlineStr">
        <is>
          <t>B</t>
        </is>
      </c>
      <c r="O1240" s="19" t="n">
        <v>39.99854183197021</v>
      </c>
      <c r="P1240" s="18" t="inlineStr">
        <is>
          <t>KHÔNG ĐỀ XUẤT TĂNG</t>
        </is>
      </c>
      <c r="Q1240" s="17" t="inlineStr">
        <is>
          <t>Có</t>
        </is>
      </c>
      <c r="R1240" s="20" t="n"/>
      <c r="S1240" s="20" t="n"/>
      <c r="T1240" s="21" t="n"/>
      <c r="U1240" s="21" t="n"/>
      <c r="V1240" s="22">
        <f>IF(U1240="A",K1240,IF(U1240="B",L1240,IF(U1240="C",M1240,IF(N1240="A",K1240,IF(N1240="B",L1240,M1240)))))</f>
        <v/>
      </c>
      <c r="W1240" s="22">
        <f>IF(R1240="",O1240,MAX(V1240-R1240-N(S1240),0))</f>
        <v/>
      </c>
      <c r="X1240" s="20" t="n"/>
      <c r="Y1240" s="23">
        <f>IF(OR(X1240="",W1240=0),"",X1240/W1240-1)</f>
        <v/>
      </c>
      <c r="Z1240" s="24" t="n"/>
      <c r="AA1240" s="21" t="n"/>
      <c r="AB1240" s="25" t="n"/>
      <c r="AC1240" s="26">
        <f>IF(T1240="","Chưa quyết định",IF(OR(Z1240="",AA1240=""),"⚠ Thiếu lý do/người duyệt",IF(AND(X1240&lt;&gt;"",N(X1240)+N(R1240)+N(S1240)&gt;M1240*1.001,R1240&lt;&gt;""),"⚠ Vượt mục tiêu P90",IF(AND(Y1240&lt;&gt;"",ABS(N(Y1240))&gt;0.3),"⚠ Lệch &gt; 30% so với nhu cầu",IF(Q1240="Có","ℹ Kiểm tra ngoại suy KM","✓ Hợp lệ")))))</f>
        <v/>
      </c>
    </row>
    <row r="1241">
      <c r="A1241" s="16" t="n">
        <v>1237</v>
      </c>
      <c r="B1241" s="17" t="inlineStr">
        <is>
          <t>DEC-S30-SCHOOL_AND_OFFICE_SUPPLIES</t>
        </is>
      </c>
      <c r="C1241" s="16" t="n">
        <v>30</v>
      </c>
      <c r="D1241" s="17" t="inlineStr">
        <is>
          <t>SCHOOL AND OFFICE SUPPLIES</t>
        </is>
      </c>
      <c r="E1241" s="17" t="inlineStr">
        <is>
          <t>HIGH</t>
        </is>
      </c>
      <c r="F1241" s="17" t="inlineStr">
        <is>
          <t>TRUNG BÌNH</t>
        </is>
      </c>
      <c r="G1241" s="18" t="inlineStr">
        <is>
          <t>RISK_HIGH · PROMO_EXTRAPOLATION</t>
        </is>
      </c>
      <c r="H1241" s="19" t="n">
        <v>0</v>
      </c>
      <c r="I1241" s="19" t="n">
        <v>0</v>
      </c>
      <c r="J1241" s="19" t="n">
        <v>63.99766693115235</v>
      </c>
      <c r="K1241" s="19" t="n">
        <v>0</v>
      </c>
      <c r="L1241" s="19" t="n">
        <v>39.99854183197021</v>
      </c>
      <c r="M1241" s="19" t="n">
        <v>63.99766693115235</v>
      </c>
      <c r="N1241" s="17" t="inlineStr">
        <is>
          <t>B</t>
        </is>
      </c>
      <c r="O1241" s="19" t="n">
        <v>39.99854183197021</v>
      </c>
      <c r="P1241" s="18" t="inlineStr">
        <is>
          <t>KHÔNG ĐỀ XUẤT TĂNG</t>
        </is>
      </c>
      <c r="Q1241" s="17" t="inlineStr">
        <is>
          <t>Có</t>
        </is>
      </c>
      <c r="R1241" s="20" t="n"/>
      <c r="S1241" s="20" t="n"/>
      <c r="T1241" s="21" t="n"/>
      <c r="U1241" s="21" t="n"/>
      <c r="V1241" s="22">
        <f>IF(U1241="A",K1241,IF(U1241="B",L1241,IF(U1241="C",M1241,IF(N1241="A",K1241,IF(N1241="B",L1241,M1241)))))</f>
        <v/>
      </c>
      <c r="W1241" s="22">
        <f>IF(R1241="",O1241,MAX(V1241-R1241-N(S1241),0))</f>
        <v/>
      </c>
      <c r="X1241" s="20" t="n"/>
      <c r="Y1241" s="23">
        <f>IF(OR(X1241="",W1241=0),"",X1241/W1241-1)</f>
        <v/>
      </c>
      <c r="Z1241" s="24" t="n"/>
      <c r="AA1241" s="21" t="n"/>
      <c r="AB1241" s="25" t="n"/>
      <c r="AC1241" s="26">
        <f>IF(T1241="","Chưa quyết định",IF(OR(Z1241="",AA1241=""),"⚠ Thiếu lý do/người duyệt",IF(AND(X1241&lt;&gt;"",N(X1241)+N(R1241)+N(S1241)&gt;M1241*1.001,R1241&lt;&gt;""),"⚠ Vượt mục tiêu P90",IF(AND(Y1241&lt;&gt;"",ABS(N(Y1241))&gt;0.3),"⚠ Lệch &gt; 30% so với nhu cầu",IF(Q1241="Có","ℹ Kiểm tra ngoại suy KM","✓ Hợp lệ")))))</f>
        <v/>
      </c>
    </row>
    <row r="1242">
      <c r="A1242" s="16" t="n">
        <v>1238</v>
      </c>
      <c r="B1242" s="17" t="inlineStr">
        <is>
          <t>DEC-S32-SCHOOL_AND_OFFICE_SUPPLIES</t>
        </is>
      </c>
      <c r="C1242" s="16" t="n">
        <v>32</v>
      </c>
      <c r="D1242" s="17" t="inlineStr">
        <is>
          <t>SCHOOL AND OFFICE SUPPLIES</t>
        </is>
      </c>
      <c r="E1242" s="17" t="inlineStr">
        <is>
          <t>HIGH</t>
        </is>
      </c>
      <c r="F1242" s="17" t="inlineStr">
        <is>
          <t>TRUNG BÌNH</t>
        </is>
      </c>
      <c r="G1242" s="18" t="inlineStr">
        <is>
          <t>RISK_HIGH · PROMO_EXTRAPOLATION</t>
        </is>
      </c>
      <c r="H1242" s="19" t="n">
        <v>0</v>
      </c>
      <c r="I1242" s="19" t="n">
        <v>0</v>
      </c>
      <c r="J1242" s="19" t="n">
        <v>63.99766693115235</v>
      </c>
      <c r="K1242" s="19" t="n">
        <v>0</v>
      </c>
      <c r="L1242" s="19" t="n">
        <v>39.99854183197021</v>
      </c>
      <c r="M1242" s="19" t="n">
        <v>63.99766693115235</v>
      </c>
      <c r="N1242" s="17" t="inlineStr">
        <is>
          <t>B</t>
        </is>
      </c>
      <c r="O1242" s="19" t="n">
        <v>39.99854183197021</v>
      </c>
      <c r="P1242" s="18" t="inlineStr">
        <is>
          <t>KHÔNG ĐỀ XUẤT TĂNG</t>
        </is>
      </c>
      <c r="Q1242" s="17" t="inlineStr">
        <is>
          <t>Có</t>
        </is>
      </c>
      <c r="R1242" s="20" t="n"/>
      <c r="S1242" s="20" t="n"/>
      <c r="T1242" s="21" t="n"/>
      <c r="U1242" s="21" t="n"/>
      <c r="V1242" s="22">
        <f>IF(U1242="A",K1242,IF(U1242="B",L1242,IF(U1242="C",M1242,IF(N1242="A",K1242,IF(N1242="B",L1242,M1242)))))</f>
        <v/>
      </c>
      <c r="W1242" s="22">
        <f>IF(R1242="",O1242,MAX(V1242-R1242-N(S1242),0))</f>
        <v/>
      </c>
      <c r="X1242" s="20" t="n"/>
      <c r="Y1242" s="23">
        <f>IF(OR(X1242="",W1242=0),"",X1242/W1242-1)</f>
        <v/>
      </c>
      <c r="Z1242" s="24" t="n"/>
      <c r="AA1242" s="21" t="n"/>
      <c r="AB1242" s="25" t="n"/>
      <c r="AC1242" s="26">
        <f>IF(T1242="","Chưa quyết định",IF(OR(Z1242="",AA1242=""),"⚠ Thiếu lý do/người duyệt",IF(AND(X1242&lt;&gt;"",N(X1242)+N(R1242)+N(S1242)&gt;M1242*1.001,R1242&lt;&gt;""),"⚠ Vượt mục tiêu P90",IF(AND(Y1242&lt;&gt;"",ABS(N(Y1242))&gt;0.3),"⚠ Lệch &gt; 30% so với nhu cầu",IF(Q1242="Có","ℹ Kiểm tra ngoại suy KM","✓ Hợp lệ")))))</f>
        <v/>
      </c>
    </row>
    <row r="1243">
      <c r="A1243" s="16" t="n">
        <v>1239</v>
      </c>
      <c r="B1243" s="17" t="inlineStr">
        <is>
          <t>DEC-S33-SCHOOL_AND_OFFICE_SUPPLIES</t>
        </is>
      </c>
      <c r="C1243" s="16" t="n">
        <v>33</v>
      </c>
      <c r="D1243" s="17" t="inlineStr">
        <is>
          <t>SCHOOL AND OFFICE SUPPLIES</t>
        </is>
      </c>
      <c r="E1243" s="17" t="inlineStr">
        <is>
          <t>HIGH</t>
        </is>
      </c>
      <c r="F1243" s="17" t="inlineStr">
        <is>
          <t>TRUNG BÌNH</t>
        </is>
      </c>
      <c r="G1243" s="18" t="inlineStr">
        <is>
          <t>RISK_HIGH · PROMO_EXTRAPOLATION</t>
        </is>
      </c>
      <c r="H1243" s="19" t="n">
        <v>0</v>
      </c>
      <c r="I1243" s="19" t="n">
        <v>0</v>
      </c>
      <c r="J1243" s="19" t="n">
        <v>63.99766693115235</v>
      </c>
      <c r="K1243" s="19" t="n">
        <v>0</v>
      </c>
      <c r="L1243" s="19" t="n">
        <v>39.99854183197021</v>
      </c>
      <c r="M1243" s="19" t="n">
        <v>63.99766693115235</v>
      </c>
      <c r="N1243" s="17" t="inlineStr">
        <is>
          <t>B</t>
        </is>
      </c>
      <c r="O1243" s="19" t="n">
        <v>39.99854183197021</v>
      </c>
      <c r="P1243" s="18" t="inlineStr">
        <is>
          <t>KHÔNG ĐỀ XUẤT TĂNG</t>
        </is>
      </c>
      <c r="Q1243" s="17" t="inlineStr">
        <is>
          <t>Có</t>
        </is>
      </c>
      <c r="R1243" s="20" t="n"/>
      <c r="S1243" s="20" t="n"/>
      <c r="T1243" s="21" t="n"/>
      <c r="U1243" s="21" t="n"/>
      <c r="V1243" s="22">
        <f>IF(U1243="A",K1243,IF(U1243="B",L1243,IF(U1243="C",M1243,IF(N1243="A",K1243,IF(N1243="B",L1243,M1243)))))</f>
        <v/>
      </c>
      <c r="W1243" s="22">
        <f>IF(R1243="",O1243,MAX(V1243-R1243-N(S1243),0))</f>
        <v/>
      </c>
      <c r="X1243" s="20" t="n"/>
      <c r="Y1243" s="23">
        <f>IF(OR(X1243="",W1243=0),"",X1243/W1243-1)</f>
        <v/>
      </c>
      <c r="Z1243" s="24" t="n"/>
      <c r="AA1243" s="21" t="n"/>
      <c r="AB1243" s="25" t="n"/>
      <c r="AC1243" s="26">
        <f>IF(T1243="","Chưa quyết định",IF(OR(Z1243="",AA1243=""),"⚠ Thiếu lý do/người duyệt",IF(AND(X1243&lt;&gt;"",N(X1243)+N(R1243)+N(S1243)&gt;M1243*1.001,R1243&lt;&gt;""),"⚠ Vượt mục tiêu P90",IF(AND(Y1243&lt;&gt;"",ABS(N(Y1243))&gt;0.3),"⚠ Lệch &gt; 30% so với nhu cầu",IF(Q1243="Có","ℹ Kiểm tra ngoại suy KM","✓ Hợp lệ")))))</f>
        <v/>
      </c>
    </row>
    <row r="1244">
      <c r="A1244" s="16" t="n">
        <v>1240</v>
      </c>
      <c r="B1244" s="17" t="inlineStr">
        <is>
          <t>DEC-S35-SCHOOL_AND_OFFICE_SUPPLIES</t>
        </is>
      </c>
      <c r="C1244" s="16" t="n">
        <v>35</v>
      </c>
      <c r="D1244" s="17" t="inlineStr">
        <is>
          <t>SCHOOL AND OFFICE SUPPLIES</t>
        </is>
      </c>
      <c r="E1244" s="17" t="inlineStr">
        <is>
          <t>HIGH</t>
        </is>
      </c>
      <c r="F1244" s="17" t="inlineStr">
        <is>
          <t>TRUNG BÌNH</t>
        </is>
      </c>
      <c r="G1244" s="18" t="inlineStr">
        <is>
          <t>RISK_HIGH · PROMO_EXTRAPOLATION</t>
        </is>
      </c>
      <c r="H1244" s="19" t="n">
        <v>0</v>
      </c>
      <c r="I1244" s="19" t="n">
        <v>0</v>
      </c>
      <c r="J1244" s="19" t="n">
        <v>63.99766693115235</v>
      </c>
      <c r="K1244" s="19" t="n">
        <v>0</v>
      </c>
      <c r="L1244" s="19" t="n">
        <v>39.99854183197021</v>
      </c>
      <c r="M1244" s="19" t="n">
        <v>63.99766693115235</v>
      </c>
      <c r="N1244" s="17" t="inlineStr">
        <is>
          <t>B</t>
        </is>
      </c>
      <c r="O1244" s="19" t="n">
        <v>39.99854183197021</v>
      </c>
      <c r="P1244" s="18" t="inlineStr">
        <is>
          <t>KHÔNG ĐỀ XUẤT TĂNG</t>
        </is>
      </c>
      <c r="Q1244" s="17" t="inlineStr">
        <is>
          <t>Có</t>
        </is>
      </c>
      <c r="R1244" s="20" t="n"/>
      <c r="S1244" s="20" t="n"/>
      <c r="T1244" s="21" t="n"/>
      <c r="U1244" s="21" t="n"/>
      <c r="V1244" s="22">
        <f>IF(U1244="A",K1244,IF(U1244="B",L1244,IF(U1244="C",M1244,IF(N1244="A",K1244,IF(N1244="B",L1244,M1244)))))</f>
        <v/>
      </c>
      <c r="W1244" s="22">
        <f>IF(R1244="",O1244,MAX(V1244-R1244-N(S1244),0))</f>
        <v/>
      </c>
      <c r="X1244" s="20" t="n"/>
      <c r="Y1244" s="23">
        <f>IF(OR(X1244="",W1244=0),"",X1244/W1244-1)</f>
        <v/>
      </c>
      <c r="Z1244" s="24" t="n"/>
      <c r="AA1244" s="21" t="n"/>
      <c r="AB1244" s="25" t="n"/>
      <c r="AC1244" s="26">
        <f>IF(T1244="","Chưa quyết định",IF(OR(Z1244="",AA1244=""),"⚠ Thiếu lý do/người duyệt",IF(AND(X1244&lt;&gt;"",N(X1244)+N(R1244)+N(S1244)&gt;M1244*1.001,R1244&lt;&gt;""),"⚠ Vượt mục tiêu P90",IF(AND(Y1244&lt;&gt;"",ABS(N(Y1244))&gt;0.3),"⚠ Lệch &gt; 30% so với nhu cầu",IF(Q1244="Có","ℹ Kiểm tra ngoại suy KM","✓ Hợp lệ")))))</f>
        <v/>
      </c>
    </row>
    <row r="1245">
      <c r="A1245" s="16" t="n">
        <v>1241</v>
      </c>
      <c r="B1245" s="17" t="inlineStr">
        <is>
          <t>DEC-S35-SEAFOOD</t>
        </is>
      </c>
      <c r="C1245" s="16" t="n">
        <v>35</v>
      </c>
      <c r="D1245" s="17" t="inlineStr">
        <is>
          <t>SEAFOOD</t>
        </is>
      </c>
      <c r="E1245" s="17" t="inlineStr">
        <is>
          <t>HIGH</t>
        </is>
      </c>
      <c r="F1245" s="17" t="inlineStr">
        <is>
          <t>TRUNG BÌNH</t>
        </is>
      </c>
      <c r="G1245" s="18" t="inlineStr">
        <is>
          <t>RISK_HIGH · PROMO_EXTRAPOLATION</t>
        </is>
      </c>
      <c r="H1245" s="19" t="n">
        <v>0</v>
      </c>
      <c r="I1245" s="19" t="n">
        <v>0</v>
      </c>
      <c r="J1245" s="19" t="n">
        <v>63.99766693115235</v>
      </c>
      <c r="K1245" s="19" t="n">
        <v>0</v>
      </c>
      <c r="L1245" s="19" t="n">
        <v>39.99854183197021</v>
      </c>
      <c r="M1245" s="19" t="n">
        <v>63.99766693115235</v>
      </c>
      <c r="N1245" s="17" t="inlineStr">
        <is>
          <t>B</t>
        </is>
      </c>
      <c r="O1245" s="19" t="n">
        <v>39.99854183197021</v>
      </c>
      <c r="P1245" s="18" t="inlineStr">
        <is>
          <t>KHÔNG ĐỀ XUẤT TĂNG</t>
        </is>
      </c>
      <c r="Q1245" s="17" t="inlineStr">
        <is>
          <t>Có</t>
        </is>
      </c>
      <c r="R1245" s="20" t="n"/>
      <c r="S1245" s="20" t="n"/>
      <c r="T1245" s="21" t="n"/>
      <c r="U1245" s="21" t="n"/>
      <c r="V1245" s="22">
        <f>IF(U1245="A",K1245,IF(U1245="B",L1245,IF(U1245="C",M1245,IF(N1245="A",K1245,IF(N1245="B",L1245,M1245)))))</f>
        <v/>
      </c>
      <c r="W1245" s="22">
        <f>IF(R1245="",O1245,MAX(V1245-R1245-N(S1245),0))</f>
        <v/>
      </c>
      <c r="X1245" s="20" t="n"/>
      <c r="Y1245" s="23">
        <f>IF(OR(X1245="",W1245=0),"",X1245/W1245-1)</f>
        <v/>
      </c>
      <c r="Z1245" s="24" t="n"/>
      <c r="AA1245" s="21" t="n"/>
      <c r="AB1245" s="25" t="n"/>
      <c r="AC1245" s="26">
        <f>IF(T1245="","Chưa quyết định",IF(OR(Z1245="",AA1245=""),"⚠ Thiếu lý do/người duyệt",IF(AND(X1245&lt;&gt;"",N(X1245)+N(R1245)+N(S1245)&gt;M1245*1.001,R1245&lt;&gt;""),"⚠ Vượt mục tiêu P90",IF(AND(Y1245&lt;&gt;"",ABS(N(Y1245))&gt;0.3),"⚠ Lệch &gt; 30% so với nhu cầu",IF(Q1245="Có","ℹ Kiểm tra ngoại suy KM","✓ Hợp lệ")))))</f>
        <v/>
      </c>
    </row>
    <row r="1246">
      <c r="A1246" s="16" t="n">
        <v>1242</v>
      </c>
      <c r="B1246" s="17" t="inlineStr">
        <is>
          <t>DEC-S36-SCHOOL_AND_OFFICE_SUPPLIES</t>
        </is>
      </c>
      <c r="C1246" s="16" t="n">
        <v>36</v>
      </c>
      <c r="D1246" s="17" t="inlineStr">
        <is>
          <t>SCHOOL AND OFFICE SUPPLIES</t>
        </is>
      </c>
      <c r="E1246" s="17" t="inlineStr">
        <is>
          <t>HIGH</t>
        </is>
      </c>
      <c r="F1246" s="17" t="inlineStr">
        <is>
          <t>TRUNG BÌNH</t>
        </is>
      </c>
      <c r="G1246" s="18" t="inlineStr">
        <is>
          <t>RISK_HIGH · PROMO_EXTRAPOLATION</t>
        </is>
      </c>
      <c r="H1246" s="19" t="n">
        <v>0</v>
      </c>
      <c r="I1246" s="19" t="n">
        <v>0</v>
      </c>
      <c r="J1246" s="19" t="n">
        <v>63.99766693115235</v>
      </c>
      <c r="K1246" s="19" t="n">
        <v>0</v>
      </c>
      <c r="L1246" s="19" t="n">
        <v>39.99854183197021</v>
      </c>
      <c r="M1246" s="19" t="n">
        <v>63.99766693115235</v>
      </c>
      <c r="N1246" s="17" t="inlineStr">
        <is>
          <t>B</t>
        </is>
      </c>
      <c r="O1246" s="19" t="n">
        <v>39.99854183197021</v>
      </c>
      <c r="P1246" s="18" t="inlineStr">
        <is>
          <t>KHÔNG ĐỀ XUẤT TĂNG</t>
        </is>
      </c>
      <c r="Q1246" s="17" t="inlineStr">
        <is>
          <t>Có</t>
        </is>
      </c>
      <c r="R1246" s="20" t="n"/>
      <c r="S1246" s="20" t="n"/>
      <c r="T1246" s="21" t="n"/>
      <c r="U1246" s="21" t="n"/>
      <c r="V1246" s="22">
        <f>IF(U1246="A",K1246,IF(U1246="B",L1246,IF(U1246="C",M1246,IF(N1246="A",K1246,IF(N1246="B",L1246,M1246)))))</f>
        <v/>
      </c>
      <c r="W1246" s="22">
        <f>IF(R1246="",O1246,MAX(V1246-R1246-N(S1246),0))</f>
        <v/>
      </c>
      <c r="X1246" s="20" t="n"/>
      <c r="Y1246" s="23">
        <f>IF(OR(X1246="",W1246=0),"",X1246/W1246-1)</f>
        <v/>
      </c>
      <c r="Z1246" s="24" t="n"/>
      <c r="AA1246" s="21" t="n"/>
      <c r="AB1246" s="25" t="n"/>
      <c r="AC1246" s="26">
        <f>IF(T1246="","Chưa quyết định",IF(OR(Z1246="",AA1246=""),"⚠ Thiếu lý do/người duyệt",IF(AND(X1246&lt;&gt;"",N(X1246)+N(R1246)+N(S1246)&gt;M1246*1.001,R1246&lt;&gt;""),"⚠ Vượt mục tiêu P90",IF(AND(Y1246&lt;&gt;"",ABS(N(Y1246))&gt;0.3),"⚠ Lệch &gt; 30% so với nhu cầu",IF(Q1246="Có","ℹ Kiểm tra ngoại suy KM","✓ Hợp lệ")))))</f>
        <v/>
      </c>
    </row>
    <row r="1247">
      <c r="A1247" s="16" t="n">
        <v>1243</v>
      </c>
      <c r="B1247" s="17" t="inlineStr">
        <is>
          <t>DEC-S37-SCHOOL_AND_OFFICE_SUPPLIES</t>
        </is>
      </c>
      <c r="C1247" s="16" t="n">
        <v>37</v>
      </c>
      <c r="D1247" s="17" t="inlineStr">
        <is>
          <t>SCHOOL AND OFFICE SUPPLIES</t>
        </is>
      </c>
      <c r="E1247" s="17" t="inlineStr">
        <is>
          <t>HIGH</t>
        </is>
      </c>
      <c r="F1247" s="17" t="inlineStr">
        <is>
          <t>TRUNG BÌNH</t>
        </is>
      </c>
      <c r="G1247" s="18" t="inlineStr">
        <is>
          <t>RISK_HIGH · PROMO_EXTRAPOLATION</t>
        </is>
      </c>
      <c r="H1247" s="19" t="n">
        <v>0</v>
      </c>
      <c r="I1247" s="19" t="n">
        <v>0</v>
      </c>
      <c r="J1247" s="19" t="n">
        <v>63.99766693115235</v>
      </c>
      <c r="K1247" s="19" t="n">
        <v>0</v>
      </c>
      <c r="L1247" s="19" t="n">
        <v>39.99854183197021</v>
      </c>
      <c r="M1247" s="19" t="n">
        <v>63.99766693115235</v>
      </c>
      <c r="N1247" s="17" t="inlineStr">
        <is>
          <t>B</t>
        </is>
      </c>
      <c r="O1247" s="19" t="n">
        <v>39.99854183197021</v>
      </c>
      <c r="P1247" s="18" t="inlineStr">
        <is>
          <t>KHÔNG ĐỀ XUẤT TĂNG</t>
        </is>
      </c>
      <c r="Q1247" s="17" t="inlineStr">
        <is>
          <t>Có</t>
        </is>
      </c>
      <c r="R1247" s="20" t="n"/>
      <c r="S1247" s="20" t="n"/>
      <c r="T1247" s="21" t="n"/>
      <c r="U1247" s="21" t="n"/>
      <c r="V1247" s="22">
        <f>IF(U1247="A",K1247,IF(U1247="B",L1247,IF(U1247="C",M1247,IF(N1247="A",K1247,IF(N1247="B",L1247,M1247)))))</f>
        <v/>
      </c>
      <c r="W1247" s="22">
        <f>IF(R1247="",O1247,MAX(V1247-R1247-N(S1247),0))</f>
        <v/>
      </c>
      <c r="X1247" s="20" t="n"/>
      <c r="Y1247" s="23">
        <f>IF(OR(X1247="",W1247=0),"",X1247/W1247-1)</f>
        <v/>
      </c>
      <c r="Z1247" s="24" t="n"/>
      <c r="AA1247" s="21" t="n"/>
      <c r="AB1247" s="25" t="n"/>
      <c r="AC1247" s="26">
        <f>IF(T1247="","Chưa quyết định",IF(OR(Z1247="",AA1247=""),"⚠ Thiếu lý do/người duyệt",IF(AND(X1247&lt;&gt;"",N(X1247)+N(R1247)+N(S1247)&gt;M1247*1.001,R1247&lt;&gt;""),"⚠ Vượt mục tiêu P90",IF(AND(Y1247&lt;&gt;"",ABS(N(Y1247))&gt;0.3),"⚠ Lệch &gt; 30% so với nhu cầu",IF(Q1247="Có","ℹ Kiểm tra ngoại suy KM","✓ Hợp lệ")))))</f>
        <v/>
      </c>
    </row>
    <row r="1248">
      <c r="A1248" s="16" t="n">
        <v>1244</v>
      </c>
      <c r="B1248" s="17" t="inlineStr">
        <is>
          <t>DEC-S38-SCHOOL_AND_OFFICE_SUPPLIES</t>
        </is>
      </c>
      <c r="C1248" s="16" t="n">
        <v>38</v>
      </c>
      <c r="D1248" s="17" t="inlineStr">
        <is>
          <t>SCHOOL AND OFFICE SUPPLIES</t>
        </is>
      </c>
      <c r="E1248" s="17" t="inlineStr">
        <is>
          <t>HIGH</t>
        </is>
      </c>
      <c r="F1248" s="17" t="inlineStr">
        <is>
          <t>TRUNG BÌNH</t>
        </is>
      </c>
      <c r="G1248" s="18" t="inlineStr">
        <is>
          <t>RISK_HIGH · PROMO_EXTRAPOLATION</t>
        </is>
      </c>
      <c r="H1248" s="19" t="n">
        <v>0</v>
      </c>
      <c r="I1248" s="19" t="n">
        <v>0</v>
      </c>
      <c r="J1248" s="19" t="n">
        <v>63.99766693115235</v>
      </c>
      <c r="K1248" s="19" t="n">
        <v>0</v>
      </c>
      <c r="L1248" s="19" t="n">
        <v>39.99854183197021</v>
      </c>
      <c r="M1248" s="19" t="n">
        <v>63.99766693115235</v>
      </c>
      <c r="N1248" s="17" t="inlineStr">
        <is>
          <t>B</t>
        </is>
      </c>
      <c r="O1248" s="19" t="n">
        <v>39.99854183197021</v>
      </c>
      <c r="P1248" s="18" t="inlineStr">
        <is>
          <t>KHÔNG ĐỀ XUẤT TĂNG</t>
        </is>
      </c>
      <c r="Q1248" s="17" t="inlineStr">
        <is>
          <t>Có</t>
        </is>
      </c>
      <c r="R1248" s="20" t="n"/>
      <c r="S1248" s="20" t="n"/>
      <c r="T1248" s="21" t="n"/>
      <c r="U1248" s="21" t="n"/>
      <c r="V1248" s="22">
        <f>IF(U1248="A",K1248,IF(U1248="B",L1248,IF(U1248="C",M1248,IF(N1248="A",K1248,IF(N1248="B",L1248,M1248)))))</f>
        <v/>
      </c>
      <c r="W1248" s="22">
        <f>IF(R1248="",O1248,MAX(V1248-R1248-N(S1248),0))</f>
        <v/>
      </c>
      <c r="X1248" s="20" t="n"/>
      <c r="Y1248" s="23">
        <f>IF(OR(X1248="",W1248=0),"",X1248/W1248-1)</f>
        <v/>
      </c>
      <c r="Z1248" s="24" t="n"/>
      <c r="AA1248" s="21" t="n"/>
      <c r="AB1248" s="25" t="n"/>
      <c r="AC1248" s="26">
        <f>IF(T1248="","Chưa quyết định",IF(OR(Z1248="",AA1248=""),"⚠ Thiếu lý do/người duyệt",IF(AND(X1248&lt;&gt;"",N(X1248)+N(R1248)+N(S1248)&gt;M1248*1.001,R1248&lt;&gt;""),"⚠ Vượt mục tiêu P90",IF(AND(Y1248&lt;&gt;"",ABS(N(Y1248))&gt;0.3),"⚠ Lệch &gt; 30% so với nhu cầu",IF(Q1248="Có","ℹ Kiểm tra ngoại suy KM","✓ Hợp lệ")))))</f>
        <v/>
      </c>
    </row>
    <row r="1249">
      <c r="A1249" s="16" t="n">
        <v>1245</v>
      </c>
      <c r="B1249" s="17" t="inlineStr">
        <is>
          <t>DEC-S40-SCHOOL_AND_OFFICE_SUPPLIES</t>
        </is>
      </c>
      <c r="C1249" s="16" t="n">
        <v>40</v>
      </c>
      <c r="D1249" s="17" t="inlineStr">
        <is>
          <t>SCHOOL AND OFFICE SUPPLIES</t>
        </is>
      </c>
      <c r="E1249" s="17" t="inlineStr">
        <is>
          <t>HIGH</t>
        </is>
      </c>
      <c r="F1249" s="17" t="inlineStr">
        <is>
          <t>TRUNG BÌNH</t>
        </is>
      </c>
      <c r="G1249" s="18" t="inlineStr">
        <is>
          <t>RISK_HIGH · PROMO_EXTRAPOLATION</t>
        </is>
      </c>
      <c r="H1249" s="19" t="n">
        <v>0</v>
      </c>
      <c r="I1249" s="19" t="n">
        <v>0</v>
      </c>
      <c r="J1249" s="19" t="n">
        <v>63.99766693115235</v>
      </c>
      <c r="K1249" s="19" t="n">
        <v>0</v>
      </c>
      <c r="L1249" s="19" t="n">
        <v>39.99854183197021</v>
      </c>
      <c r="M1249" s="19" t="n">
        <v>63.99766693115235</v>
      </c>
      <c r="N1249" s="17" t="inlineStr">
        <is>
          <t>B</t>
        </is>
      </c>
      <c r="O1249" s="19" t="n">
        <v>39.99854183197021</v>
      </c>
      <c r="P1249" s="18" t="inlineStr">
        <is>
          <t>KHÔNG ĐỀ XUẤT TĂNG</t>
        </is>
      </c>
      <c r="Q1249" s="17" t="inlineStr">
        <is>
          <t>Có</t>
        </is>
      </c>
      <c r="R1249" s="20" t="n"/>
      <c r="S1249" s="20" t="n"/>
      <c r="T1249" s="21" t="n"/>
      <c r="U1249" s="21" t="n"/>
      <c r="V1249" s="22">
        <f>IF(U1249="A",K1249,IF(U1249="B",L1249,IF(U1249="C",M1249,IF(N1249="A",K1249,IF(N1249="B",L1249,M1249)))))</f>
        <v/>
      </c>
      <c r="W1249" s="22">
        <f>IF(R1249="",O1249,MAX(V1249-R1249-N(S1249),0))</f>
        <v/>
      </c>
      <c r="X1249" s="20" t="n"/>
      <c r="Y1249" s="23">
        <f>IF(OR(X1249="",W1249=0),"",X1249/W1249-1)</f>
        <v/>
      </c>
      <c r="Z1249" s="24" t="n"/>
      <c r="AA1249" s="21" t="n"/>
      <c r="AB1249" s="25" t="n"/>
      <c r="AC1249" s="26">
        <f>IF(T1249="","Chưa quyết định",IF(OR(Z1249="",AA1249=""),"⚠ Thiếu lý do/người duyệt",IF(AND(X1249&lt;&gt;"",N(X1249)+N(R1249)+N(S1249)&gt;M1249*1.001,R1249&lt;&gt;""),"⚠ Vượt mục tiêu P90",IF(AND(Y1249&lt;&gt;"",ABS(N(Y1249))&gt;0.3),"⚠ Lệch &gt; 30% so với nhu cầu",IF(Q1249="Có","ℹ Kiểm tra ngoại suy KM","✓ Hợp lệ")))))</f>
        <v/>
      </c>
    </row>
    <row r="1250">
      <c r="A1250" s="16" t="n">
        <v>1246</v>
      </c>
      <c r="B1250" s="17" t="inlineStr">
        <is>
          <t>DEC-S41-SCHOOL_AND_OFFICE_SUPPLIES</t>
        </is>
      </c>
      <c r="C1250" s="16" t="n">
        <v>41</v>
      </c>
      <c r="D1250" s="17" t="inlineStr">
        <is>
          <t>SCHOOL AND OFFICE SUPPLIES</t>
        </is>
      </c>
      <c r="E1250" s="17" t="inlineStr">
        <is>
          <t>HIGH</t>
        </is>
      </c>
      <c r="F1250" s="17" t="inlineStr">
        <is>
          <t>TRUNG BÌNH</t>
        </is>
      </c>
      <c r="G1250" s="18" t="inlineStr">
        <is>
          <t>RISK_HIGH · PROMO_EXTRAPOLATION</t>
        </is>
      </c>
      <c r="H1250" s="19" t="n">
        <v>0</v>
      </c>
      <c r="I1250" s="19" t="n">
        <v>0</v>
      </c>
      <c r="J1250" s="19" t="n">
        <v>63.99766693115235</v>
      </c>
      <c r="K1250" s="19" t="n">
        <v>0</v>
      </c>
      <c r="L1250" s="19" t="n">
        <v>39.99854183197021</v>
      </c>
      <c r="M1250" s="19" t="n">
        <v>63.99766693115235</v>
      </c>
      <c r="N1250" s="17" t="inlineStr">
        <is>
          <t>B</t>
        </is>
      </c>
      <c r="O1250" s="19" t="n">
        <v>39.99854183197021</v>
      </c>
      <c r="P1250" s="18" t="inlineStr">
        <is>
          <t>KHÔNG ĐỀ XUẤT TĂNG</t>
        </is>
      </c>
      <c r="Q1250" s="17" t="inlineStr">
        <is>
          <t>Có</t>
        </is>
      </c>
      <c r="R1250" s="20" t="n"/>
      <c r="S1250" s="20" t="n"/>
      <c r="T1250" s="21" t="n"/>
      <c r="U1250" s="21" t="n"/>
      <c r="V1250" s="22">
        <f>IF(U1250="A",K1250,IF(U1250="B",L1250,IF(U1250="C",M1250,IF(N1250="A",K1250,IF(N1250="B",L1250,M1250)))))</f>
        <v/>
      </c>
      <c r="W1250" s="22">
        <f>IF(R1250="",O1250,MAX(V1250-R1250-N(S1250),0))</f>
        <v/>
      </c>
      <c r="X1250" s="20" t="n"/>
      <c r="Y1250" s="23">
        <f>IF(OR(X1250="",W1250=0),"",X1250/W1250-1)</f>
        <v/>
      </c>
      <c r="Z1250" s="24" t="n"/>
      <c r="AA1250" s="21" t="n"/>
      <c r="AB1250" s="25" t="n"/>
      <c r="AC1250" s="26">
        <f>IF(T1250="","Chưa quyết định",IF(OR(Z1250="",AA1250=""),"⚠ Thiếu lý do/người duyệt",IF(AND(X1250&lt;&gt;"",N(X1250)+N(R1250)+N(S1250)&gt;M1250*1.001,R1250&lt;&gt;""),"⚠ Vượt mục tiêu P90",IF(AND(Y1250&lt;&gt;"",ABS(N(Y1250))&gt;0.3),"⚠ Lệch &gt; 30% so với nhu cầu",IF(Q1250="Có","ℹ Kiểm tra ngoại suy KM","✓ Hợp lệ")))))</f>
        <v/>
      </c>
    </row>
    <row r="1251">
      <c r="A1251" s="16" t="n">
        <v>1247</v>
      </c>
      <c r="B1251" s="17" t="inlineStr">
        <is>
          <t>DEC-S42-SCHOOL_AND_OFFICE_SUPPLIES</t>
        </is>
      </c>
      <c r="C1251" s="16" t="n">
        <v>42</v>
      </c>
      <c r="D1251" s="17" t="inlineStr">
        <is>
          <t>SCHOOL AND OFFICE SUPPLIES</t>
        </is>
      </c>
      <c r="E1251" s="17" t="inlineStr">
        <is>
          <t>HIGH</t>
        </is>
      </c>
      <c r="F1251" s="17" t="inlineStr">
        <is>
          <t>TRUNG BÌNH</t>
        </is>
      </c>
      <c r="G1251" s="18" t="inlineStr">
        <is>
          <t>RISK_HIGH · PROMO_EXTRAPOLATION</t>
        </is>
      </c>
      <c r="H1251" s="19" t="n">
        <v>0</v>
      </c>
      <c r="I1251" s="19" t="n">
        <v>0</v>
      </c>
      <c r="J1251" s="19" t="n">
        <v>63.99766693115235</v>
      </c>
      <c r="K1251" s="19" t="n">
        <v>0</v>
      </c>
      <c r="L1251" s="19" t="n">
        <v>39.99854183197021</v>
      </c>
      <c r="M1251" s="19" t="n">
        <v>63.99766693115235</v>
      </c>
      <c r="N1251" s="17" t="inlineStr">
        <is>
          <t>B</t>
        </is>
      </c>
      <c r="O1251" s="19" t="n">
        <v>39.99854183197021</v>
      </c>
      <c r="P1251" s="18" t="inlineStr">
        <is>
          <t>KHÔNG ĐỀ XUẤT TĂNG</t>
        </is>
      </c>
      <c r="Q1251" s="17" t="inlineStr">
        <is>
          <t>Có</t>
        </is>
      </c>
      <c r="R1251" s="20" t="n"/>
      <c r="S1251" s="20" t="n"/>
      <c r="T1251" s="21" t="n"/>
      <c r="U1251" s="21" t="n"/>
      <c r="V1251" s="22">
        <f>IF(U1251="A",K1251,IF(U1251="B",L1251,IF(U1251="C",M1251,IF(N1251="A",K1251,IF(N1251="B",L1251,M1251)))))</f>
        <v/>
      </c>
      <c r="W1251" s="22">
        <f>IF(R1251="",O1251,MAX(V1251-R1251-N(S1251),0))</f>
        <v/>
      </c>
      <c r="X1251" s="20" t="n"/>
      <c r="Y1251" s="23">
        <f>IF(OR(X1251="",W1251=0),"",X1251/W1251-1)</f>
        <v/>
      </c>
      <c r="Z1251" s="24" t="n"/>
      <c r="AA1251" s="21" t="n"/>
      <c r="AB1251" s="25" t="n"/>
      <c r="AC1251" s="26">
        <f>IF(T1251="","Chưa quyết định",IF(OR(Z1251="",AA1251=""),"⚠ Thiếu lý do/người duyệt",IF(AND(X1251&lt;&gt;"",N(X1251)+N(R1251)+N(S1251)&gt;M1251*1.001,R1251&lt;&gt;""),"⚠ Vượt mục tiêu P90",IF(AND(Y1251&lt;&gt;"",ABS(N(Y1251))&gt;0.3),"⚠ Lệch &gt; 30% so với nhu cầu",IF(Q1251="Có","ℹ Kiểm tra ngoại suy KM","✓ Hợp lệ")))))</f>
        <v/>
      </c>
    </row>
    <row r="1252">
      <c r="A1252" s="16" t="n">
        <v>1248</v>
      </c>
      <c r="B1252" s="17" t="inlineStr">
        <is>
          <t>DEC-S43-SEAFOOD</t>
        </is>
      </c>
      <c r="C1252" s="16" t="n">
        <v>43</v>
      </c>
      <c r="D1252" s="17" t="inlineStr">
        <is>
          <t>SEAFOOD</t>
        </is>
      </c>
      <c r="E1252" s="17" t="inlineStr">
        <is>
          <t>HIGH</t>
        </is>
      </c>
      <c r="F1252" s="17" t="inlineStr">
        <is>
          <t>TRUNG BÌNH</t>
        </is>
      </c>
      <c r="G1252" s="18" t="inlineStr">
        <is>
          <t>RISK_HIGH · PROMO_EXTRAPOLATION</t>
        </is>
      </c>
      <c r="H1252" s="19" t="n">
        <v>0</v>
      </c>
      <c r="I1252" s="19" t="n">
        <v>0</v>
      </c>
      <c r="J1252" s="19" t="n">
        <v>63.99766693115235</v>
      </c>
      <c r="K1252" s="19" t="n">
        <v>0</v>
      </c>
      <c r="L1252" s="19" t="n">
        <v>39.99854183197021</v>
      </c>
      <c r="M1252" s="19" t="n">
        <v>63.99766693115235</v>
      </c>
      <c r="N1252" s="17" t="inlineStr">
        <is>
          <t>B</t>
        </is>
      </c>
      <c r="O1252" s="19" t="n">
        <v>39.99854183197021</v>
      </c>
      <c r="P1252" s="18" t="inlineStr">
        <is>
          <t>KHÔNG ĐỀ XUẤT TĂNG</t>
        </is>
      </c>
      <c r="Q1252" s="17" t="inlineStr">
        <is>
          <t>Có</t>
        </is>
      </c>
      <c r="R1252" s="20" t="n"/>
      <c r="S1252" s="20" t="n"/>
      <c r="T1252" s="21" t="n"/>
      <c r="U1252" s="21" t="n"/>
      <c r="V1252" s="22">
        <f>IF(U1252="A",K1252,IF(U1252="B",L1252,IF(U1252="C",M1252,IF(N1252="A",K1252,IF(N1252="B",L1252,M1252)))))</f>
        <v/>
      </c>
      <c r="W1252" s="22">
        <f>IF(R1252="",O1252,MAX(V1252-R1252-N(S1252),0))</f>
        <v/>
      </c>
      <c r="X1252" s="20" t="n"/>
      <c r="Y1252" s="23">
        <f>IF(OR(X1252="",W1252=0),"",X1252/W1252-1)</f>
        <v/>
      </c>
      <c r="Z1252" s="24" t="n"/>
      <c r="AA1252" s="21" t="n"/>
      <c r="AB1252" s="25" t="n"/>
      <c r="AC1252" s="26">
        <f>IF(T1252="","Chưa quyết định",IF(OR(Z1252="",AA1252=""),"⚠ Thiếu lý do/người duyệt",IF(AND(X1252&lt;&gt;"",N(X1252)+N(R1252)+N(S1252)&gt;M1252*1.001,R1252&lt;&gt;""),"⚠ Vượt mục tiêu P90",IF(AND(Y1252&lt;&gt;"",ABS(N(Y1252))&gt;0.3),"⚠ Lệch &gt; 30% so với nhu cầu",IF(Q1252="Có","ℹ Kiểm tra ngoại suy KM","✓ Hợp lệ")))))</f>
        <v/>
      </c>
    </row>
    <row r="1253">
      <c r="A1253" s="16" t="n">
        <v>1249</v>
      </c>
      <c r="B1253" s="17" t="inlineStr">
        <is>
          <t>DEC-S53-SCHOOL_AND_OFFICE_SUPPLIES</t>
        </is>
      </c>
      <c r="C1253" s="16" t="n">
        <v>53</v>
      </c>
      <c r="D1253" s="17" t="inlineStr">
        <is>
          <t>SCHOOL AND OFFICE SUPPLIES</t>
        </is>
      </c>
      <c r="E1253" s="17" t="inlineStr">
        <is>
          <t>HIGH</t>
        </is>
      </c>
      <c r="F1253" s="17" t="inlineStr">
        <is>
          <t>TRUNG BÌNH</t>
        </is>
      </c>
      <c r="G1253" s="18" t="inlineStr">
        <is>
          <t>RISK_HIGH · PROMO_EXTRAPOLATION</t>
        </is>
      </c>
      <c r="H1253" s="19" t="n">
        <v>0</v>
      </c>
      <c r="I1253" s="19" t="n">
        <v>0</v>
      </c>
      <c r="J1253" s="19" t="n">
        <v>63.99766693115235</v>
      </c>
      <c r="K1253" s="19" t="n">
        <v>0</v>
      </c>
      <c r="L1253" s="19" t="n">
        <v>39.99854183197021</v>
      </c>
      <c r="M1253" s="19" t="n">
        <v>63.99766693115235</v>
      </c>
      <c r="N1253" s="17" t="inlineStr">
        <is>
          <t>B</t>
        </is>
      </c>
      <c r="O1253" s="19" t="n">
        <v>39.99854183197021</v>
      </c>
      <c r="P1253" s="18" t="inlineStr">
        <is>
          <t>KHÔNG ĐỀ XUẤT TĂNG</t>
        </is>
      </c>
      <c r="Q1253" s="17" t="inlineStr">
        <is>
          <t>Có</t>
        </is>
      </c>
      <c r="R1253" s="20" t="n"/>
      <c r="S1253" s="20" t="n"/>
      <c r="T1253" s="21" t="n"/>
      <c r="U1253" s="21" t="n"/>
      <c r="V1253" s="22">
        <f>IF(U1253="A",K1253,IF(U1253="B",L1253,IF(U1253="C",M1253,IF(N1253="A",K1253,IF(N1253="B",L1253,M1253)))))</f>
        <v/>
      </c>
      <c r="W1253" s="22">
        <f>IF(R1253="",O1253,MAX(V1253-R1253-N(S1253),0))</f>
        <v/>
      </c>
      <c r="X1253" s="20" t="n"/>
      <c r="Y1253" s="23">
        <f>IF(OR(X1253="",W1253=0),"",X1253/W1253-1)</f>
        <v/>
      </c>
      <c r="Z1253" s="24" t="n"/>
      <c r="AA1253" s="21" t="n"/>
      <c r="AB1253" s="25" t="n"/>
      <c r="AC1253" s="26">
        <f>IF(T1253="","Chưa quyết định",IF(OR(Z1253="",AA1253=""),"⚠ Thiếu lý do/người duyệt",IF(AND(X1253&lt;&gt;"",N(X1253)+N(R1253)+N(S1253)&gt;M1253*1.001,R1253&lt;&gt;""),"⚠ Vượt mục tiêu P90",IF(AND(Y1253&lt;&gt;"",ABS(N(Y1253))&gt;0.3),"⚠ Lệch &gt; 30% so với nhu cầu",IF(Q1253="Có","ℹ Kiểm tra ngoại suy KM","✓ Hợp lệ")))))</f>
        <v/>
      </c>
    </row>
    <row r="1254">
      <c r="A1254" s="16" t="n">
        <v>1250</v>
      </c>
      <c r="B1254" s="17" t="inlineStr">
        <is>
          <t>DEC-S54-SCHOOL_AND_OFFICE_SUPPLIES</t>
        </is>
      </c>
      <c r="C1254" s="16" t="n">
        <v>54</v>
      </c>
      <c r="D1254" s="17" t="inlineStr">
        <is>
          <t>SCHOOL AND OFFICE SUPPLIES</t>
        </is>
      </c>
      <c r="E1254" s="17" t="inlineStr">
        <is>
          <t>HIGH</t>
        </is>
      </c>
      <c r="F1254" s="17" t="inlineStr">
        <is>
          <t>TRUNG BÌNH</t>
        </is>
      </c>
      <c r="G1254" s="18" t="inlineStr">
        <is>
          <t>RISK_HIGH · PROMO_EXTRAPOLATION</t>
        </is>
      </c>
      <c r="H1254" s="19" t="n">
        <v>0</v>
      </c>
      <c r="I1254" s="19" t="n">
        <v>0</v>
      </c>
      <c r="J1254" s="19" t="n">
        <v>63.99766693115235</v>
      </c>
      <c r="K1254" s="19" t="n">
        <v>0</v>
      </c>
      <c r="L1254" s="19" t="n">
        <v>39.99854183197021</v>
      </c>
      <c r="M1254" s="19" t="n">
        <v>63.99766693115235</v>
      </c>
      <c r="N1254" s="17" t="inlineStr">
        <is>
          <t>B</t>
        </is>
      </c>
      <c r="O1254" s="19" t="n">
        <v>39.99854183197021</v>
      </c>
      <c r="P1254" s="18" t="inlineStr">
        <is>
          <t>KHÔNG ĐỀ XUẤT TĂNG</t>
        </is>
      </c>
      <c r="Q1254" s="17" t="inlineStr">
        <is>
          <t>Có</t>
        </is>
      </c>
      <c r="R1254" s="20" t="n"/>
      <c r="S1254" s="20" t="n"/>
      <c r="T1254" s="21" t="n"/>
      <c r="U1254" s="21" t="n"/>
      <c r="V1254" s="22">
        <f>IF(U1254="A",K1254,IF(U1254="B",L1254,IF(U1254="C",M1254,IF(N1254="A",K1254,IF(N1254="B",L1254,M1254)))))</f>
        <v/>
      </c>
      <c r="W1254" s="22">
        <f>IF(R1254="",O1254,MAX(V1254-R1254-N(S1254),0))</f>
        <v/>
      </c>
      <c r="X1254" s="20" t="n"/>
      <c r="Y1254" s="23">
        <f>IF(OR(X1254="",W1254=0),"",X1254/W1254-1)</f>
        <v/>
      </c>
      <c r="Z1254" s="24" t="n"/>
      <c r="AA1254" s="21" t="n"/>
      <c r="AB1254" s="25" t="n"/>
      <c r="AC1254" s="26">
        <f>IF(T1254="","Chưa quyết định",IF(OR(Z1254="",AA1254=""),"⚠ Thiếu lý do/người duyệt",IF(AND(X1254&lt;&gt;"",N(X1254)+N(R1254)+N(S1254)&gt;M1254*1.001,R1254&lt;&gt;""),"⚠ Vượt mục tiêu P90",IF(AND(Y1254&lt;&gt;"",ABS(N(Y1254))&gt;0.3),"⚠ Lệch &gt; 30% so với nhu cầu",IF(Q1254="Có","ℹ Kiểm tra ngoại suy KM","✓ Hợp lệ")))))</f>
        <v/>
      </c>
    </row>
    <row r="1255">
      <c r="A1255" s="16" t="n">
        <v>1251</v>
      </c>
      <c r="B1255" s="17" t="inlineStr">
        <is>
          <t>DEC-S22-MEATS</t>
        </is>
      </c>
      <c r="C1255" s="16" t="n">
        <v>22</v>
      </c>
      <c r="D1255" s="17" t="inlineStr">
        <is>
          <t>MEATS</t>
        </is>
      </c>
      <c r="E1255" s="17" t="inlineStr">
        <is>
          <t>HIGH</t>
        </is>
      </c>
      <c r="F1255" s="17" t="inlineStr">
        <is>
          <t>TRUNG BÌNH</t>
        </is>
      </c>
      <c r="G1255" s="18" t="inlineStr">
        <is>
          <t>RISK_HIGH</t>
        </is>
      </c>
      <c r="H1255" s="19" t="n">
        <v>1092.957355499268</v>
      </c>
      <c r="I1255" s="19" t="n">
        <v>1671.038650512695</v>
      </c>
      <c r="J1255" s="19" t="n">
        <v>2352.231752166748</v>
      </c>
      <c r="K1255" s="19" t="n">
        <v>1671.038650512695</v>
      </c>
      <c r="L1255" s="19" t="n">
        <v>2096.784339046478</v>
      </c>
      <c r="M1255" s="19" t="n">
        <v>2352.231752166748</v>
      </c>
      <c r="N1255" s="17" t="inlineStr">
        <is>
          <t>B</t>
        </is>
      </c>
      <c r="O1255" s="19" t="n">
        <v>759.9534186363219</v>
      </c>
      <c r="P1255" s="18" t="inlineStr">
        <is>
          <t>CÂN NHẮC THỬ NGHIỆM</t>
        </is>
      </c>
      <c r="Q1255" s="17" t="inlineStr">
        <is>
          <t>Không</t>
        </is>
      </c>
      <c r="R1255" s="20" t="n"/>
      <c r="S1255" s="20" t="n"/>
      <c r="T1255" s="21" t="n"/>
      <c r="U1255" s="21" t="n"/>
      <c r="V1255" s="22">
        <f>IF(U1255="A",K1255,IF(U1255="B",L1255,IF(U1255="C",M1255,IF(N1255="A",K1255,IF(N1255="B",L1255,M1255)))))</f>
        <v/>
      </c>
      <c r="W1255" s="22">
        <f>IF(R1255="",O1255,MAX(V1255-R1255-N(S1255),0))</f>
        <v/>
      </c>
      <c r="X1255" s="20" t="n"/>
      <c r="Y1255" s="23">
        <f>IF(OR(X1255="",W1255=0),"",X1255/W1255-1)</f>
        <v/>
      </c>
      <c r="Z1255" s="24" t="n"/>
      <c r="AA1255" s="21" t="n"/>
      <c r="AB1255" s="25" t="n"/>
      <c r="AC1255" s="26">
        <f>IF(T1255="","Chưa quyết định",IF(OR(Z1255="",AA1255=""),"⚠ Thiếu lý do/người duyệt",IF(AND(X1255&lt;&gt;"",N(X1255)+N(R1255)+N(S1255)&gt;M1255*1.001,R1255&lt;&gt;""),"⚠ Vượt mục tiêu P90",IF(AND(Y1255&lt;&gt;"",ABS(N(Y1255))&gt;0.3),"⚠ Lệch &gt; 30% so với nhu cầu",IF(Q1255="Có","ℹ Kiểm tra ngoại suy KM","✓ Hợp lệ")))))</f>
        <v/>
      </c>
    </row>
    <row r="1256">
      <c r="A1256" s="16" t="n">
        <v>1252</v>
      </c>
      <c r="B1256" s="17" t="inlineStr">
        <is>
          <t>DEC-S25-HOME_CARE</t>
        </is>
      </c>
      <c r="C1256" s="16" t="n">
        <v>25</v>
      </c>
      <c r="D1256" s="17" t="inlineStr">
        <is>
          <t>HOME CARE</t>
        </is>
      </c>
      <c r="E1256" s="17" t="inlineStr">
        <is>
          <t>HIGH</t>
        </is>
      </c>
      <c r="F1256" s="17" t="inlineStr">
        <is>
          <t>TRUNG BÌNH</t>
        </is>
      </c>
      <c r="G1256" s="18" t="inlineStr">
        <is>
          <t>RISK_HIGH</t>
        </is>
      </c>
      <c r="H1256" s="19" t="n">
        <v>1040.308124542236</v>
      </c>
      <c r="I1256" s="19" t="n">
        <v>1618.389419555664</v>
      </c>
      <c r="J1256" s="19" t="n">
        <v>2299.582521209717</v>
      </c>
      <c r="K1256" s="19" t="n">
        <v>1618.389419555664</v>
      </c>
      <c r="L1256" s="19" t="n">
        <v>2044.135108089447</v>
      </c>
      <c r="M1256" s="19" t="n">
        <v>2299.582521209717</v>
      </c>
      <c r="N1256" s="17" t="inlineStr">
        <is>
          <t>B</t>
        </is>
      </c>
      <c r="O1256" s="19" t="n">
        <v>749.4235724449159</v>
      </c>
      <c r="P1256" s="18" t="inlineStr">
        <is>
          <t>CÂN NHẮC THỬ NGHIỆM</t>
        </is>
      </c>
      <c r="Q1256" s="17" t="inlineStr">
        <is>
          <t>Không</t>
        </is>
      </c>
      <c r="R1256" s="20" t="n"/>
      <c r="S1256" s="20" t="n"/>
      <c r="T1256" s="21" t="n"/>
      <c r="U1256" s="21" t="n"/>
      <c r="V1256" s="22">
        <f>IF(U1256="A",K1256,IF(U1256="B",L1256,IF(U1256="C",M1256,IF(N1256="A",K1256,IF(N1256="B",L1256,M1256)))))</f>
        <v/>
      </c>
      <c r="W1256" s="22">
        <f>IF(R1256="",O1256,MAX(V1256-R1256-N(S1256),0))</f>
        <v/>
      </c>
      <c r="X1256" s="20" t="n"/>
      <c r="Y1256" s="23">
        <f>IF(OR(X1256="",W1256=0),"",X1256/W1256-1)</f>
        <v/>
      </c>
      <c r="Z1256" s="24" t="n"/>
      <c r="AA1256" s="21" t="n"/>
      <c r="AB1256" s="25" t="n"/>
      <c r="AC1256" s="26">
        <f>IF(T1256="","Chưa quyết định",IF(OR(Z1256="",AA1256=""),"⚠ Thiếu lý do/người duyệt",IF(AND(X1256&lt;&gt;"",N(X1256)+N(R1256)+N(S1256)&gt;M1256*1.001,R1256&lt;&gt;""),"⚠ Vượt mục tiêu P90",IF(AND(Y1256&lt;&gt;"",ABS(N(Y1256))&gt;0.3),"⚠ Lệch &gt; 30% so với nhu cầu",IF(Q1256="Có","ℹ Kiểm tra ngoại suy KM","✓ Hợp lệ")))))</f>
        <v/>
      </c>
    </row>
    <row r="1257">
      <c r="A1257" s="16" t="n">
        <v>1253</v>
      </c>
      <c r="B1257" s="17" t="inlineStr">
        <is>
          <t>DEC-S11-PREPARED_FOODS</t>
        </is>
      </c>
      <c r="C1257" s="16" t="n">
        <v>11</v>
      </c>
      <c r="D1257" s="17" t="inlineStr">
        <is>
          <t>PREPARED FOODS</t>
        </is>
      </c>
      <c r="E1257" s="17" t="inlineStr">
        <is>
          <t>HIGH</t>
        </is>
      </c>
      <c r="F1257" s="17" t="inlineStr">
        <is>
          <t>TRUNG BÌNH</t>
        </is>
      </c>
      <c r="G1257" s="18" t="inlineStr">
        <is>
          <t>RISK_HIGH</t>
        </is>
      </c>
      <c r="H1257" s="19" t="n">
        <v>1017.631004333496</v>
      </c>
      <c r="I1257" s="19" t="n">
        <v>1613.955101013184</v>
      </c>
      <c r="J1257" s="19" t="n">
        <v>2312.090775817871</v>
      </c>
      <c r="K1257" s="19" t="n">
        <v>1613.955101013184</v>
      </c>
      <c r="L1257" s="19" t="n">
        <v>2050.289897766113</v>
      </c>
      <c r="M1257" s="19" t="n">
        <v>2312.090775817871</v>
      </c>
      <c r="N1257" s="17" t="inlineStr">
        <is>
          <t>B</t>
        </is>
      </c>
      <c r="O1257" s="19" t="n">
        <v>759.1258169555665</v>
      </c>
      <c r="P1257" s="18" t="inlineStr">
        <is>
          <t>CÂN NHẮC THỬ NGHIỆM</t>
        </is>
      </c>
      <c r="Q1257" s="17" t="inlineStr">
        <is>
          <t>Không</t>
        </is>
      </c>
      <c r="R1257" s="20" t="n"/>
      <c r="S1257" s="20" t="n"/>
      <c r="T1257" s="21" t="n"/>
      <c r="U1257" s="21" t="n"/>
      <c r="V1257" s="22">
        <f>IF(U1257="A",K1257,IF(U1257="B",L1257,IF(U1257="C",M1257,IF(N1257="A",K1257,IF(N1257="B",L1257,M1257)))))</f>
        <v/>
      </c>
      <c r="W1257" s="22">
        <f>IF(R1257="",O1257,MAX(V1257-R1257-N(S1257),0))</f>
        <v/>
      </c>
      <c r="X1257" s="20" t="n"/>
      <c r="Y1257" s="23">
        <f>IF(OR(X1257="",W1257=0),"",X1257/W1257-1)</f>
        <v/>
      </c>
      <c r="Z1257" s="24" t="n"/>
      <c r="AA1257" s="21" t="n"/>
      <c r="AB1257" s="25" t="n"/>
      <c r="AC1257" s="26">
        <f>IF(T1257="","Chưa quyết định",IF(OR(Z1257="",AA1257=""),"⚠ Thiếu lý do/người duyệt",IF(AND(X1257&lt;&gt;"",N(X1257)+N(R1257)+N(S1257)&gt;M1257*1.001,R1257&lt;&gt;""),"⚠ Vượt mục tiêu P90",IF(AND(Y1257&lt;&gt;"",ABS(N(Y1257))&gt;0.3),"⚠ Lệch &gt; 30% so với nhu cầu",IF(Q1257="Có","ℹ Kiểm tra ngoại suy KM","✓ Hợp lệ")))))</f>
        <v/>
      </c>
    </row>
    <row r="1258">
      <c r="A1258" s="16" t="n">
        <v>1254</v>
      </c>
      <c r="B1258" s="17" t="inlineStr">
        <is>
          <t>DEC-S35-DELI</t>
        </is>
      </c>
      <c r="C1258" s="16" t="n">
        <v>35</v>
      </c>
      <c r="D1258" s="17" t="inlineStr">
        <is>
          <t>DELI</t>
        </is>
      </c>
      <c r="E1258" s="17" t="inlineStr">
        <is>
          <t>HIGH</t>
        </is>
      </c>
      <c r="F1258" s="17" t="inlineStr">
        <is>
          <t>TRUNG BÌNH</t>
        </is>
      </c>
      <c r="G1258" s="18" t="inlineStr">
        <is>
          <t>RISK_HIGH</t>
        </is>
      </c>
      <c r="H1258" s="19" t="n">
        <v>1048.746871948242</v>
      </c>
      <c r="I1258" s="19" t="n">
        <v>1608.58536529541</v>
      </c>
      <c r="J1258" s="19" t="n">
        <v>2272.835893798828</v>
      </c>
      <c r="K1258" s="19" t="n">
        <v>1608.58536529541</v>
      </c>
      <c r="L1258" s="19" t="n">
        <v>2023.741945610046</v>
      </c>
      <c r="M1258" s="19" t="n">
        <v>2272.835893798828</v>
      </c>
      <c r="N1258" s="17" t="inlineStr">
        <is>
          <t>B</t>
        </is>
      </c>
      <c r="O1258" s="19" t="n">
        <v>736.8736533737178</v>
      </c>
      <c r="P1258" s="18" t="inlineStr">
        <is>
          <t>CÂN NHẮC THỬ NGHIỆM</t>
        </is>
      </c>
      <c r="Q1258" s="17" t="inlineStr">
        <is>
          <t>Không</t>
        </is>
      </c>
      <c r="R1258" s="20" t="n"/>
      <c r="S1258" s="20" t="n"/>
      <c r="T1258" s="21" t="n"/>
      <c r="U1258" s="21" t="n"/>
      <c r="V1258" s="22">
        <f>IF(U1258="A",K1258,IF(U1258="B",L1258,IF(U1258="C",M1258,IF(N1258="A",K1258,IF(N1258="B",L1258,M1258)))))</f>
        <v/>
      </c>
      <c r="W1258" s="22">
        <f>IF(R1258="",O1258,MAX(V1258-R1258-N(S1258),0))</f>
        <v/>
      </c>
      <c r="X1258" s="20" t="n"/>
      <c r="Y1258" s="23">
        <f>IF(OR(X1258="",W1258=0),"",X1258/W1258-1)</f>
        <v/>
      </c>
      <c r="Z1258" s="24" t="n"/>
      <c r="AA1258" s="21" t="n"/>
      <c r="AB1258" s="25" t="n"/>
      <c r="AC1258" s="26">
        <f>IF(T1258="","Chưa quyết định",IF(OR(Z1258="",AA1258=""),"⚠ Thiếu lý do/người duyệt",IF(AND(X1258&lt;&gt;"",N(X1258)+N(R1258)+N(S1258)&gt;M1258*1.001,R1258&lt;&gt;""),"⚠ Vượt mục tiêu P90",IF(AND(Y1258&lt;&gt;"",ABS(N(Y1258))&gt;0.3),"⚠ Lệch &gt; 30% so với nhu cầu",IF(Q1258="Có","ℹ Kiểm tra ngoại suy KM","✓ Hợp lệ")))))</f>
        <v/>
      </c>
    </row>
    <row r="1259">
      <c r="A1259" s="16" t="n">
        <v>1255</v>
      </c>
      <c r="B1259" s="17" t="inlineStr">
        <is>
          <t>DEC-S35-PERSONAL_CARE</t>
        </is>
      </c>
      <c r="C1259" s="16" t="n">
        <v>35</v>
      </c>
      <c r="D1259" s="17" t="inlineStr">
        <is>
          <t>PERSONAL CARE</t>
        </is>
      </c>
      <c r="E1259" s="17" t="inlineStr">
        <is>
          <t>HIGH</t>
        </is>
      </c>
      <c r="F1259" s="17" t="inlineStr">
        <is>
          <t>TRUNG BÌNH</t>
        </is>
      </c>
      <c r="G1259" s="18" t="inlineStr">
        <is>
          <t>RISK_HIGH</t>
        </is>
      </c>
      <c r="H1259" s="19" t="n">
        <v>978.5592498779296</v>
      </c>
      <c r="I1259" s="19" t="n">
        <v>1501.912139892578</v>
      </c>
      <c r="J1259" s="19" t="n">
        <v>2132.277522094726</v>
      </c>
      <c r="K1259" s="19" t="n">
        <v>1501.912139892578</v>
      </c>
      <c r="L1259" s="19" t="n">
        <v>1895.890503768921</v>
      </c>
      <c r="M1259" s="19" t="n">
        <v>2132.277522094726</v>
      </c>
      <c r="N1259" s="17" t="inlineStr">
        <is>
          <t>B</t>
        </is>
      </c>
      <c r="O1259" s="19" t="n">
        <v>694.3607918548585</v>
      </c>
      <c r="P1259" s="18" t="inlineStr">
        <is>
          <t>CÂN NHẮC THỬ NGHIỆM</t>
        </is>
      </c>
      <c r="Q1259" s="17" t="inlineStr">
        <is>
          <t>Không</t>
        </is>
      </c>
      <c r="R1259" s="20" t="n"/>
      <c r="S1259" s="20" t="n"/>
      <c r="T1259" s="21" t="n"/>
      <c r="U1259" s="21" t="n"/>
      <c r="V1259" s="22">
        <f>IF(U1259="A",K1259,IF(U1259="B",L1259,IF(U1259="C",M1259,IF(N1259="A",K1259,IF(N1259="B",L1259,M1259)))))</f>
        <v/>
      </c>
      <c r="W1259" s="22">
        <f>IF(R1259="",O1259,MAX(V1259-R1259-N(S1259),0))</f>
        <v/>
      </c>
      <c r="X1259" s="20" t="n"/>
      <c r="Y1259" s="23">
        <f>IF(OR(X1259="",W1259=0),"",X1259/W1259-1)</f>
        <v/>
      </c>
      <c r="Z1259" s="24" t="n"/>
      <c r="AA1259" s="21" t="n"/>
      <c r="AB1259" s="25" t="n"/>
      <c r="AC1259" s="26">
        <f>IF(T1259="","Chưa quyết định",IF(OR(Z1259="",AA1259=""),"⚠ Thiếu lý do/người duyệt",IF(AND(X1259&lt;&gt;"",N(X1259)+N(R1259)+N(S1259)&gt;M1259*1.001,R1259&lt;&gt;""),"⚠ Vượt mục tiêu P90",IF(AND(Y1259&lt;&gt;"",ABS(N(Y1259))&gt;0.3),"⚠ Lệch &gt; 30% so với nhu cầu",IF(Q1259="Có","ℹ Kiểm tra ngoại suy KM","✓ Hợp lệ")))))</f>
        <v/>
      </c>
    </row>
    <row r="1260">
      <c r="A1260" s="16" t="n">
        <v>1256</v>
      </c>
      <c r="B1260" s="17" t="inlineStr">
        <is>
          <t>DEC-S03-GROCERY_II</t>
        </is>
      </c>
      <c r="C1260" s="16" t="n">
        <v>3</v>
      </c>
      <c r="D1260" s="17" t="inlineStr">
        <is>
          <t>GROCERY II</t>
        </is>
      </c>
      <c r="E1260" s="17" t="inlineStr">
        <is>
          <t>HIGH</t>
        </is>
      </c>
      <c r="F1260" s="17" t="inlineStr">
        <is>
          <t>TRUNG BÌNH</t>
        </is>
      </c>
      <c r="G1260" s="18" t="inlineStr">
        <is>
          <t>RISK_HIGH</t>
        </is>
      </c>
      <c r="H1260" s="19" t="n">
        <v>961.9721488952636</v>
      </c>
      <c r="I1260" s="19" t="n">
        <v>1467.082237243652</v>
      </c>
      <c r="J1260" s="19" t="n">
        <v>2080.505046295166</v>
      </c>
      <c r="K1260" s="19" t="n">
        <v>1467.082237243652</v>
      </c>
      <c r="L1260" s="19" t="n">
        <v>1850.471492900848</v>
      </c>
      <c r="M1260" s="19" t="n">
        <v>2080.505046295166</v>
      </c>
      <c r="N1260" s="17" t="inlineStr">
        <is>
          <t>B</t>
        </is>
      </c>
      <c r="O1260" s="19" t="n">
        <v>676.8057031059263</v>
      </c>
      <c r="P1260" s="18" t="inlineStr">
        <is>
          <t>CÂN NHẮC THỬ NGHIỆM</t>
        </is>
      </c>
      <c r="Q1260" s="17" t="inlineStr">
        <is>
          <t>Không</t>
        </is>
      </c>
      <c r="R1260" s="20" t="n"/>
      <c r="S1260" s="20" t="n"/>
      <c r="T1260" s="21" t="n"/>
      <c r="U1260" s="21" t="n"/>
      <c r="V1260" s="22">
        <f>IF(U1260="A",K1260,IF(U1260="B",L1260,IF(U1260="C",M1260,IF(N1260="A",K1260,IF(N1260="B",L1260,M1260)))))</f>
        <v/>
      </c>
      <c r="W1260" s="22">
        <f>IF(R1260="",O1260,MAX(V1260-R1260-N(S1260),0))</f>
        <v/>
      </c>
      <c r="X1260" s="20" t="n"/>
      <c r="Y1260" s="23">
        <f>IF(OR(X1260="",W1260=0),"",X1260/W1260-1)</f>
        <v/>
      </c>
      <c r="Z1260" s="24" t="n"/>
      <c r="AA1260" s="21" t="n"/>
      <c r="AB1260" s="25" t="n"/>
      <c r="AC1260" s="26">
        <f>IF(T1260="","Chưa quyết định",IF(OR(Z1260="",AA1260=""),"⚠ Thiếu lý do/người duyệt",IF(AND(X1260&lt;&gt;"",N(X1260)+N(R1260)+N(S1260)&gt;M1260*1.001,R1260&lt;&gt;""),"⚠ Vượt mục tiêu P90",IF(AND(Y1260&lt;&gt;"",ABS(N(Y1260))&gt;0.3),"⚠ Lệch &gt; 30% so với nhu cầu",IF(Q1260="Có","ℹ Kiểm tra ngoại suy KM","✓ Hợp lệ")))))</f>
        <v/>
      </c>
    </row>
    <row r="1261">
      <c r="A1261" s="16" t="n">
        <v>1257</v>
      </c>
      <c r="B1261" s="17" t="inlineStr">
        <is>
          <t>DEC-S47-SCHOOL_AND_OFFICE_SUPPLIES</t>
        </is>
      </c>
      <c r="C1261" s="16" t="n">
        <v>47</v>
      </c>
      <c r="D1261" s="17" t="inlineStr">
        <is>
          <t>SCHOOL AND OFFICE SUPPLIES</t>
        </is>
      </c>
      <c r="E1261" s="17" t="inlineStr">
        <is>
          <t>HIGH</t>
        </is>
      </c>
      <c r="F1261" s="17" t="inlineStr">
        <is>
          <t>TRUNG BÌNH</t>
        </is>
      </c>
      <c r="G1261" s="18" t="inlineStr">
        <is>
          <t>RISK_HIGH</t>
        </is>
      </c>
      <c r="H1261" s="19" t="n">
        <v>917.032371520996</v>
      </c>
      <c r="I1261" s="19" t="n">
        <v>1440.385261535644</v>
      </c>
      <c r="J1261" s="19" t="n">
        <v>2070.750643737793</v>
      </c>
      <c r="K1261" s="19" t="n">
        <v>1440.385261535644</v>
      </c>
      <c r="L1261" s="19" t="n">
        <v>1834.363625411987</v>
      </c>
      <c r="M1261" s="19" t="n">
        <v>2070.750643737793</v>
      </c>
      <c r="N1261" s="17" t="inlineStr">
        <is>
          <t>B</t>
        </is>
      </c>
      <c r="O1261" s="19" t="n">
        <v>682.0554161834716</v>
      </c>
      <c r="P1261" s="18" t="inlineStr">
        <is>
          <t>KHÔNG ĐỀ XUẤT TĂNG</t>
        </is>
      </c>
      <c r="Q1261" s="17" t="inlineStr">
        <is>
          <t>Không</t>
        </is>
      </c>
      <c r="R1261" s="20" t="n"/>
      <c r="S1261" s="20" t="n"/>
      <c r="T1261" s="21" t="n"/>
      <c r="U1261" s="21" t="n"/>
      <c r="V1261" s="22">
        <f>IF(U1261="A",K1261,IF(U1261="B",L1261,IF(U1261="C",M1261,IF(N1261="A",K1261,IF(N1261="B",L1261,M1261)))))</f>
        <v/>
      </c>
      <c r="W1261" s="22">
        <f>IF(R1261="",O1261,MAX(V1261-R1261-N(S1261),0))</f>
        <v/>
      </c>
      <c r="X1261" s="20" t="n"/>
      <c r="Y1261" s="23">
        <f>IF(OR(X1261="",W1261=0),"",X1261/W1261-1)</f>
        <v/>
      </c>
      <c r="Z1261" s="24" t="n"/>
      <c r="AA1261" s="21" t="n"/>
      <c r="AB1261" s="25" t="n"/>
      <c r="AC1261" s="26">
        <f>IF(T1261="","Chưa quyết định",IF(OR(Z1261="",AA1261=""),"⚠ Thiếu lý do/người duyệt",IF(AND(X1261&lt;&gt;"",N(X1261)+N(R1261)+N(S1261)&gt;M1261*1.001,R1261&lt;&gt;""),"⚠ Vượt mục tiêu P90",IF(AND(Y1261&lt;&gt;"",ABS(N(Y1261))&gt;0.3),"⚠ Lệch &gt; 30% so với nhu cầu",IF(Q1261="Có","ℹ Kiểm tra ngoại suy KM","✓ Hợp lệ")))))</f>
        <v/>
      </c>
    </row>
    <row r="1262">
      <c r="A1262" s="16" t="n">
        <v>1258</v>
      </c>
      <c r="B1262" s="17" t="inlineStr">
        <is>
          <t>DEC-S05-EGGS</t>
        </is>
      </c>
      <c r="C1262" s="16" t="n">
        <v>5</v>
      </c>
      <c r="D1262" s="17" t="inlineStr">
        <is>
          <t>EGGS</t>
        </is>
      </c>
      <c r="E1262" s="17" t="inlineStr">
        <is>
          <t>HIGH</t>
        </is>
      </c>
      <c r="F1262" s="17" t="inlineStr">
        <is>
          <t>TRUNG BÌNH</t>
        </is>
      </c>
      <c r="G1262" s="18" t="inlineStr">
        <is>
          <t>RISK_HIGH</t>
        </is>
      </c>
      <c r="H1262" s="19" t="n">
        <v>924.5958671569824</v>
      </c>
      <c r="I1262" s="19" t="n">
        <v>1429.705955505371</v>
      </c>
      <c r="J1262" s="19" t="n">
        <v>2043.128764556885</v>
      </c>
      <c r="K1262" s="19" t="n">
        <v>1429.705955505371</v>
      </c>
      <c r="L1262" s="19" t="n">
        <v>1813.095211162567</v>
      </c>
      <c r="M1262" s="19" t="n">
        <v>2043.128764556885</v>
      </c>
      <c r="N1262" s="17" t="inlineStr">
        <is>
          <t>B</t>
        </is>
      </c>
      <c r="O1262" s="19" t="n">
        <v>669.33044675827</v>
      </c>
      <c r="P1262" s="18" t="inlineStr">
        <is>
          <t>CÂN NHẮC THỬ NGHIỆM</t>
        </is>
      </c>
      <c r="Q1262" s="17" t="inlineStr">
        <is>
          <t>Không</t>
        </is>
      </c>
      <c r="R1262" s="20" t="n"/>
      <c r="S1262" s="20" t="n"/>
      <c r="T1262" s="21" t="n"/>
      <c r="U1262" s="21" t="n"/>
      <c r="V1262" s="22">
        <f>IF(U1262="A",K1262,IF(U1262="B",L1262,IF(U1262="C",M1262,IF(N1262="A",K1262,IF(N1262="B",L1262,M1262)))))</f>
        <v/>
      </c>
      <c r="W1262" s="22">
        <f>IF(R1262="",O1262,MAX(V1262-R1262-N(S1262),0))</f>
        <v/>
      </c>
      <c r="X1262" s="20" t="n"/>
      <c r="Y1262" s="23">
        <f>IF(OR(X1262="",W1262=0),"",X1262/W1262-1)</f>
        <v/>
      </c>
      <c r="Z1262" s="24" t="n"/>
      <c r="AA1262" s="21" t="n"/>
      <c r="AB1262" s="25" t="n"/>
      <c r="AC1262" s="26">
        <f>IF(T1262="","Chưa quyết định",IF(OR(Z1262="",AA1262=""),"⚠ Thiếu lý do/người duyệt",IF(AND(X1262&lt;&gt;"",N(X1262)+N(R1262)+N(S1262)&gt;M1262*1.001,R1262&lt;&gt;""),"⚠ Vượt mục tiêu P90",IF(AND(Y1262&lt;&gt;"",ABS(N(Y1262))&gt;0.3),"⚠ Lệch &gt; 30% so với nhu cầu",IF(Q1262="Có","ℹ Kiểm tra ngoại suy KM","✓ Hợp lệ")))))</f>
        <v/>
      </c>
    </row>
    <row r="1263">
      <c r="A1263" s="16" t="n">
        <v>1259</v>
      </c>
      <c r="B1263" s="17" t="inlineStr">
        <is>
          <t>DEC-S45-HOME_AND_KITCHEN_II</t>
        </is>
      </c>
      <c r="C1263" s="16" t="n">
        <v>45</v>
      </c>
      <c r="D1263" s="17" t="inlineStr">
        <is>
          <t>HOME AND KITCHEN II</t>
        </is>
      </c>
      <c r="E1263" s="17" t="inlineStr">
        <is>
          <t>HIGH</t>
        </is>
      </c>
      <c r="F1263" s="17" t="inlineStr">
        <is>
          <t>TRUNG BÌNH</t>
        </is>
      </c>
      <c r="G1263" s="18" t="inlineStr">
        <is>
          <t>RISK_HIGH</t>
        </is>
      </c>
      <c r="H1263" s="19" t="n">
        <v>890.4409523010254</v>
      </c>
      <c r="I1263" s="19" t="n">
        <v>1395.551040649414</v>
      </c>
      <c r="J1263" s="19" t="n">
        <v>2008.973849700928</v>
      </c>
      <c r="K1263" s="19" t="n">
        <v>1395.551040649414</v>
      </c>
      <c r="L1263" s="19" t="n">
        <v>1778.94029630661</v>
      </c>
      <c r="M1263" s="19" t="n">
        <v>2008.973849700928</v>
      </c>
      <c r="N1263" s="17" t="inlineStr">
        <is>
          <t>B</t>
        </is>
      </c>
      <c r="O1263" s="19" t="n">
        <v>662.4994637870789</v>
      </c>
      <c r="P1263" s="18" t="inlineStr">
        <is>
          <t>CÂN NHẮC THỬ NGHIỆM</t>
        </is>
      </c>
      <c r="Q1263" s="17" t="inlineStr">
        <is>
          <t>Không</t>
        </is>
      </c>
      <c r="R1263" s="20" t="n"/>
      <c r="S1263" s="20" t="n"/>
      <c r="T1263" s="21" t="n"/>
      <c r="U1263" s="21" t="n"/>
      <c r="V1263" s="22">
        <f>IF(U1263="A",K1263,IF(U1263="B",L1263,IF(U1263="C",M1263,IF(N1263="A",K1263,IF(N1263="B",L1263,M1263)))))</f>
        <v/>
      </c>
      <c r="W1263" s="22">
        <f>IF(R1263="",O1263,MAX(V1263-R1263-N(S1263),0))</f>
        <v/>
      </c>
      <c r="X1263" s="20" t="n"/>
      <c r="Y1263" s="23">
        <f>IF(OR(X1263="",W1263=0),"",X1263/W1263-1)</f>
        <v/>
      </c>
      <c r="Z1263" s="24" t="n"/>
      <c r="AA1263" s="21" t="n"/>
      <c r="AB1263" s="25" t="n"/>
      <c r="AC1263" s="26">
        <f>IF(T1263="","Chưa quyết định",IF(OR(Z1263="",AA1263=""),"⚠ Thiếu lý do/người duyệt",IF(AND(X1263&lt;&gt;"",N(X1263)+N(R1263)+N(S1263)&gt;M1263*1.001,R1263&lt;&gt;""),"⚠ Vượt mục tiêu P90",IF(AND(Y1263&lt;&gt;"",ABS(N(Y1263))&gt;0.3),"⚠ Lệch &gt; 30% so với nhu cầu",IF(Q1263="Có","ℹ Kiểm tra ngoại suy KM","✓ Hợp lệ")))))</f>
        <v/>
      </c>
    </row>
    <row r="1264">
      <c r="A1264" s="16" t="n">
        <v>1260</v>
      </c>
      <c r="B1264" s="17" t="inlineStr">
        <is>
          <t>DEC-S14-PREPARED_FOODS</t>
        </is>
      </c>
      <c r="C1264" s="16" t="n">
        <v>14</v>
      </c>
      <c r="D1264" s="17" t="inlineStr">
        <is>
          <t>PREPARED FOODS</t>
        </is>
      </c>
      <c r="E1264" s="17" t="inlineStr">
        <is>
          <t>HIGH</t>
        </is>
      </c>
      <c r="F1264" s="17" t="inlineStr">
        <is>
          <t>TRUNG BÌNH</t>
        </is>
      </c>
      <c r="G1264" s="18" t="inlineStr">
        <is>
          <t>RISK_HIGH</t>
        </is>
      </c>
      <c r="H1264" s="19" t="n">
        <v>845.4599113464355</v>
      </c>
      <c r="I1264" s="19" t="n">
        <v>1350.569999694824</v>
      </c>
      <c r="J1264" s="19" t="n">
        <v>1963.992808746338</v>
      </c>
      <c r="K1264" s="19" t="n">
        <v>1350.569999694824</v>
      </c>
      <c r="L1264" s="19" t="n">
        <v>1733.95925535202</v>
      </c>
      <c r="M1264" s="19" t="n">
        <v>1963.992808746338</v>
      </c>
      <c r="N1264" s="17" t="inlineStr">
        <is>
          <t>B</t>
        </is>
      </c>
      <c r="O1264" s="19" t="n">
        <v>653.5032555961604</v>
      </c>
      <c r="P1264" s="18" t="inlineStr">
        <is>
          <t>CÂN NHẮC THỬ NGHIỆM</t>
        </is>
      </c>
      <c r="Q1264" s="17" t="inlineStr">
        <is>
          <t>Không</t>
        </is>
      </c>
      <c r="R1264" s="20" t="n"/>
      <c r="S1264" s="20" t="n"/>
      <c r="T1264" s="21" t="n"/>
      <c r="U1264" s="21" t="n"/>
      <c r="V1264" s="22">
        <f>IF(U1264="A",K1264,IF(U1264="B",L1264,IF(U1264="C",M1264,IF(N1264="A",K1264,IF(N1264="B",L1264,M1264)))))</f>
        <v/>
      </c>
      <c r="W1264" s="22">
        <f>IF(R1264="",O1264,MAX(V1264-R1264-N(S1264),0))</f>
        <v/>
      </c>
      <c r="X1264" s="20" t="n"/>
      <c r="Y1264" s="23">
        <f>IF(OR(X1264="",W1264=0),"",X1264/W1264-1)</f>
        <v/>
      </c>
      <c r="Z1264" s="24" t="n"/>
      <c r="AA1264" s="21" t="n"/>
      <c r="AB1264" s="25" t="n"/>
      <c r="AC1264" s="26">
        <f>IF(T1264="","Chưa quyết định",IF(OR(Z1264="",AA1264=""),"⚠ Thiếu lý do/người duyệt",IF(AND(X1264&lt;&gt;"",N(X1264)+N(R1264)+N(S1264)&gt;M1264*1.001,R1264&lt;&gt;""),"⚠ Vượt mục tiêu P90",IF(AND(Y1264&lt;&gt;"",ABS(N(Y1264))&gt;0.3),"⚠ Lệch &gt; 30% so với nhu cầu",IF(Q1264="Có","ℹ Kiểm tra ngoại suy KM","✓ Hợp lệ")))))</f>
        <v/>
      </c>
    </row>
    <row r="1265">
      <c r="A1265" s="16" t="n">
        <v>1261</v>
      </c>
      <c r="B1265" s="17" t="inlineStr">
        <is>
          <t>DEC-S47-HOME_AND_KITCHEN_II</t>
        </is>
      </c>
      <c r="C1265" s="16" t="n">
        <v>47</v>
      </c>
      <c r="D1265" s="17" t="inlineStr">
        <is>
          <t>HOME AND KITCHEN II</t>
        </is>
      </c>
      <c r="E1265" s="17" t="inlineStr">
        <is>
          <t>HIGH</t>
        </is>
      </c>
      <c r="F1265" s="17" t="inlineStr">
        <is>
          <t>TRUNG BÌNH</t>
        </is>
      </c>
      <c r="G1265" s="18" t="inlineStr">
        <is>
          <t>RISK_HIGH</t>
        </is>
      </c>
      <c r="H1265" s="19" t="n">
        <v>879.5177421569824</v>
      </c>
      <c r="I1265" s="19" t="n">
        <v>1348.142227172852</v>
      </c>
      <c r="J1265" s="19" t="n">
        <v>1927.679889923096</v>
      </c>
      <c r="K1265" s="19" t="n">
        <v>1348.142227172852</v>
      </c>
      <c r="L1265" s="19" t="n">
        <v>1710.353266391754</v>
      </c>
      <c r="M1265" s="19" t="n">
        <v>1927.679889923096</v>
      </c>
      <c r="N1265" s="17" t="inlineStr">
        <is>
          <t>B</t>
        </is>
      </c>
      <c r="O1265" s="19" t="n">
        <v>631.8394846534729</v>
      </c>
      <c r="P1265" s="18" t="inlineStr">
        <is>
          <t>CÂN NHẮC THỬ NGHIỆM</t>
        </is>
      </c>
      <c r="Q1265" s="17" t="inlineStr">
        <is>
          <t>Không</t>
        </is>
      </c>
      <c r="R1265" s="20" t="n"/>
      <c r="S1265" s="20" t="n"/>
      <c r="T1265" s="21" t="n"/>
      <c r="U1265" s="21" t="n"/>
      <c r="V1265" s="22">
        <f>IF(U1265="A",K1265,IF(U1265="B",L1265,IF(U1265="C",M1265,IF(N1265="A",K1265,IF(N1265="B",L1265,M1265)))))</f>
        <v/>
      </c>
      <c r="W1265" s="22">
        <f>IF(R1265="",O1265,MAX(V1265-R1265-N(S1265),0))</f>
        <v/>
      </c>
      <c r="X1265" s="20" t="n"/>
      <c r="Y1265" s="23">
        <f>IF(OR(X1265="",W1265=0),"",X1265/W1265-1)</f>
        <v/>
      </c>
      <c r="Z1265" s="24" t="n"/>
      <c r="AA1265" s="21" t="n"/>
      <c r="AB1265" s="25" t="n"/>
      <c r="AC1265" s="26">
        <f>IF(T1265="","Chưa quyết định",IF(OR(Z1265="",AA1265=""),"⚠ Thiếu lý do/người duyệt",IF(AND(X1265&lt;&gt;"",N(X1265)+N(R1265)+N(S1265)&gt;M1265*1.001,R1265&lt;&gt;""),"⚠ Vượt mục tiêu P90",IF(AND(Y1265&lt;&gt;"",ABS(N(Y1265))&gt;0.3),"⚠ Lệch &gt; 30% so với nhu cầu",IF(Q1265="Có","ℹ Kiểm tra ngoại suy KM","✓ Hợp lệ")))))</f>
        <v/>
      </c>
    </row>
    <row r="1266">
      <c r="A1266" s="16" t="n">
        <v>1262</v>
      </c>
      <c r="B1266" s="17" t="inlineStr">
        <is>
          <t>DEC-S48-SCHOOL_AND_OFFICE_SUPPLIES</t>
        </is>
      </c>
      <c r="C1266" s="16" t="n">
        <v>48</v>
      </c>
      <c r="D1266" s="17" t="inlineStr">
        <is>
          <t>SCHOOL AND OFFICE SUPPLIES</t>
        </is>
      </c>
      <c r="E1266" s="17" t="inlineStr">
        <is>
          <t>HIGH</t>
        </is>
      </c>
      <c r="F1266" s="17" t="inlineStr">
        <is>
          <t>TRUNG BÌNH</t>
        </is>
      </c>
      <c r="G1266" s="18" t="inlineStr">
        <is>
          <t>RISK_HIGH</t>
        </is>
      </c>
      <c r="H1266" s="19" t="n">
        <v>833.0171318054199</v>
      </c>
      <c r="I1266" s="19" t="n">
        <v>1331.393773078918</v>
      </c>
      <c r="J1266" s="19" t="n">
        <v>1934.817403244018</v>
      </c>
      <c r="K1266" s="19" t="n">
        <v>1331.393773078918</v>
      </c>
      <c r="L1266" s="19" t="n">
        <v>1708.533541932106</v>
      </c>
      <c r="M1266" s="19" t="n">
        <v>1934.817403244018</v>
      </c>
      <c r="N1266" s="17" t="inlineStr">
        <is>
          <t>B</t>
        </is>
      </c>
      <c r="O1266" s="19" t="n">
        <v>643.418523468971</v>
      </c>
      <c r="P1266" s="18" t="inlineStr">
        <is>
          <t>KHÔNG ĐỀ XUẤT TĂNG</t>
        </is>
      </c>
      <c r="Q1266" s="17" t="inlineStr">
        <is>
          <t>Không</t>
        </is>
      </c>
      <c r="R1266" s="20" t="n"/>
      <c r="S1266" s="20" t="n"/>
      <c r="T1266" s="21" t="n"/>
      <c r="U1266" s="21" t="n"/>
      <c r="V1266" s="22">
        <f>IF(U1266="A",K1266,IF(U1266="B",L1266,IF(U1266="C",M1266,IF(N1266="A",K1266,IF(N1266="B",L1266,M1266)))))</f>
        <v/>
      </c>
      <c r="W1266" s="22">
        <f>IF(R1266="",O1266,MAX(V1266-R1266-N(S1266),0))</f>
        <v/>
      </c>
      <c r="X1266" s="20" t="n"/>
      <c r="Y1266" s="23">
        <f>IF(OR(X1266="",W1266=0),"",X1266/W1266-1)</f>
        <v/>
      </c>
      <c r="Z1266" s="24" t="n"/>
      <c r="AA1266" s="21" t="n"/>
      <c r="AB1266" s="25" t="n"/>
      <c r="AC1266" s="26">
        <f>IF(T1266="","Chưa quyết định",IF(OR(Z1266="",AA1266=""),"⚠ Thiếu lý do/người duyệt",IF(AND(X1266&lt;&gt;"",N(X1266)+N(R1266)+N(S1266)&gt;M1266*1.001,R1266&lt;&gt;""),"⚠ Vượt mục tiêu P90",IF(AND(Y1266&lt;&gt;"",ABS(N(Y1266))&gt;0.3),"⚠ Lệch &gt; 30% so với nhu cầu",IF(Q1266="Có","ℹ Kiểm tra ngoại suy KM","✓ Hợp lệ")))))</f>
        <v/>
      </c>
    </row>
    <row r="1267">
      <c r="A1267" s="16" t="n">
        <v>1263</v>
      </c>
      <c r="B1267" s="17" t="inlineStr">
        <is>
          <t>DEC-S42-LIQUOR_WINE_BEER</t>
        </is>
      </c>
      <c r="C1267" s="16" t="n">
        <v>42</v>
      </c>
      <c r="D1267" s="17" t="inlineStr">
        <is>
          <t>LIQUOR,WINE,BEER</t>
        </is>
      </c>
      <c r="E1267" s="17" t="inlineStr">
        <is>
          <t>HIGH</t>
        </is>
      </c>
      <c r="F1267" s="17" t="inlineStr">
        <is>
          <t>TRUNG BÌNH</t>
        </is>
      </c>
      <c r="G1267" s="18" t="inlineStr">
        <is>
          <t>RISK_HIGH</t>
        </is>
      </c>
      <c r="H1267" s="19" t="n">
        <v>880.4458961486816</v>
      </c>
      <c r="I1267" s="19" t="n">
        <v>1330.827579498291</v>
      </c>
      <c r="J1267" s="19" t="n">
        <v>1893.4226690979</v>
      </c>
      <c r="K1267" s="19" t="n">
        <v>1330.827579498291</v>
      </c>
      <c r="L1267" s="19" t="n">
        <v>1682.449510498047</v>
      </c>
      <c r="M1267" s="19" t="n">
        <v>1893.4226690979</v>
      </c>
      <c r="N1267" s="17" t="inlineStr">
        <is>
          <t>B</t>
        </is>
      </c>
      <c r="O1267" s="19" t="n">
        <v>617.7874468994141</v>
      </c>
      <c r="P1267" s="18" t="inlineStr">
        <is>
          <t>CÂN NHẮC THỬ NGHIỆM</t>
        </is>
      </c>
      <c r="Q1267" s="17" t="inlineStr">
        <is>
          <t>Không</t>
        </is>
      </c>
      <c r="R1267" s="20" t="n"/>
      <c r="S1267" s="20" t="n"/>
      <c r="T1267" s="21" t="n"/>
      <c r="U1267" s="21" t="n"/>
      <c r="V1267" s="22">
        <f>IF(U1267="A",K1267,IF(U1267="B",L1267,IF(U1267="C",M1267,IF(N1267="A",K1267,IF(N1267="B",L1267,M1267)))))</f>
        <v/>
      </c>
      <c r="W1267" s="22">
        <f>IF(R1267="",O1267,MAX(V1267-R1267-N(S1267),0))</f>
        <v/>
      </c>
      <c r="X1267" s="20" t="n"/>
      <c r="Y1267" s="23">
        <f>IF(OR(X1267="",W1267=0),"",X1267/W1267-1)</f>
        <v/>
      </c>
      <c r="Z1267" s="24" t="n"/>
      <c r="AA1267" s="21" t="n"/>
      <c r="AB1267" s="25" t="n"/>
      <c r="AC1267" s="26">
        <f>IF(T1267="","Chưa quyết định",IF(OR(Z1267="",AA1267=""),"⚠ Thiếu lý do/người duyệt",IF(AND(X1267&lt;&gt;"",N(X1267)+N(R1267)+N(S1267)&gt;M1267*1.001,R1267&lt;&gt;""),"⚠ Vượt mục tiêu P90",IF(AND(Y1267&lt;&gt;"",ABS(N(Y1267))&gt;0.3),"⚠ Lệch &gt; 30% so với nhu cầu",IF(Q1267="Có","ℹ Kiểm tra ngoại suy KM","✓ Hợp lệ")))))</f>
        <v/>
      </c>
    </row>
    <row r="1268">
      <c r="A1268" s="16" t="n">
        <v>1264</v>
      </c>
      <c r="B1268" s="17" t="inlineStr">
        <is>
          <t>DEC-S32-PERSONAL_CARE</t>
        </is>
      </c>
      <c r="C1268" s="16" t="n">
        <v>32</v>
      </c>
      <c r="D1268" s="17" t="inlineStr">
        <is>
          <t>PERSONAL CARE</t>
        </is>
      </c>
      <c r="E1268" s="17" t="inlineStr">
        <is>
          <t>HIGH</t>
        </is>
      </c>
      <c r="F1268" s="17" t="inlineStr">
        <is>
          <t>TRUNG BÌNH</t>
        </is>
      </c>
      <c r="G1268" s="18" t="inlineStr">
        <is>
          <t>RISK_HIGH</t>
        </is>
      </c>
      <c r="H1268" s="19" t="n">
        <v>871.0791397094727</v>
      </c>
      <c r="I1268" s="19" t="n">
        <v>1321.460823059082</v>
      </c>
      <c r="J1268" s="19" t="n">
        <v>1884.055912658692</v>
      </c>
      <c r="K1268" s="19" t="n">
        <v>1321.460823059082</v>
      </c>
      <c r="L1268" s="19" t="n">
        <v>1673.082754058838</v>
      </c>
      <c r="M1268" s="19" t="n">
        <v>1884.055912658692</v>
      </c>
      <c r="N1268" s="17" t="inlineStr">
        <is>
          <t>B</t>
        </is>
      </c>
      <c r="O1268" s="19" t="n">
        <v>615.9140956115723</v>
      </c>
      <c r="P1268" s="18" t="inlineStr">
        <is>
          <t>CÂN NHẮC THỬ NGHIỆM</t>
        </is>
      </c>
      <c r="Q1268" s="17" t="inlineStr">
        <is>
          <t>Không</t>
        </is>
      </c>
      <c r="R1268" s="20" t="n"/>
      <c r="S1268" s="20" t="n"/>
      <c r="T1268" s="21" t="n"/>
      <c r="U1268" s="21" t="n"/>
      <c r="V1268" s="22">
        <f>IF(U1268="A",K1268,IF(U1268="B",L1268,IF(U1268="C",M1268,IF(N1268="A",K1268,IF(N1268="B",L1268,M1268)))))</f>
        <v/>
      </c>
      <c r="W1268" s="22">
        <f>IF(R1268="",O1268,MAX(V1268-R1268-N(S1268),0))</f>
        <v/>
      </c>
      <c r="X1268" s="20" t="n"/>
      <c r="Y1268" s="23">
        <f>IF(OR(X1268="",W1268=0),"",X1268/W1268-1)</f>
        <v/>
      </c>
      <c r="Z1268" s="24" t="n"/>
      <c r="AA1268" s="21" t="n"/>
      <c r="AB1268" s="25" t="n"/>
      <c r="AC1268" s="26">
        <f>IF(T1268="","Chưa quyết định",IF(OR(Z1268="",AA1268=""),"⚠ Thiếu lý do/người duyệt",IF(AND(X1268&lt;&gt;"",N(X1268)+N(R1268)+N(S1268)&gt;M1268*1.001,R1268&lt;&gt;""),"⚠ Vượt mục tiêu P90",IF(AND(Y1268&lt;&gt;"",ABS(N(Y1268))&gt;0.3),"⚠ Lệch &gt; 30% so với nhu cầu",IF(Q1268="Có","ℹ Kiểm tra ngoại suy KM","✓ Hợp lệ")))))</f>
        <v/>
      </c>
    </row>
    <row r="1269">
      <c r="A1269" s="16" t="n">
        <v>1265</v>
      </c>
      <c r="B1269" s="17" t="inlineStr">
        <is>
          <t>DEC-S50-SCHOOL_AND_OFFICE_SUPPLIES</t>
        </is>
      </c>
      <c r="C1269" s="16" t="n">
        <v>50</v>
      </c>
      <c r="D1269" s="17" t="inlineStr">
        <is>
          <t>SCHOOL AND OFFICE SUPPLIES</t>
        </is>
      </c>
      <c r="E1269" s="17" t="inlineStr">
        <is>
          <t>HIGH</t>
        </is>
      </c>
      <c r="F1269" s="17" t="inlineStr">
        <is>
          <t>TRUNG BÌNH</t>
        </is>
      </c>
      <c r="G1269" s="18" t="inlineStr">
        <is>
          <t>RISK_HIGH</t>
        </is>
      </c>
      <c r="H1269" s="19" t="n">
        <v>795.7730293273926</v>
      </c>
      <c r="I1269" s="19" t="n">
        <v>1274.520973205566</v>
      </c>
      <c r="J1269" s="19" t="n">
        <v>1861.002030220032</v>
      </c>
      <c r="K1269" s="19" t="n">
        <v>1274.520973205566</v>
      </c>
      <c r="L1269" s="19" t="n">
        <v>1641.071633839607</v>
      </c>
      <c r="M1269" s="19" t="n">
        <v>1861.002030220032</v>
      </c>
      <c r="N1269" s="17" t="inlineStr">
        <is>
          <t>B</t>
        </is>
      </c>
      <c r="O1269" s="19" t="n">
        <v>621.4548552751542</v>
      </c>
      <c r="P1269" s="18" t="inlineStr">
        <is>
          <t>KHÔNG ĐỀ XUẤT TĂNG</t>
        </is>
      </c>
      <c r="Q1269" s="17" t="inlineStr">
        <is>
          <t>Không</t>
        </is>
      </c>
      <c r="R1269" s="20" t="n"/>
      <c r="S1269" s="20" t="n"/>
      <c r="T1269" s="21" t="n"/>
      <c r="U1269" s="21" t="n"/>
      <c r="V1269" s="22">
        <f>IF(U1269="A",K1269,IF(U1269="B",L1269,IF(U1269="C",M1269,IF(N1269="A",K1269,IF(N1269="B",L1269,M1269)))))</f>
        <v/>
      </c>
      <c r="W1269" s="22">
        <f>IF(R1269="",O1269,MAX(V1269-R1269-N(S1269),0))</f>
        <v/>
      </c>
      <c r="X1269" s="20" t="n"/>
      <c r="Y1269" s="23">
        <f>IF(OR(X1269="",W1269=0),"",X1269/W1269-1)</f>
        <v/>
      </c>
      <c r="Z1269" s="24" t="n"/>
      <c r="AA1269" s="21" t="n"/>
      <c r="AB1269" s="25" t="n"/>
      <c r="AC1269" s="26">
        <f>IF(T1269="","Chưa quyết định",IF(OR(Z1269="",AA1269=""),"⚠ Thiếu lý do/người duyệt",IF(AND(X1269&lt;&gt;"",N(X1269)+N(R1269)+N(S1269)&gt;M1269*1.001,R1269&lt;&gt;""),"⚠ Vượt mục tiêu P90",IF(AND(Y1269&lt;&gt;"",ABS(N(Y1269))&gt;0.3),"⚠ Lệch &gt; 30% so với nhu cầu",IF(Q1269="Có","ℹ Kiểm tra ngoại suy KM","✓ Hợp lệ")))))</f>
        <v/>
      </c>
    </row>
    <row r="1270">
      <c r="A1270" s="16" t="n">
        <v>1266</v>
      </c>
      <c r="B1270" s="17" t="inlineStr">
        <is>
          <t>DEC-S28-PREPARED_FOODS</t>
        </is>
      </c>
      <c r="C1270" s="16" t="n">
        <v>28</v>
      </c>
      <c r="D1270" s="17" t="inlineStr">
        <is>
          <t>PREPARED FOODS</t>
        </is>
      </c>
      <c r="E1270" s="17" t="inlineStr">
        <is>
          <t>HIGH</t>
        </is>
      </c>
      <c r="F1270" s="17" t="inlineStr">
        <is>
          <t>TRUNG BÌNH</t>
        </is>
      </c>
      <c r="G1270" s="18" t="inlineStr">
        <is>
          <t>RISK_HIGH</t>
        </is>
      </c>
      <c r="H1270" s="19" t="n">
        <v>825.6277122497559</v>
      </c>
      <c r="I1270" s="19" t="n">
        <v>1257.766593933106</v>
      </c>
      <c r="J1270" s="19" t="n">
        <v>1803.41911038208</v>
      </c>
      <c r="K1270" s="19" t="n">
        <v>1257.766593933106</v>
      </c>
      <c r="L1270" s="19" t="n">
        <v>1598.799416713714</v>
      </c>
      <c r="M1270" s="19" t="n">
        <v>1803.41911038208</v>
      </c>
      <c r="N1270" s="17" t="inlineStr">
        <is>
          <t>B</t>
        </is>
      </c>
      <c r="O1270" s="19" t="n">
        <v>592.58614156723</v>
      </c>
      <c r="P1270" s="18" t="inlineStr">
        <is>
          <t>CÂN NHẮC THỬ NGHIỆM</t>
        </is>
      </c>
      <c r="Q1270" s="17" t="inlineStr">
        <is>
          <t>Không</t>
        </is>
      </c>
      <c r="R1270" s="20" t="n"/>
      <c r="S1270" s="20" t="n"/>
      <c r="T1270" s="21" t="n"/>
      <c r="U1270" s="21" t="n"/>
      <c r="V1270" s="22">
        <f>IF(U1270="A",K1270,IF(U1270="B",L1270,IF(U1270="C",M1270,IF(N1270="A",K1270,IF(N1270="B",L1270,M1270)))))</f>
        <v/>
      </c>
      <c r="W1270" s="22">
        <f>IF(R1270="",O1270,MAX(V1270-R1270-N(S1270),0))</f>
        <v/>
      </c>
      <c r="X1270" s="20" t="n"/>
      <c r="Y1270" s="23">
        <f>IF(OR(X1270="",W1270=0),"",X1270/W1270-1)</f>
        <v/>
      </c>
      <c r="Z1270" s="24" t="n"/>
      <c r="AA1270" s="21" t="n"/>
      <c r="AB1270" s="25" t="n"/>
      <c r="AC1270" s="26">
        <f>IF(T1270="","Chưa quyết định",IF(OR(Z1270="",AA1270=""),"⚠ Thiếu lý do/người duyệt",IF(AND(X1270&lt;&gt;"",N(X1270)+N(R1270)+N(S1270)&gt;M1270*1.001,R1270&lt;&gt;""),"⚠ Vượt mục tiêu P90",IF(AND(Y1270&lt;&gt;"",ABS(N(Y1270))&gt;0.3),"⚠ Lệch &gt; 30% so với nhu cầu",IF(Q1270="Có","ℹ Kiểm tra ngoại suy KM","✓ Hợp lệ")))))</f>
        <v/>
      </c>
    </row>
    <row r="1271">
      <c r="A1271" s="16" t="n">
        <v>1267</v>
      </c>
      <c r="B1271" s="17" t="inlineStr">
        <is>
          <t>DEC-S03-SEAFOOD</t>
        </is>
      </c>
      <c r="C1271" s="16" t="n">
        <v>3</v>
      </c>
      <c r="D1271" s="17" t="inlineStr">
        <is>
          <t>SEAFOOD</t>
        </is>
      </c>
      <c r="E1271" s="17" t="inlineStr">
        <is>
          <t>HIGH</t>
        </is>
      </c>
      <c r="F1271" s="17" t="inlineStr">
        <is>
          <t>TRUNG BÌNH</t>
        </is>
      </c>
      <c r="G1271" s="18" t="inlineStr">
        <is>
          <t>RISK_HIGH</t>
        </is>
      </c>
      <c r="H1271" s="19" t="n">
        <v>821.1222114562988</v>
      </c>
      <c r="I1271" s="19" t="n">
        <v>1235.018291473389</v>
      </c>
      <c r="J1271" s="19" t="n">
        <v>1763.728234771728</v>
      </c>
      <c r="K1271" s="19" t="n">
        <v>1235.018291473389</v>
      </c>
      <c r="L1271" s="19" t="n">
        <v>1565.462006034851</v>
      </c>
      <c r="M1271" s="19" t="n">
        <v>1763.728234771728</v>
      </c>
      <c r="N1271" s="17" t="inlineStr">
        <is>
          <t>B</t>
        </is>
      </c>
      <c r="O1271" s="19" t="n">
        <v>577.4473728561403</v>
      </c>
      <c r="P1271" s="18" t="inlineStr">
        <is>
          <t>CÂN NHẮC THỬ NGHIỆM</t>
        </is>
      </c>
      <c r="Q1271" s="17" t="inlineStr">
        <is>
          <t>Không</t>
        </is>
      </c>
      <c r="R1271" s="20" t="n"/>
      <c r="S1271" s="20" t="n"/>
      <c r="T1271" s="21" t="n"/>
      <c r="U1271" s="21" t="n"/>
      <c r="V1271" s="22">
        <f>IF(U1271="A",K1271,IF(U1271="B",L1271,IF(U1271="C",M1271,IF(N1271="A",K1271,IF(N1271="B",L1271,M1271)))))</f>
        <v/>
      </c>
      <c r="W1271" s="22">
        <f>IF(R1271="",O1271,MAX(V1271-R1271-N(S1271),0))</f>
        <v/>
      </c>
      <c r="X1271" s="20" t="n"/>
      <c r="Y1271" s="23">
        <f>IF(OR(X1271="",W1271=0),"",X1271/W1271-1)</f>
        <v/>
      </c>
      <c r="Z1271" s="24" t="n"/>
      <c r="AA1271" s="21" t="n"/>
      <c r="AB1271" s="25" t="n"/>
      <c r="AC1271" s="26">
        <f>IF(T1271="","Chưa quyết định",IF(OR(Z1271="",AA1271=""),"⚠ Thiếu lý do/người duyệt",IF(AND(X1271&lt;&gt;"",N(X1271)+N(R1271)+N(S1271)&gt;M1271*1.001,R1271&lt;&gt;""),"⚠ Vượt mục tiêu P90",IF(AND(Y1271&lt;&gt;"",ABS(N(Y1271))&gt;0.3),"⚠ Lệch &gt; 30% so với nhu cầu",IF(Q1271="Có","ℹ Kiểm tra ngoại suy KM","✓ Hợp lệ")))))</f>
        <v/>
      </c>
    </row>
    <row r="1272">
      <c r="A1272" s="16" t="n">
        <v>1268</v>
      </c>
      <c r="B1272" s="17" t="inlineStr">
        <is>
          <t>DEC-S39-LIQUOR_WINE_BEER</t>
        </is>
      </c>
      <c r="C1272" s="16" t="n">
        <v>39</v>
      </c>
      <c r="D1272" s="17" t="inlineStr">
        <is>
          <t>LIQUOR,WINE,BEER</t>
        </is>
      </c>
      <c r="E1272" s="17" t="inlineStr">
        <is>
          <t>HIGH</t>
        </is>
      </c>
      <c r="F1272" s="17" t="inlineStr">
        <is>
          <t>TRUNG BÌNH</t>
        </is>
      </c>
      <c r="G1272" s="18" t="inlineStr">
        <is>
          <t>RISK_HIGH</t>
        </is>
      </c>
      <c r="H1272" s="19" t="n">
        <v>800.0357856750488</v>
      </c>
      <c r="I1272" s="19" t="n">
        <v>1232.174667358398</v>
      </c>
      <c r="J1272" s="19" t="n">
        <v>1777.827183807373</v>
      </c>
      <c r="K1272" s="19" t="n">
        <v>1232.174667358398</v>
      </c>
      <c r="L1272" s="19" t="n">
        <v>1573.207490139007</v>
      </c>
      <c r="M1272" s="19" t="n">
        <v>1777.827183807373</v>
      </c>
      <c r="N1272" s="17" t="inlineStr">
        <is>
          <t>B</t>
        </is>
      </c>
      <c r="O1272" s="19" t="n">
        <v>587.4677562522886</v>
      </c>
      <c r="P1272" s="18" t="inlineStr">
        <is>
          <t>CÂN NHẮC THỬ NGHIỆM</t>
        </is>
      </c>
      <c r="Q1272" s="17" t="inlineStr">
        <is>
          <t>Không</t>
        </is>
      </c>
      <c r="R1272" s="20" t="n"/>
      <c r="S1272" s="20" t="n"/>
      <c r="T1272" s="21" t="n"/>
      <c r="U1272" s="21" t="n"/>
      <c r="V1272" s="22">
        <f>IF(U1272="A",K1272,IF(U1272="B",L1272,IF(U1272="C",M1272,IF(N1272="A",K1272,IF(N1272="B",L1272,M1272)))))</f>
        <v/>
      </c>
      <c r="W1272" s="22">
        <f>IF(R1272="",O1272,MAX(V1272-R1272-N(S1272),0))</f>
        <v/>
      </c>
      <c r="X1272" s="20" t="n"/>
      <c r="Y1272" s="23">
        <f>IF(OR(X1272="",W1272=0),"",X1272/W1272-1)</f>
        <v/>
      </c>
      <c r="Z1272" s="24" t="n"/>
      <c r="AA1272" s="21" t="n"/>
      <c r="AB1272" s="25" t="n"/>
      <c r="AC1272" s="26">
        <f>IF(T1272="","Chưa quyết định",IF(OR(Z1272="",AA1272=""),"⚠ Thiếu lý do/người duyệt",IF(AND(X1272&lt;&gt;"",N(X1272)+N(R1272)+N(S1272)&gt;M1272*1.001,R1272&lt;&gt;""),"⚠ Vượt mục tiêu P90",IF(AND(Y1272&lt;&gt;"",ABS(N(Y1272))&gt;0.3),"⚠ Lệch &gt; 30% so với nhu cầu",IF(Q1272="Có","ℹ Kiểm tra ngoại suy KM","✓ Hợp lệ")))))</f>
        <v/>
      </c>
    </row>
    <row r="1273">
      <c r="A1273" s="16" t="n">
        <v>1269</v>
      </c>
      <c r="B1273" s="17" t="inlineStr">
        <is>
          <t>DEC-S27-PREPARED_FOODS</t>
        </is>
      </c>
      <c r="C1273" s="16" t="n">
        <v>27</v>
      </c>
      <c r="D1273" s="17" t="inlineStr">
        <is>
          <t>PREPARED FOODS</t>
        </is>
      </c>
      <c r="E1273" s="17" t="inlineStr">
        <is>
          <t>HIGH</t>
        </is>
      </c>
      <c r="F1273" s="17" t="inlineStr">
        <is>
          <t>TRUNG BÌNH</t>
        </is>
      </c>
      <c r="G1273" s="18" t="inlineStr">
        <is>
          <t>RISK_HIGH</t>
        </is>
      </c>
      <c r="H1273" s="19" t="n">
        <v>777.6111106872559</v>
      </c>
      <c r="I1273" s="19" t="n">
        <v>1191.507190704346</v>
      </c>
      <c r="J1273" s="19" t="n">
        <v>1720.217134002685</v>
      </c>
      <c r="K1273" s="19" t="n">
        <v>1191.507190704346</v>
      </c>
      <c r="L1273" s="19" t="n">
        <v>1521.950905265808</v>
      </c>
      <c r="M1273" s="19" t="n">
        <v>1720.217134002685</v>
      </c>
      <c r="N1273" s="17" t="inlineStr">
        <is>
          <t>B</t>
        </is>
      </c>
      <c r="O1273" s="19" t="n">
        <v>568.7451527023316</v>
      </c>
      <c r="P1273" s="18" t="inlineStr">
        <is>
          <t>CÂN NHẮC THỬ NGHIỆM</t>
        </is>
      </c>
      <c r="Q1273" s="17" t="inlineStr">
        <is>
          <t>Không</t>
        </is>
      </c>
      <c r="R1273" s="20" t="n"/>
      <c r="S1273" s="20" t="n"/>
      <c r="T1273" s="21" t="n"/>
      <c r="U1273" s="21" t="n"/>
      <c r="V1273" s="22">
        <f>IF(U1273="A",K1273,IF(U1273="B",L1273,IF(U1273="C",M1273,IF(N1273="A",K1273,IF(N1273="B",L1273,M1273)))))</f>
        <v/>
      </c>
      <c r="W1273" s="22">
        <f>IF(R1273="",O1273,MAX(V1273-R1273-N(S1273),0))</f>
        <v/>
      </c>
      <c r="X1273" s="20" t="n"/>
      <c r="Y1273" s="23">
        <f>IF(OR(X1273="",W1273=0),"",X1273/W1273-1)</f>
        <v/>
      </c>
      <c r="Z1273" s="24" t="n"/>
      <c r="AA1273" s="21" t="n"/>
      <c r="AB1273" s="25" t="n"/>
      <c r="AC1273" s="26">
        <f>IF(T1273="","Chưa quyết định",IF(OR(Z1273="",AA1273=""),"⚠ Thiếu lý do/người duyệt",IF(AND(X1273&lt;&gt;"",N(X1273)+N(R1273)+N(S1273)&gt;M1273*1.001,R1273&lt;&gt;""),"⚠ Vượt mục tiêu P90",IF(AND(Y1273&lt;&gt;"",ABS(N(Y1273))&gt;0.3),"⚠ Lệch &gt; 30% so với nhu cầu",IF(Q1273="Có","ℹ Kiểm tra ngoại suy KM","✓ Hợp lệ")))))</f>
        <v/>
      </c>
    </row>
    <row r="1274">
      <c r="A1274" s="16" t="n">
        <v>1270</v>
      </c>
      <c r="B1274" s="17" t="inlineStr">
        <is>
          <t>DEC-S23-FROZEN_FOODS</t>
        </is>
      </c>
      <c r="C1274" s="16" t="n">
        <v>23</v>
      </c>
      <c r="D1274" s="17" t="inlineStr">
        <is>
          <t>FROZEN FOODS</t>
        </is>
      </c>
      <c r="E1274" s="17" t="inlineStr">
        <is>
          <t>HIGH</t>
        </is>
      </c>
      <c r="F1274" s="17" t="inlineStr">
        <is>
          <t>TRUNG BÌNH</t>
        </is>
      </c>
      <c r="G1274" s="18" t="inlineStr">
        <is>
          <t>RISK_HIGH</t>
        </is>
      </c>
      <c r="H1274" s="19" t="n">
        <v>757.0750389099121</v>
      </c>
      <c r="I1274" s="19" t="n">
        <v>1189.213920593261</v>
      </c>
      <c r="J1274" s="19" t="n">
        <v>1734.866437042236</v>
      </c>
      <c r="K1274" s="19" t="n">
        <v>1189.213920593261</v>
      </c>
      <c r="L1274" s="19" t="n">
        <v>1530.246743373871</v>
      </c>
      <c r="M1274" s="19" t="n">
        <v>1734.866437042236</v>
      </c>
      <c r="N1274" s="17" t="inlineStr">
        <is>
          <t>B</t>
        </is>
      </c>
      <c r="O1274" s="19" t="n">
        <v>578.8756068992612</v>
      </c>
      <c r="P1274" s="18" t="inlineStr">
        <is>
          <t>CÂN NHẮC THỬ NGHIỆM</t>
        </is>
      </c>
      <c r="Q1274" s="17" t="inlineStr">
        <is>
          <t>Không</t>
        </is>
      </c>
      <c r="R1274" s="20" t="n"/>
      <c r="S1274" s="20" t="n"/>
      <c r="T1274" s="21" t="n"/>
      <c r="U1274" s="21" t="n"/>
      <c r="V1274" s="22">
        <f>IF(U1274="A",K1274,IF(U1274="B",L1274,IF(U1274="C",M1274,IF(N1274="A",K1274,IF(N1274="B",L1274,M1274)))))</f>
        <v/>
      </c>
      <c r="W1274" s="22">
        <f>IF(R1274="",O1274,MAX(V1274-R1274-N(S1274),0))</f>
        <v/>
      </c>
      <c r="X1274" s="20" t="n"/>
      <c r="Y1274" s="23">
        <f>IF(OR(X1274="",W1274=0),"",X1274/W1274-1)</f>
        <v/>
      </c>
      <c r="Z1274" s="24" t="n"/>
      <c r="AA1274" s="21" t="n"/>
      <c r="AB1274" s="25" t="n"/>
      <c r="AC1274" s="26">
        <f>IF(T1274="","Chưa quyết định",IF(OR(Z1274="",AA1274=""),"⚠ Thiếu lý do/người duyệt",IF(AND(X1274&lt;&gt;"",N(X1274)+N(R1274)+N(S1274)&gt;M1274*1.001,R1274&lt;&gt;""),"⚠ Vượt mục tiêu P90",IF(AND(Y1274&lt;&gt;"",ABS(N(Y1274))&gt;0.3),"⚠ Lệch &gt; 30% so với nhu cầu",IF(Q1274="Có","ℹ Kiểm tra ngoại suy KM","✓ Hợp lệ")))))</f>
        <v/>
      </c>
    </row>
    <row r="1275">
      <c r="A1275" s="16" t="n">
        <v>1271</v>
      </c>
      <c r="B1275" s="17" t="inlineStr">
        <is>
          <t>DEC-S22-LIQUOR_WINE_BEER</t>
        </is>
      </c>
      <c r="C1275" s="16" t="n">
        <v>22</v>
      </c>
      <c r="D1275" s="17" t="inlineStr">
        <is>
          <t>LIQUOR,WINE,BEER</t>
        </is>
      </c>
      <c r="E1275" s="17" t="inlineStr">
        <is>
          <t>HIGH</t>
        </is>
      </c>
      <c r="F1275" s="17" t="inlineStr">
        <is>
          <t>TRUNG BÌNH</t>
        </is>
      </c>
      <c r="G1275" s="18" t="inlineStr">
        <is>
          <t>RISK_HIGH</t>
        </is>
      </c>
      <c r="H1275" s="19" t="n">
        <v>786.8126106262207</v>
      </c>
      <c r="I1275" s="19" t="n">
        <v>1182.465888977051</v>
      </c>
      <c r="J1275" s="19" t="n">
        <v>1694.233259124756</v>
      </c>
      <c r="K1275" s="19" t="n">
        <v>1182.465888977051</v>
      </c>
      <c r="L1275" s="19" t="n">
        <v>1502.320495319367</v>
      </c>
      <c r="M1275" s="19" t="n">
        <v>1694.233259124756</v>
      </c>
      <c r="N1275" s="17" t="inlineStr">
        <is>
          <t>B</t>
        </is>
      </c>
      <c r="O1275" s="19" t="n">
        <v>556.3477841377259</v>
      </c>
      <c r="P1275" s="18" t="inlineStr">
        <is>
          <t>CÂN NHẮC THỬ NGHIỆM</t>
        </is>
      </c>
      <c r="Q1275" s="17" t="inlineStr">
        <is>
          <t>Không</t>
        </is>
      </c>
      <c r="R1275" s="20" t="n"/>
      <c r="S1275" s="20" t="n"/>
      <c r="T1275" s="21" t="n"/>
      <c r="U1275" s="21" t="n"/>
      <c r="V1275" s="22">
        <f>IF(U1275="A",K1275,IF(U1275="B",L1275,IF(U1275="C",M1275,IF(N1275="A",K1275,IF(N1275="B",L1275,M1275)))))</f>
        <v/>
      </c>
      <c r="W1275" s="22">
        <f>IF(R1275="",O1275,MAX(V1275-R1275-N(S1275),0))</f>
        <v/>
      </c>
      <c r="X1275" s="20" t="n"/>
      <c r="Y1275" s="23">
        <f>IF(OR(X1275="",W1275=0),"",X1275/W1275-1)</f>
        <v/>
      </c>
      <c r="Z1275" s="24" t="n"/>
      <c r="AA1275" s="21" t="n"/>
      <c r="AB1275" s="25" t="n"/>
      <c r="AC1275" s="26">
        <f>IF(T1275="","Chưa quyết định",IF(OR(Z1275="",AA1275=""),"⚠ Thiếu lý do/người duyệt",IF(AND(X1275&lt;&gt;"",N(X1275)+N(R1275)+N(S1275)&gt;M1275*1.001,R1275&lt;&gt;""),"⚠ Vượt mục tiêu P90",IF(AND(Y1275&lt;&gt;"",ABS(N(Y1275))&gt;0.3),"⚠ Lệch &gt; 30% so với nhu cầu",IF(Q1275="Có","ℹ Kiểm tra ngoại suy KM","✓ Hợp lệ")))))</f>
        <v/>
      </c>
    </row>
    <row r="1276">
      <c r="A1276" s="16" t="n">
        <v>1272</v>
      </c>
      <c r="B1276" s="17" t="inlineStr">
        <is>
          <t>DEC-S19-SCHOOL_AND_OFFICE_SUPPLIES</t>
        </is>
      </c>
      <c r="C1276" s="16" t="n">
        <v>19</v>
      </c>
      <c r="D1276" s="17" t="inlineStr">
        <is>
          <t>SCHOOL AND OFFICE SUPPLIES</t>
        </is>
      </c>
      <c r="E1276" s="17" t="inlineStr">
        <is>
          <t>MEDIUM</t>
        </is>
      </c>
      <c r="F1276" s="17" t="inlineStr">
        <is>
          <t>CAO</t>
        </is>
      </c>
      <c r="G1276" s="18" t="inlineStr">
        <is>
          <t>RISK_MEDIUM · PROMO_EXTRAPOLATION</t>
        </is>
      </c>
      <c r="H1276" s="19" t="n">
        <v>819.3817367553711</v>
      </c>
      <c r="I1276" s="19" t="n">
        <v>1154.814041137695</v>
      </c>
      <c r="J1276" s="19" t="n">
        <v>1575.514337497711</v>
      </c>
      <c r="K1276" s="19" t="n">
        <v>1154.814041137695</v>
      </c>
      <c r="L1276" s="19" t="n">
        <v>1417.751726362705</v>
      </c>
      <c r="M1276" s="19" t="n">
        <v>1575.514337497711</v>
      </c>
      <c r="N1276" s="17" t="inlineStr">
        <is>
          <t>C</t>
        </is>
      </c>
      <c r="O1276" s="19" t="n">
        <v>651.6631045875546</v>
      </c>
      <c r="P1276" s="18" t="inlineStr">
        <is>
          <t>CÂN NHẮC THỬ NGHIỆM</t>
        </is>
      </c>
      <c r="Q1276" s="17" t="inlineStr">
        <is>
          <t>Có</t>
        </is>
      </c>
      <c r="R1276" s="20" t="n"/>
      <c r="S1276" s="20" t="n"/>
      <c r="T1276" s="21" t="n"/>
      <c r="U1276" s="21" t="n"/>
      <c r="V1276" s="22">
        <f>IF(U1276="A",K1276,IF(U1276="B",L1276,IF(U1276="C",M1276,IF(N1276="A",K1276,IF(N1276="B",L1276,M1276)))))</f>
        <v/>
      </c>
      <c r="W1276" s="22">
        <f>IF(R1276="",O1276,MAX(V1276-R1276-N(S1276),0))</f>
        <v/>
      </c>
      <c r="X1276" s="20" t="n"/>
      <c r="Y1276" s="23">
        <f>IF(OR(X1276="",W1276=0),"",X1276/W1276-1)</f>
        <v/>
      </c>
      <c r="Z1276" s="24" t="n"/>
      <c r="AA1276" s="21" t="n"/>
      <c r="AB1276" s="25" t="n"/>
      <c r="AC1276" s="26">
        <f>IF(T1276="","Chưa quyết định",IF(OR(Z1276="",AA1276=""),"⚠ Thiếu lý do/người duyệt",IF(AND(X1276&lt;&gt;"",N(X1276)+N(R1276)+N(S1276)&gt;M1276*1.001,R1276&lt;&gt;""),"⚠ Vượt mục tiêu P90",IF(AND(Y1276&lt;&gt;"",ABS(N(Y1276))&gt;0.3),"⚠ Lệch &gt; 30% so với nhu cầu",IF(Q1276="Có","ℹ Kiểm tra ngoại suy KM","✓ Hợp lệ")))))</f>
        <v/>
      </c>
    </row>
    <row r="1277">
      <c r="A1277" s="16" t="n">
        <v>1273</v>
      </c>
      <c r="B1277" s="17" t="inlineStr">
        <is>
          <t>DEC-S32-MEATS</t>
        </is>
      </c>
      <c r="C1277" s="16" t="n">
        <v>32</v>
      </c>
      <c r="D1277" s="17" t="inlineStr">
        <is>
          <t>MEATS</t>
        </is>
      </c>
      <c r="E1277" s="17" t="inlineStr">
        <is>
          <t>HIGH</t>
        </is>
      </c>
      <c r="F1277" s="17" t="inlineStr">
        <is>
          <t>TRUNG BÌNH</t>
        </is>
      </c>
      <c r="G1277" s="18" t="inlineStr">
        <is>
          <t>RISK_HIGH</t>
        </is>
      </c>
      <c r="H1277" s="19" t="n">
        <v>747.8814315795898</v>
      </c>
      <c r="I1277" s="19" t="n">
        <v>1125.29190826416</v>
      </c>
      <c r="J1277" s="19" t="n">
        <v>1620.11670526123</v>
      </c>
      <c r="K1277" s="19" t="n">
        <v>1125.29190826416</v>
      </c>
      <c r="L1277" s="19" t="n">
        <v>1434.557406387329</v>
      </c>
      <c r="M1277" s="19" t="n">
        <v>1620.11670526123</v>
      </c>
      <c r="N1277" s="17" t="inlineStr">
        <is>
          <t>B</t>
        </is>
      </c>
      <c r="O1277" s="19" t="n">
        <v>534.3238797760009</v>
      </c>
      <c r="P1277" s="18" t="inlineStr">
        <is>
          <t>CÂN NHẮC THỬ NGHIỆM</t>
        </is>
      </c>
      <c r="Q1277" s="17" t="inlineStr">
        <is>
          <t>Không</t>
        </is>
      </c>
      <c r="R1277" s="20" t="n"/>
      <c r="S1277" s="20" t="n"/>
      <c r="T1277" s="21" t="n"/>
      <c r="U1277" s="21" t="n"/>
      <c r="V1277" s="22">
        <f>IF(U1277="A",K1277,IF(U1277="B",L1277,IF(U1277="C",M1277,IF(N1277="A",K1277,IF(N1277="B",L1277,M1277)))))</f>
        <v/>
      </c>
      <c r="W1277" s="22">
        <f>IF(R1277="",O1277,MAX(V1277-R1277-N(S1277),0))</f>
        <v/>
      </c>
      <c r="X1277" s="20" t="n"/>
      <c r="Y1277" s="23">
        <f>IF(OR(X1277="",W1277=0),"",X1277/W1277-1)</f>
        <v/>
      </c>
      <c r="Z1277" s="24" t="n"/>
      <c r="AA1277" s="21" t="n"/>
      <c r="AB1277" s="25" t="n"/>
      <c r="AC1277" s="26">
        <f>IF(T1277="","Chưa quyết định",IF(OR(Z1277="",AA1277=""),"⚠ Thiếu lý do/người duyệt",IF(AND(X1277&lt;&gt;"",N(X1277)+N(R1277)+N(S1277)&gt;M1277*1.001,R1277&lt;&gt;""),"⚠ Vượt mục tiêu P90",IF(AND(Y1277&lt;&gt;"",ABS(N(Y1277))&gt;0.3),"⚠ Lệch &gt; 30% so với nhu cầu",IF(Q1277="Có","ℹ Kiểm tra ngoại suy KM","✓ Hợp lệ")))))</f>
        <v/>
      </c>
    </row>
    <row r="1278">
      <c r="A1278" s="16" t="n">
        <v>1274</v>
      </c>
      <c r="B1278" s="17" t="inlineStr">
        <is>
          <t>DEC-S45-HOME_AND_KITCHEN_I</t>
        </is>
      </c>
      <c r="C1278" s="16" t="n">
        <v>45</v>
      </c>
      <c r="D1278" s="17" t="inlineStr">
        <is>
          <t>HOME AND KITCHEN I</t>
        </is>
      </c>
      <c r="E1278" s="17" t="inlineStr">
        <is>
          <t>HIGH</t>
        </is>
      </c>
      <c r="F1278" s="17" t="inlineStr">
        <is>
          <t>TRUNG BÌNH</t>
        </is>
      </c>
      <c r="G1278" s="18" t="inlineStr">
        <is>
          <t>RISK_HIGH</t>
        </is>
      </c>
      <c r="H1278" s="19" t="n">
        <v>727.9112548828125</v>
      </c>
      <c r="I1278" s="19" t="n">
        <v>1105.321731567383</v>
      </c>
      <c r="J1278" s="19" t="n">
        <v>1600.146528564453</v>
      </c>
      <c r="K1278" s="19" t="n">
        <v>1105.321731567383</v>
      </c>
      <c r="L1278" s="19" t="n">
        <v>1414.587229690552</v>
      </c>
      <c r="M1278" s="19" t="n">
        <v>1600.146528564453</v>
      </c>
      <c r="N1278" s="17" t="inlineStr">
        <is>
          <t>B</t>
        </is>
      </c>
      <c r="O1278" s="19" t="n">
        <v>530.3298444366455</v>
      </c>
      <c r="P1278" s="18" t="inlineStr">
        <is>
          <t>CÂN NHẮC THỬ NGHIỆM</t>
        </is>
      </c>
      <c r="Q1278" s="17" t="inlineStr">
        <is>
          <t>Không</t>
        </is>
      </c>
      <c r="R1278" s="20" t="n"/>
      <c r="S1278" s="20" t="n"/>
      <c r="T1278" s="21" t="n"/>
      <c r="U1278" s="21" t="n"/>
      <c r="V1278" s="22">
        <f>IF(U1278="A",K1278,IF(U1278="B",L1278,IF(U1278="C",M1278,IF(N1278="A",K1278,IF(N1278="B",L1278,M1278)))))</f>
        <v/>
      </c>
      <c r="W1278" s="22">
        <f>IF(R1278="",O1278,MAX(V1278-R1278-N(S1278),0))</f>
        <v/>
      </c>
      <c r="X1278" s="20" t="n"/>
      <c r="Y1278" s="23">
        <f>IF(OR(X1278="",W1278=0),"",X1278/W1278-1)</f>
        <v/>
      </c>
      <c r="Z1278" s="24" t="n"/>
      <c r="AA1278" s="21" t="n"/>
      <c r="AB1278" s="25" t="n"/>
      <c r="AC1278" s="26">
        <f>IF(T1278="","Chưa quyết định",IF(OR(Z1278="",AA1278=""),"⚠ Thiếu lý do/người duyệt",IF(AND(X1278&lt;&gt;"",N(X1278)+N(R1278)+N(S1278)&gt;M1278*1.001,R1278&lt;&gt;""),"⚠ Vượt mục tiêu P90",IF(AND(Y1278&lt;&gt;"",ABS(N(Y1278))&gt;0.3),"⚠ Lệch &gt; 30% so với nhu cầu",IF(Q1278="Có","ℹ Kiểm tra ngoại suy KM","✓ Hợp lệ")))))</f>
        <v/>
      </c>
    </row>
    <row r="1279">
      <c r="A1279" s="16" t="n">
        <v>1275</v>
      </c>
      <c r="B1279" s="17" t="inlineStr">
        <is>
          <t>DEC-S38-PREPARED_FOODS</t>
        </is>
      </c>
      <c r="C1279" s="16" t="n">
        <v>38</v>
      </c>
      <c r="D1279" s="17" t="inlineStr">
        <is>
          <t>PREPARED FOODS</t>
        </is>
      </c>
      <c r="E1279" s="17" t="inlineStr">
        <is>
          <t>HIGH</t>
        </is>
      </c>
      <c r="F1279" s="17" t="inlineStr">
        <is>
          <t>TRUNG BÌNH</t>
        </is>
      </c>
      <c r="G1279" s="18" t="inlineStr">
        <is>
          <t>RISK_HIGH</t>
        </is>
      </c>
      <c r="H1279" s="19" t="n">
        <v>706.4880981445312</v>
      </c>
      <c r="I1279" s="19" t="n">
        <v>1102.141376495361</v>
      </c>
      <c r="J1279" s="19" t="n">
        <v>1613.908746643066</v>
      </c>
      <c r="K1279" s="19" t="n">
        <v>1102.141376495361</v>
      </c>
      <c r="L1279" s="19" t="n">
        <v>1421.995982837677</v>
      </c>
      <c r="M1279" s="19" t="n">
        <v>1613.908746643066</v>
      </c>
      <c r="N1279" s="17" t="inlineStr">
        <is>
          <t>B</t>
        </is>
      </c>
      <c r="O1279" s="19" t="n">
        <v>540.2828816413877</v>
      </c>
      <c r="P1279" s="18" t="inlineStr">
        <is>
          <t>CÂN NHẮC THỬ NGHIỆM</t>
        </is>
      </c>
      <c r="Q1279" s="17" t="inlineStr">
        <is>
          <t>Không</t>
        </is>
      </c>
      <c r="R1279" s="20" t="n"/>
      <c r="S1279" s="20" t="n"/>
      <c r="T1279" s="21" t="n"/>
      <c r="U1279" s="21" t="n"/>
      <c r="V1279" s="22">
        <f>IF(U1279="A",K1279,IF(U1279="B",L1279,IF(U1279="C",M1279,IF(N1279="A",K1279,IF(N1279="B",L1279,M1279)))))</f>
        <v/>
      </c>
      <c r="W1279" s="22">
        <f>IF(R1279="",O1279,MAX(V1279-R1279-N(S1279),0))</f>
        <v/>
      </c>
      <c r="X1279" s="20" t="n"/>
      <c r="Y1279" s="23">
        <f>IF(OR(X1279="",W1279=0),"",X1279/W1279-1)</f>
        <v/>
      </c>
      <c r="Z1279" s="24" t="n"/>
      <c r="AA1279" s="21" t="n"/>
      <c r="AB1279" s="25" t="n"/>
      <c r="AC1279" s="26">
        <f>IF(T1279="","Chưa quyết định",IF(OR(Z1279="",AA1279=""),"⚠ Thiếu lý do/người duyệt",IF(AND(X1279&lt;&gt;"",N(X1279)+N(R1279)+N(S1279)&gt;M1279*1.001,R1279&lt;&gt;""),"⚠ Vượt mục tiêu P90",IF(AND(Y1279&lt;&gt;"",ABS(N(Y1279))&gt;0.3),"⚠ Lệch &gt; 30% so với nhu cầu",IF(Q1279="Có","ℹ Kiểm tra ngoại suy KM","✓ Hợp lệ")))))</f>
        <v/>
      </c>
    </row>
    <row r="1280">
      <c r="A1280" s="16" t="n">
        <v>1276</v>
      </c>
      <c r="B1280" s="17" t="inlineStr">
        <is>
          <t>DEC-S54-EGGS</t>
        </is>
      </c>
      <c r="C1280" s="16" t="n">
        <v>54</v>
      </c>
      <c r="D1280" s="17" t="inlineStr">
        <is>
          <t>EGGS</t>
        </is>
      </c>
      <c r="E1280" s="17" t="inlineStr">
        <is>
          <t>HIGH</t>
        </is>
      </c>
      <c r="F1280" s="17" t="inlineStr">
        <is>
          <t>TRUNG BÌNH</t>
        </is>
      </c>
      <c r="G1280" s="18" t="inlineStr">
        <is>
          <t>RISK_HIGH</t>
        </is>
      </c>
      <c r="H1280" s="19" t="n">
        <v>721.6992149353027</v>
      </c>
      <c r="I1280" s="19" t="n">
        <v>1099.109691619873</v>
      </c>
      <c r="J1280" s="19" t="n">
        <v>1593.934488616943</v>
      </c>
      <c r="K1280" s="19" t="n">
        <v>1099.109691619873</v>
      </c>
      <c r="L1280" s="19" t="n">
        <v>1408.375189743042</v>
      </c>
      <c r="M1280" s="19" t="n">
        <v>1593.934488616943</v>
      </c>
      <c r="N1280" s="17" t="inlineStr">
        <is>
          <t>B</t>
        </is>
      </c>
      <c r="O1280" s="19" t="n">
        <v>529.0874364471433</v>
      </c>
      <c r="P1280" s="18" t="inlineStr">
        <is>
          <t>CÂN NHẮC THỬ NGHIỆM</t>
        </is>
      </c>
      <c r="Q1280" s="17" t="inlineStr">
        <is>
          <t>Không</t>
        </is>
      </c>
      <c r="R1280" s="20" t="n"/>
      <c r="S1280" s="20" t="n"/>
      <c r="T1280" s="21" t="n"/>
      <c r="U1280" s="21" t="n"/>
      <c r="V1280" s="22">
        <f>IF(U1280="A",K1280,IF(U1280="B",L1280,IF(U1280="C",M1280,IF(N1280="A",K1280,IF(N1280="B",L1280,M1280)))))</f>
        <v/>
      </c>
      <c r="W1280" s="22">
        <f>IF(R1280="",O1280,MAX(V1280-R1280-N(S1280),0))</f>
        <v/>
      </c>
      <c r="X1280" s="20" t="n"/>
      <c r="Y1280" s="23">
        <f>IF(OR(X1280="",W1280=0),"",X1280/W1280-1)</f>
        <v/>
      </c>
      <c r="Z1280" s="24" t="n"/>
      <c r="AA1280" s="21" t="n"/>
      <c r="AB1280" s="25" t="n"/>
      <c r="AC1280" s="26">
        <f>IF(T1280="","Chưa quyết định",IF(OR(Z1280="",AA1280=""),"⚠ Thiếu lý do/người duyệt",IF(AND(X1280&lt;&gt;"",N(X1280)+N(R1280)+N(S1280)&gt;M1280*1.001,R1280&lt;&gt;""),"⚠ Vượt mục tiêu P90",IF(AND(Y1280&lt;&gt;"",ABS(N(Y1280))&gt;0.3),"⚠ Lệch &gt; 30% so với nhu cầu",IF(Q1280="Có","ℹ Kiểm tra ngoại suy KM","✓ Hợp lệ")))))</f>
        <v/>
      </c>
    </row>
    <row r="1281">
      <c r="A1281" s="16" t="n">
        <v>1277</v>
      </c>
      <c r="B1281" s="17" t="inlineStr">
        <is>
          <t>DEC-S19-EGGS</t>
        </is>
      </c>
      <c r="C1281" s="16" t="n">
        <v>19</v>
      </c>
      <c r="D1281" s="17" t="inlineStr">
        <is>
          <t>EGGS</t>
        </is>
      </c>
      <c r="E1281" s="17" t="inlineStr">
        <is>
          <t>HIGH</t>
        </is>
      </c>
      <c r="F1281" s="17" t="inlineStr">
        <is>
          <t>TRUNG BÌNH</t>
        </is>
      </c>
      <c r="G1281" s="18" t="inlineStr">
        <is>
          <t>RISK_HIGH</t>
        </is>
      </c>
      <c r="H1281" s="19" t="n">
        <v>690.9372100830078</v>
      </c>
      <c r="I1281" s="19" t="n">
        <v>1086.590488433838</v>
      </c>
      <c r="J1281" s="19" t="n">
        <v>1598.357858581543</v>
      </c>
      <c r="K1281" s="19" t="n">
        <v>1086.590488433838</v>
      </c>
      <c r="L1281" s="19" t="n">
        <v>1406.445094776154</v>
      </c>
      <c r="M1281" s="19" t="n">
        <v>1598.357858581543</v>
      </c>
      <c r="N1281" s="17" t="inlineStr">
        <is>
          <t>B</t>
        </is>
      </c>
      <c r="O1281" s="19" t="n">
        <v>537.1727040290832</v>
      </c>
      <c r="P1281" s="18" t="inlineStr">
        <is>
          <t>CÂN NHẮC THỬ NGHIỆM</t>
        </is>
      </c>
      <c r="Q1281" s="17" t="inlineStr">
        <is>
          <t>Không</t>
        </is>
      </c>
      <c r="R1281" s="20" t="n"/>
      <c r="S1281" s="20" t="n"/>
      <c r="T1281" s="21" t="n"/>
      <c r="U1281" s="21" t="n"/>
      <c r="V1281" s="22">
        <f>IF(U1281="A",K1281,IF(U1281="B",L1281,IF(U1281="C",M1281,IF(N1281="A",K1281,IF(N1281="B",L1281,M1281)))))</f>
        <v/>
      </c>
      <c r="W1281" s="22">
        <f>IF(R1281="",O1281,MAX(V1281-R1281-N(S1281),0))</f>
        <v/>
      </c>
      <c r="X1281" s="20" t="n"/>
      <c r="Y1281" s="23">
        <f>IF(OR(X1281="",W1281=0),"",X1281/W1281-1)</f>
        <v/>
      </c>
      <c r="Z1281" s="24" t="n"/>
      <c r="AA1281" s="21" t="n"/>
      <c r="AB1281" s="25" t="n"/>
      <c r="AC1281" s="26">
        <f>IF(T1281="","Chưa quyết định",IF(OR(Z1281="",AA1281=""),"⚠ Thiếu lý do/người duyệt",IF(AND(X1281&lt;&gt;"",N(X1281)+N(R1281)+N(S1281)&gt;M1281*1.001,R1281&lt;&gt;""),"⚠ Vượt mục tiêu P90",IF(AND(Y1281&lt;&gt;"",ABS(N(Y1281))&gt;0.3),"⚠ Lệch &gt; 30% so với nhu cầu",IF(Q1281="Có","ℹ Kiểm tra ngoại suy KM","✓ Hợp lệ")))))</f>
        <v/>
      </c>
    </row>
    <row r="1282">
      <c r="A1282" s="16" t="n">
        <v>1278</v>
      </c>
      <c r="B1282" s="17" t="inlineStr">
        <is>
          <t>DEC-S16-POULTRY</t>
        </is>
      </c>
      <c r="C1282" s="16" t="n">
        <v>16</v>
      </c>
      <c r="D1282" s="17" t="inlineStr">
        <is>
          <t>POULTRY</t>
        </is>
      </c>
      <c r="E1282" s="17" t="inlineStr">
        <is>
          <t>HIGH</t>
        </is>
      </c>
      <c r="F1282" s="17" t="inlineStr">
        <is>
          <t>TRUNG BÌNH</t>
        </is>
      </c>
      <c r="G1282" s="18" t="inlineStr">
        <is>
          <t>RISK_HIGH</t>
        </is>
      </c>
      <c r="H1282" s="19" t="n">
        <v>694.6124496459961</v>
      </c>
      <c r="I1282" s="19" t="n">
        <v>1072.022926330566</v>
      </c>
      <c r="J1282" s="19" t="n">
        <v>1566.847723327637</v>
      </c>
      <c r="K1282" s="19" t="n">
        <v>1072.022926330566</v>
      </c>
      <c r="L1282" s="19" t="n">
        <v>1381.288424453735</v>
      </c>
      <c r="M1282" s="19" t="n">
        <v>1566.847723327637</v>
      </c>
      <c r="N1282" s="17" t="inlineStr">
        <is>
          <t>B</t>
        </is>
      </c>
      <c r="O1282" s="19" t="n">
        <v>523.6700833892822</v>
      </c>
      <c r="P1282" s="18" t="inlineStr">
        <is>
          <t>CÂN NHẮC THỬ NGHIỆM</t>
        </is>
      </c>
      <c r="Q1282" s="17" t="inlineStr">
        <is>
          <t>Không</t>
        </is>
      </c>
      <c r="R1282" s="20" t="n"/>
      <c r="S1282" s="20" t="n"/>
      <c r="T1282" s="21" t="n"/>
      <c r="U1282" s="21" t="n"/>
      <c r="V1282" s="22">
        <f>IF(U1282="A",K1282,IF(U1282="B",L1282,IF(U1282="C",M1282,IF(N1282="A",K1282,IF(N1282="B",L1282,M1282)))))</f>
        <v/>
      </c>
      <c r="W1282" s="22">
        <f>IF(R1282="",O1282,MAX(V1282-R1282-N(S1282),0))</f>
        <v/>
      </c>
      <c r="X1282" s="20" t="n"/>
      <c r="Y1282" s="23">
        <f>IF(OR(X1282="",W1282=0),"",X1282/W1282-1)</f>
        <v/>
      </c>
      <c r="Z1282" s="24" t="n"/>
      <c r="AA1282" s="21" t="n"/>
      <c r="AB1282" s="25" t="n"/>
      <c r="AC1282" s="26">
        <f>IF(T1282="","Chưa quyết định",IF(OR(Z1282="",AA1282=""),"⚠ Thiếu lý do/người duyệt",IF(AND(X1282&lt;&gt;"",N(X1282)+N(R1282)+N(S1282)&gt;M1282*1.001,R1282&lt;&gt;""),"⚠ Vượt mục tiêu P90",IF(AND(Y1282&lt;&gt;"",ABS(N(Y1282))&gt;0.3),"⚠ Lệch &gt; 30% so với nhu cầu",IF(Q1282="Có","ℹ Kiểm tra ngoại suy KM","✓ Hợp lệ")))))</f>
        <v/>
      </c>
    </row>
    <row r="1283">
      <c r="A1283" s="16" t="n">
        <v>1279</v>
      </c>
      <c r="B1283" s="17" t="inlineStr">
        <is>
          <t>DEC-S49-SEAFOOD</t>
        </is>
      </c>
      <c r="C1283" s="16" t="n">
        <v>49</v>
      </c>
      <c r="D1283" s="17" t="inlineStr">
        <is>
          <t>SEAFOOD</t>
        </is>
      </c>
      <c r="E1283" s="17" t="inlineStr">
        <is>
          <t>HIGH</t>
        </is>
      </c>
      <c r="F1283" s="17" t="inlineStr">
        <is>
          <t>TRUNG BÌNH</t>
        </is>
      </c>
      <c r="G1283" s="18" t="inlineStr">
        <is>
          <t>RISK_HIGH</t>
        </is>
      </c>
      <c r="H1283" s="19" t="n">
        <v>712.3823585510254</v>
      </c>
      <c r="I1283" s="19" t="n">
        <v>1071.550033569336</v>
      </c>
      <c r="J1283" s="19" t="n">
        <v>1549.432257415771</v>
      </c>
      <c r="K1283" s="19" t="n">
        <v>1071.550033569336</v>
      </c>
      <c r="L1283" s="19" t="n">
        <v>1370.226423473358</v>
      </c>
      <c r="M1283" s="19" t="n">
        <v>1549.432257415771</v>
      </c>
      <c r="N1283" s="17" t="inlineStr">
        <is>
          <t>B</t>
        </is>
      </c>
      <c r="O1283" s="19" t="n">
        <v>512.9863966178891</v>
      </c>
      <c r="P1283" s="18" t="inlineStr">
        <is>
          <t>CÂN NHẮC THỬ NGHIỆM</t>
        </is>
      </c>
      <c r="Q1283" s="17" t="inlineStr">
        <is>
          <t>Không</t>
        </is>
      </c>
      <c r="R1283" s="20" t="n"/>
      <c r="S1283" s="20" t="n"/>
      <c r="T1283" s="21" t="n"/>
      <c r="U1283" s="21" t="n"/>
      <c r="V1283" s="22">
        <f>IF(U1283="A",K1283,IF(U1283="B",L1283,IF(U1283="C",M1283,IF(N1283="A",K1283,IF(N1283="B",L1283,M1283)))))</f>
        <v/>
      </c>
      <c r="W1283" s="22">
        <f>IF(R1283="",O1283,MAX(V1283-R1283-N(S1283),0))</f>
        <v/>
      </c>
      <c r="X1283" s="20" t="n"/>
      <c r="Y1283" s="23">
        <f>IF(OR(X1283="",W1283=0),"",X1283/W1283-1)</f>
        <v/>
      </c>
      <c r="Z1283" s="24" t="n"/>
      <c r="AA1283" s="21" t="n"/>
      <c r="AB1283" s="25" t="n"/>
      <c r="AC1283" s="26">
        <f>IF(T1283="","Chưa quyết định",IF(OR(Z1283="",AA1283=""),"⚠ Thiếu lý do/người duyệt",IF(AND(X1283&lt;&gt;"",N(X1283)+N(R1283)+N(S1283)&gt;M1283*1.001,R1283&lt;&gt;""),"⚠ Vượt mục tiêu P90",IF(AND(Y1283&lt;&gt;"",ABS(N(Y1283))&gt;0.3),"⚠ Lệch &gt; 30% so với nhu cầu",IF(Q1283="Có","ℹ Kiểm tra ngoại suy KM","✓ Hợp lệ")))))</f>
        <v/>
      </c>
    </row>
    <row r="1284">
      <c r="A1284" s="16" t="n">
        <v>1280</v>
      </c>
      <c r="B1284" s="17" t="inlineStr">
        <is>
          <t>DEC-S50-PREPARED_FOODS</t>
        </is>
      </c>
      <c r="C1284" s="16" t="n">
        <v>50</v>
      </c>
      <c r="D1284" s="17" t="inlineStr">
        <is>
          <t>PREPARED FOODS</t>
        </is>
      </c>
      <c r="E1284" s="17" t="inlineStr">
        <is>
          <t>HIGH</t>
        </is>
      </c>
      <c r="F1284" s="17" t="inlineStr">
        <is>
          <t>TRUNG BÌNH</t>
        </is>
      </c>
      <c r="G1284" s="18" t="inlineStr">
        <is>
          <t>RISK_HIGH</t>
        </is>
      </c>
      <c r="H1284" s="19" t="n">
        <v>689.702392578125</v>
      </c>
      <c r="I1284" s="19" t="n">
        <v>1067.112869262695</v>
      </c>
      <c r="J1284" s="19" t="n">
        <v>1561.937666259766</v>
      </c>
      <c r="K1284" s="19" t="n">
        <v>1067.112869262695</v>
      </c>
      <c r="L1284" s="19" t="n">
        <v>1376.378367385864</v>
      </c>
      <c r="M1284" s="19" t="n">
        <v>1561.937666259766</v>
      </c>
      <c r="N1284" s="17" t="inlineStr">
        <is>
          <t>B</t>
        </is>
      </c>
      <c r="O1284" s="19" t="n">
        <v>522.688071975708</v>
      </c>
      <c r="P1284" s="18" t="inlineStr">
        <is>
          <t>CÂN NHẮC THỬ NGHIỆM</t>
        </is>
      </c>
      <c r="Q1284" s="17" t="inlineStr">
        <is>
          <t>Không</t>
        </is>
      </c>
      <c r="R1284" s="20" t="n"/>
      <c r="S1284" s="20" t="n"/>
      <c r="T1284" s="21" t="n"/>
      <c r="U1284" s="21" t="n"/>
      <c r="V1284" s="22">
        <f>IF(U1284="A",K1284,IF(U1284="B",L1284,IF(U1284="C",M1284,IF(N1284="A",K1284,IF(N1284="B",L1284,M1284)))))</f>
        <v/>
      </c>
      <c r="W1284" s="22">
        <f>IF(R1284="",O1284,MAX(V1284-R1284-N(S1284),0))</f>
        <v/>
      </c>
      <c r="X1284" s="20" t="n"/>
      <c r="Y1284" s="23">
        <f>IF(OR(X1284="",W1284=0),"",X1284/W1284-1)</f>
        <v/>
      </c>
      <c r="Z1284" s="24" t="n"/>
      <c r="AA1284" s="21" t="n"/>
      <c r="AB1284" s="25" t="n"/>
      <c r="AC1284" s="26">
        <f>IF(T1284="","Chưa quyết định",IF(OR(Z1284="",AA1284=""),"⚠ Thiếu lý do/người duyệt",IF(AND(X1284&lt;&gt;"",N(X1284)+N(R1284)+N(S1284)&gt;M1284*1.001,R1284&lt;&gt;""),"⚠ Vượt mục tiêu P90",IF(AND(Y1284&lt;&gt;"",ABS(N(Y1284))&gt;0.3),"⚠ Lệch &gt; 30% so với nhu cầu",IF(Q1284="Có","ℹ Kiểm tra ngoại suy KM","✓ Hợp lệ")))))</f>
        <v/>
      </c>
    </row>
    <row r="1285">
      <c r="A1285" s="16" t="n">
        <v>1281</v>
      </c>
      <c r="B1285" s="17" t="inlineStr">
        <is>
          <t>DEC-S34-FROZEN_FOODS</t>
        </is>
      </c>
      <c r="C1285" s="16" t="n">
        <v>34</v>
      </c>
      <c r="D1285" s="17" t="inlineStr">
        <is>
          <t>FROZEN FOODS</t>
        </is>
      </c>
      <c r="E1285" s="17" t="inlineStr">
        <is>
          <t>HIGH</t>
        </is>
      </c>
      <c r="F1285" s="17" t="inlineStr">
        <is>
          <t>TRUNG BÌNH</t>
        </is>
      </c>
      <c r="G1285" s="18" t="inlineStr">
        <is>
          <t>RISK_HIGH</t>
        </is>
      </c>
      <c r="H1285" s="19" t="n">
        <v>705.4780426025391</v>
      </c>
      <c r="I1285" s="19" t="n">
        <v>1064.64571762085</v>
      </c>
      <c r="J1285" s="19" t="n">
        <v>1542.527941467285</v>
      </c>
      <c r="K1285" s="19" t="n">
        <v>1064.64571762085</v>
      </c>
      <c r="L1285" s="19" t="n">
        <v>1363.322107524872</v>
      </c>
      <c r="M1285" s="19" t="n">
        <v>1542.527941467285</v>
      </c>
      <c r="N1285" s="17" t="inlineStr">
        <is>
          <t>B</t>
        </is>
      </c>
      <c r="O1285" s="19" t="n">
        <v>511.6055334281919</v>
      </c>
      <c r="P1285" s="18" t="inlineStr">
        <is>
          <t>CÂN NHẮC THỬ NGHIỆM</t>
        </is>
      </c>
      <c r="Q1285" s="17" t="inlineStr">
        <is>
          <t>Không</t>
        </is>
      </c>
      <c r="R1285" s="20" t="n"/>
      <c r="S1285" s="20" t="n"/>
      <c r="T1285" s="21" t="n"/>
      <c r="U1285" s="21" t="n"/>
      <c r="V1285" s="22">
        <f>IF(U1285="A",K1285,IF(U1285="B",L1285,IF(U1285="C",M1285,IF(N1285="A",K1285,IF(N1285="B",L1285,M1285)))))</f>
        <v/>
      </c>
      <c r="W1285" s="22">
        <f>IF(R1285="",O1285,MAX(V1285-R1285-N(S1285),0))</f>
        <v/>
      </c>
      <c r="X1285" s="20" t="n"/>
      <c r="Y1285" s="23">
        <f>IF(OR(X1285="",W1285=0),"",X1285/W1285-1)</f>
        <v/>
      </c>
      <c r="Z1285" s="24" t="n"/>
      <c r="AA1285" s="21" t="n"/>
      <c r="AB1285" s="25" t="n"/>
      <c r="AC1285" s="26">
        <f>IF(T1285="","Chưa quyết định",IF(OR(Z1285="",AA1285=""),"⚠ Thiếu lý do/người duyệt",IF(AND(X1285&lt;&gt;"",N(X1285)+N(R1285)+N(S1285)&gt;M1285*1.001,R1285&lt;&gt;""),"⚠ Vượt mục tiêu P90",IF(AND(Y1285&lt;&gt;"",ABS(N(Y1285))&gt;0.3),"⚠ Lệch &gt; 30% so với nhu cầu",IF(Q1285="Có","ℹ Kiểm tra ngoại suy KM","✓ Hợp lệ")))))</f>
        <v/>
      </c>
    </row>
    <row r="1286">
      <c r="A1286" s="16" t="n">
        <v>1282</v>
      </c>
      <c r="B1286" s="17" t="inlineStr">
        <is>
          <t>DEC-S30-MEATS</t>
        </is>
      </c>
      <c r="C1286" s="16" t="n">
        <v>30</v>
      </c>
      <c r="D1286" s="17" t="inlineStr">
        <is>
          <t>MEATS</t>
        </is>
      </c>
      <c r="E1286" s="17" t="inlineStr">
        <is>
          <t>HIGH</t>
        </is>
      </c>
      <c r="F1286" s="17" t="inlineStr">
        <is>
          <t>TRUNG BÌNH</t>
        </is>
      </c>
      <c r="G1286" s="18" t="inlineStr">
        <is>
          <t>RISK_HIGH</t>
        </is>
      </c>
      <c r="H1286" s="19" t="n">
        <v>719.7064399719238</v>
      </c>
      <c r="I1286" s="19" t="n">
        <v>1060.631313323975</v>
      </c>
      <c r="J1286" s="19" t="n">
        <v>1521.570964019775</v>
      </c>
      <c r="K1286" s="19" t="n">
        <v>1060.631313323975</v>
      </c>
      <c r="L1286" s="19" t="n">
        <v>1348.71859500885</v>
      </c>
      <c r="M1286" s="19" t="n">
        <v>1521.570964019775</v>
      </c>
      <c r="N1286" s="17" t="inlineStr">
        <is>
          <t>B</t>
        </is>
      </c>
      <c r="O1286" s="19" t="n">
        <v>500.2135443496704</v>
      </c>
      <c r="P1286" s="18" t="inlineStr">
        <is>
          <t>CÂN NHẮC THỬ NGHIỆM</t>
        </is>
      </c>
      <c r="Q1286" s="17" t="inlineStr">
        <is>
          <t>Không</t>
        </is>
      </c>
      <c r="R1286" s="20" t="n"/>
      <c r="S1286" s="20" t="n"/>
      <c r="T1286" s="21" t="n"/>
      <c r="U1286" s="21" t="n"/>
      <c r="V1286" s="22">
        <f>IF(U1286="A",K1286,IF(U1286="B",L1286,IF(U1286="C",M1286,IF(N1286="A",K1286,IF(N1286="B",L1286,M1286)))))</f>
        <v/>
      </c>
      <c r="W1286" s="22">
        <f>IF(R1286="",O1286,MAX(V1286-R1286-N(S1286),0))</f>
        <v/>
      </c>
      <c r="X1286" s="20" t="n"/>
      <c r="Y1286" s="23">
        <f>IF(OR(X1286="",W1286=0),"",X1286/W1286-1)</f>
        <v/>
      </c>
      <c r="Z1286" s="24" t="n"/>
      <c r="AA1286" s="21" t="n"/>
      <c r="AB1286" s="25" t="n"/>
      <c r="AC1286" s="26">
        <f>IF(T1286="","Chưa quyết định",IF(OR(Z1286="",AA1286=""),"⚠ Thiếu lý do/người duyệt",IF(AND(X1286&lt;&gt;"",N(X1286)+N(R1286)+N(S1286)&gt;M1286*1.001,R1286&lt;&gt;""),"⚠ Vượt mục tiêu P90",IF(AND(Y1286&lt;&gt;"",ABS(N(Y1286))&gt;0.3),"⚠ Lệch &gt; 30% so với nhu cầu",IF(Q1286="Có","ℹ Kiểm tra ngoại suy KM","✓ Hợp lệ")))))</f>
        <v/>
      </c>
    </row>
    <row r="1287">
      <c r="A1287" s="16" t="n">
        <v>1283</v>
      </c>
      <c r="B1287" s="17" t="inlineStr">
        <is>
          <t>DEC-S18-FROZEN_FOODS</t>
        </is>
      </c>
      <c r="C1287" s="16" t="n">
        <v>18</v>
      </c>
      <c r="D1287" s="17" t="inlineStr">
        <is>
          <t>FROZEN FOODS</t>
        </is>
      </c>
      <c r="E1287" s="17" t="inlineStr">
        <is>
          <t>HIGH</t>
        </is>
      </c>
      <c r="F1287" s="17" t="inlineStr">
        <is>
          <t>TRUNG BÌNH</t>
        </is>
      </c>
      <c r="G1287" s="18" t="inlineStr">
        <is>
          <t>RISK_HIGH</t>
        </is>
      </c>
      <c r="H1287" s="19" t="n">
        <v>700.832405090332</v>
      </c>
      <c r="I1287" s="19" t="n">
        <v>1060.000080108643</v>
      </c>
      <c r="J1287" s="19" t="n">
        <v>1537.882303955078</v>
      </c>
      <c r="K1287" s="19" t="n">
        <v>1060.000080108643</v>
      </c>
      <c r="L1287" s="19" t="n">
        <v>1358.676470012665</v>
      </c>
      <c r="M1287" s="19" t="n">
        <v>1537.882303955078</v>
      </c>
      <c r="N1287" s="17" t="inlineStr">
        <is>
          <t>B</t>
        </is>
      </c>
      <c r="O1287" s="19" t="n">
        <v>510.6764059257505</v>
      </c>
      <c r="P1287" s="18" t="inlineStr">
        <is>
          <t>CÂN NHẮC THỬ NGHIỆM</t>
        </is>
      </c>
      <c r="Q1287" s="17" t="inlineStr">
        <is>
          <t>Không</t>
        </is>
      </c>
      <c r="R1287" s="20" t="n"/>
      <c r="S1287" s="20" t="n"/>
      <c r="T1287" s="21" t="n"/>
      <c r="U1287" s="21" t="n"/>
      <c r="V1287" s="22">
        <f>IF(U1287="A",K1287,IF(U1287="B",L1287,IF(U1287="C",M1287,IF(N1287="A",K1287,IF(N1287="B",L1287,M1287)))))</f>
        <v/>
      </c>
      <c r="W1287" s="22">
        <f>IF(R1287="",O1287,MAX(V1287-R1287-N(S1287),0))</f>
        <v/>
      </c>
      <c r="X1287" s="20" t="n"/>
      <c r="Y1287" s="23">
        <f>IF(OR(X1287="",W1287=0),"",X1287/W1287-1)</f>
        <v/>
      </c>
      <c r="Z1287" s="24" t="n"/>
      <c r="AA1287" s="21" t="n"/>
      <c r="AB1287" s="25" t="n"/>
      <c r="AC1287" s="26">
        <f>IF(T1287="","Chưa quyết định",IF(OR(Z1287="",AA1287=""),"⚠ Thiếu lý do/người duyệt",IF(AND(X1287&lt;&gt;"",N(X1287)+N(R1287)+N(S1287)&gt;M1287*1.001,R1287&lt;&gt;""),"⚠ Vượt mục tiêu P90",IF(AND(Y1287&lt;&gt;"",ABS(N(Y1287))&gt;0.3),"⚠ Lệch &gt; 30% so với nhu cầu",IF(Q1287="Có","ℹ Kiểm tra ngoại suy KM","✓ Hợp lệ")))))</f>
        <v/>
      </c>
    </row>
    <row r="1288">
      <c r="A1288" s="16" t="n">
        <v>1284</v>
      </c>
      <c r="B1288" s="17" t="inlineStr">
        <is>
          <t>DEC-S12-EGGS</t>
        </is>
      </c>
      <c r="C1288" s="16" t="n">
        <v>12</v>
      </c>
      <c r="D1288" s="17" t="inlineStr">
        <is>
          <t>EGGS</t>
        </is>
      </c>
      <c r="E1288" s="17" t="inlineStr">
        <is>
          <t>HIGH</t>
        </is>
      </c>
      <c r="F1288" s="17" t="inlineStr">
        <is>
          <t>TRUNG BÌNH</t>
        </is>
      </c>
      <c r="G1288" s="18" t="inlineStr">
        <is>
          <t>RISK_HIGH</t>
        </is>
      </c>
      <c r="H1288" s="19" t="n">
        <v>692.9244575500488</v>
      </c>
      <c r="I1288" s="19" t="n">
        <v>1052.092132568359</v>
      </c>
      <c r="J1288" s="19" t="n">
        <v>1529.974356414795</v>
      </c>
      <c r="K1288" s="19" t="n">
        <v>1052.092132568359</v>
      </c>
      <c r="L1288" s="19" t="n">
        <v>1350.768522472381</v>
      </c>
      <c r="M1288" s="19" t="n">
        <v>1529.974356414795</v>
      </c>
      <c r="N1288" s="17" t="inlineStr">
        <is>
          <t>B</t>
        </is>
      </c>
      <c r="O1288" s="19" t="n">
        <v>509.0948164176939</v>
      </c>
      <c r="P1288" s="18" t="inlineStr">
        <is>
          <t>CÂN NHẮC THỬ NGHIỆM</t>
        </is>
      </c>
      <c r="Q1288" s="17" t="inlineStr">
        <is>
          <t>Không</t>
        </is>
      </c>
      <c r="R1288" s="20" t="n"/>
      <c r="S1288" s="20" t="n"/>
      <c r="T1288" s="21" t="n"/>
      <c r="U1288" s="21" t="n"/>
      <c r="V1288" s="22">
        <f>IF(U1288="A",K1288,IF(U1288="B",L1288,IF(U1288="C",M1288,IF(N1288="A",K1288,IF(N1288="B",L1288,M1288)))))</f>
        <v/>
      </c>
      <c r="W1288" s="22">
        <f>IF(R1288="",O1288,MAX(V1288-R1288-N(S1288),0))</f>
        <v/>
      </c>
      <c r="X1288" s="20" t="n"/>
      <c r="Y1288" s="23">
        <f>IF(OR(X1288="",W1288=0),"",X1288/W1288-1)</f>
        <v/>
      </c>
      <c r="Z1288" s="24" t="n"/>
      <c r="AA1288" s="21" t="n"/>
      <c r="AB1288" s="25" t="n"/>
      <c r="AC1288" s="26">
        <f>IF(T1288="","Chưa quyết định",IF(OR(Z1288="",AA1288=""),"⚠ Thiếu lý do/người duyệt",IF(AND(X1288&lt;&gt;"",N(X1288)+N(R1288)+N(S1288)&gt;M1288*1.001,R1288&lt;&gt;""),"⚠ Vượt mục tiêu P90",IF(AND(Y1288&lt;&gt;"",ABS(N(Y1288))&gt;0.3),"⚠ Lệch &gt; 30% so với nhu cầu",IF(Q1288="Có","ℹ Kiểm tra ngoại suy KM","✓ Hợp lệ")))))</f>
        <v/>
      </c>
    </row>
    <row r="1289">
      <c r="A1289" s="16" t="n">
        <v>1285</v>
      </c>
      <c r="B1289" s="17" t="inlineStr">
        <is>
          <t>DEC-S49-HOME_AND_KITCHEN_I</t>
        </is>
      </c>
      <c r="C1289" s="16" t="n">
        <v>49</v>
      </c>
      <c r="D1289" s="17" t="inlineStr">
        <is>
          <t>HOME AND KITCHEN I</t>
        </is>
      </c>
      <c r="E1289" s="17" t="inlineStr">
        <is>
          <t>HIGH</t>
        </is>
      </c>
      <c r="F1289" s="17" t="inlineStr">
        <is>
          <t>TRUNG BÌNH</t>
        </is>
      </c>
      <c r="G1289" s="18" t="inlineStr">
        <is>
          <t>RISK_HIGH</t>
        </is>
      </c>
      <c r="H1289" s="19" t="n">
        <v>686.1859893798828</v>
      </c>
      <c r="I1289" s="19" t="n">
        <v>1045.353664398193</v>
      </c>
      <c r="J1289" s="19" t="n">
        <v>1523.235888244629</v>
      </c>
      <c r="K1289" s="19" t="n">
        <v>1045.353664398193</v>
      </c>
      <c r="L1289" s="19" t="n">
        <v>1344.030054302215</v>
      </c>
      <c r="M1289" s="19" t="n">
        <v>1523.235888244629</v>
      </c>
      <c r="N1289" s="17" t="inlineStr">
        <is>
          <t>B</t>
        </is>
      </c>
      <c r="O1289" s="19" t="n">
        <v>507.7471227836606</v>
      </c>
      <c r="P1289" s="18" t="inlineStr">
        <is>
          <t>CÂN NHẮC THỬ NGHIỆM</t>
        </is>
      </c>
      <c r="Q1289" s="17" t="inlineStr">
        <is>
          <t>Không</t>
        </is>
      </c>
      <c r="R1289" s="20" t="n"/>
      <c r="S1289" s="20" t="n"/>
      <c r="T1289" s="21" t="n"/>
      <c r="U1289" s="21" t="n"/>
      <c r="V1289" s="22">
        <f>IF(U1289="A",K1289,IF(U1289="B",L1289,IF(U1289="C",M1289,IF(N1289="A",K1289,IF(N1289="B",L1289,M1289)))))</f>
        <v/>
      </c>
      <c r="W1289" s="22">
        <f>IF(R1289="",O1289,MAX(V1289-R1289-N(S1289),0))</f>
        <v/>
      </c>
      <c r="X1289" s="20" t="n"/>
      <c r="Y1289" s="23">
        <f>IF(OR(X1289="",W1289=0),"",X1289/W1289-1)</f>
        <v/>
      </c>
      <c r="Z1289" s="24" t="n"/>
      <c r="AA1289" s="21" t="n"/>
      <c r="AB1289" s="25" t="n"/>
      <c r="AC1289" s="26">
        <f>IF(T1289="","Chưa quyết định",IF(OR(Z1289="",AA1289=""),"⚠ Thiếu lý do/người duyệt",IF(AND(X1289&lt;&gt;"",N(X1289)+N(R1289)+N(S1289)&gt;M1289*1.001,R1289&lt;&gt;""),"⚠ Vượt mục tiêu P90",IF(AND(Y1289&lt;&gt;"",ABS(N(Y1289))&gt;0.3),"⚠ Lệch &gt; 30% so với nhu cầu",IF(Q1289="Có","ℹ Kiểm tra ngoại suy KM","✓ Hợp lệ")))))</f>
        <v/>
      </c>
    </row>
    <row r="1290">
      <c r="A1290" s="16" t="n">
        <v>1286</v>
      </c>
      <c r="B1290" s="17" t="inlineStr">
        <is>
          <t>DEC-S33-FROZEN_FOODS</t>
        </is>
      </c>
      <c r="C1290" s="16" t="n">
        <v>33</v>
      </c>
      <c r="D1290" s="17" t="inlineStr">
        <is>
          <t>FROZEN FOODS</t>
        </is>
      </c>
      <c r="E1290" s="17" t="inlineStr">
        <is>
          <t>HIGH</t>
        </is>
      </c>
      <c r="F1290" s="17" t="inlineStr">
        <is>
          <t>TRUNG BÌNH</t>
        </is>
      </c>
      <c r="G1290" s="18" t="inlineStr">
        <is>
          <t>RISK_HIGH</t>
        </is>
      </c>
      <c r="H1290" s="19" t="n">
        <v>696.4130477905273</v>
      </c>
      <c r="I1290" s="19" t="n">
        <v>1037.337921142578</v>
      </c>
      <c r="J1290" s="19" t="n">
        <v>1498.277571838379</v>
      </c>
      <c r="K1290" s="19" t="n">
        <v>1037.337921142578</v>
      </c>
      <c r="L1290" s="19" t="n">
        <v>1325.425202827454</v>
      </c>
      <c r="M1290" s="19" t="n">
        <v>1498.277571838379</v>
      </c>
      <c r="N1290" s="17" t="inlineStr">
        <is>
          <t>B</t>
        </is>
      </c>
      <c r="O1290" s="19" t="n">
        <v>495.554865913391</v>
      </c>
      <c r="P1290" s="18" t="inlineStr">
        <is>
          <t>CÂN NHẮC THỬ NGHIỆM</t>
        </is>
      </c>
      <c r="Q1290" s="17" t="inlineStr">
        <is>
          <t>Không</t>
        </is>
      </c>
      <c r="R1290" s="20" t="n"/>
      <c r="S1290" s="20" t="n"/>
      <c r="T1290" s="21" t="n"/>
      <c r="U1290" s="21" t="n"/>
      <c r="V1290" s="22">
        <f>IF(U1290="A",K1290,IF(U1290="B",L1290,IF(U1290="C",M1290,IF(N1290="A",K1290,IF(N1290="B",L1290,M1290)))))</f>
        <v/>
      </c>
      <c r="W1290" s="22">
        <f>IF(R1290="",O1290,MAX(V1290-R1290-N(S1290),0))</f>
        <v/>
      </c>
      <c r="X1290" s="20" t="n"/>
      <c r="Y1290" s="23">
        <f>IF(OR(X1290="",W1290=0),"",X1290/W1290-1)</f>
        <v/>
      </c>
      <c r="Z1290" s="24" t="n"/>
      <c r="AA1290" s="21" t="n"/>
      <c r="AB1290" s="25" t="n"/>
      <c r="AC1290" s="26">
        <f>IF(T1290="","Chưa quyết định",IF(OR(Z1290="",AA1290=""),"⚠ Thiếu lý do/người duyệt",IF(AND(X1290&lt;&gt;"",N(X1290)+N(R1290)+N(S1290)&gt;M1290*1.001,R1290&lt;&gt;""),"⚠ Vượt mục tiêu P90",IF(AND(Y1290&lt;&gt;"",ABS(N(Y1290))&gt;0.3),"⚠ Lệch &gt; 30% so với nhu cầu",IF(Q1290="Có","ℹ Kiểm tra ngoại suy KM","✓ Hợp lệ")))))</f>
        <v/>
      </c>
    </row>
    <row r="1291">
      <c r="A1291" s="16" t="n">
        <v>1287</v>
      </c>
      <c r="B1291" s="17" t="inlineStr">
        <is>
          <t>DEC-S38-HOME_AND_KITCHEN_II</t>
        </is>
      </c>
      <c r="C1291" s="16" t="n">
        <v>38</v>
      </c>
      <c r="D1291" s="17" t="inlineStr">
        <is>
          <t>HOME AND KITCHEN II</t>
        </is>
      </c>
      <c r="E1291" s="17" t="inlineStr">
        <is>
          <t>HIGH</t>
        </is>
      </c>
      <c r="F1291" s="17" t="inlineStr">
        <is>
          <t>TRUNG BÌNH</t>
        </is>
      </c>
      <c r="G1291" s="18" t="inlineStr">
        <is>
          <t>RISK_HIGH</t>
        </is>
      </c>
      <c r="H1291" s="19" t="n">
        <v>664.4914894104004</v>
      </c>
      <c r="I1291" s="19" t="n">
        <v>1005.416362762451</v>
      </c>
      <c r="J1291" s="19" t="n">
        <v>1466.356013458252</v>
      </c>
      <c r="K1291" s="19" t="n">
        <v>1005.416362762451</v>
      </c>
      <c r="L1291" s="19" t="n">
        <v>1293.503644447327</v>
      </c>
      <c r="M1291" s="19" t="n">
        <v>1466.356013458252</v>
      </c>
      <c r="N1291" s="17" t="inlineStr">
        <is>
          <t>B</t>
        </is>
      </c>
      <c r="O1291" s="19" t="n">
        <v>489.1705542373657</v>
      </c>
      <c r="P1291" s="18" t="inlineStr">
        <is>
          <t>CÂN NHẮC THỬ NGHIỆM</t>
        </is>
      </c>
      <c r="Q1291" s="17" t="inlineStr">
        <is>
          <t>Không</t>
        </is>
      </c>
      <c r="R1291" s="20" t="n"/>
      <c r="S1291" s="20" t="n"/>
      <c r="T1291" s="21" t="n"/>
      <c r="U1291" s="21" t="n"/>
      <c r="V1291" s="22">
        <f>IF(U1291="A",K1291,IF(U1291="B",L1291,IF(U1291="C",M1291,IF(N1291="A",K1291,IF(N1291="B",L1291,M1291)))))</f>
        <v/>
      </c>
      <c r="W1291" s="22">
        <f>IF(R1291="",O1291,MAX(V1291-R1291-N(S1291),0))</f>
        <v/>
      </c>
      <c r="X1291" s="20" t="n"/>
      <c r="Y1291" s="23">
        <f>IF(OR(X1291="",W1291=0),"",X1291/W1291-1)</f>
        <v/>
      </c>
      <c r="Z1291" s="24" t="n"/>
      <c r="AA1291" s="21" t="n"/>
      <c r="AB1291" s="25" t="n"/>
      <c r="AC1291" s="26">
        <f>IF(T1291="","Chưa quyết định",IF(OR(Z1291="",AA1291=""),"⚠ Thiếu lý do/người duyệt",IF(AND(X1291&lt;&gt;"",N(X1291)+N(R1291)+N(S1291)&gt;M1291*1.001,R1291&lt;&gt;""),"⚠ Vượt mục tiêu P90",IF(AND(Y1291&lt;&gt;"",ABS(N(Y1291))&gt;0.3),"⚠ Lệch &gt; 30% so với nhu cầu",IF(Q1291="Có","ℹ Kiểm tra ngoại suy KM","✓ Hợp lệ")))))</f>
        <v/>
      </c>
    </row>
    <row r="1292">
      <c r="A1292" s="16" t="n">
        <v>1288</v>
      </c>
      <c r="B1292" s="17" t="inlineStr">
        <is>
          <t>DEC-S54-POULTRY</t>
        </is>
      </c>
      <c r="C1292" s="16" t="n">
        <v>54</v>
      </c>
      <c r="D1292" s="17" t="inlineStr">
        <is>
          <t>POULTRY</t>
        </is>
      </c>
      <c r="E1292" s="17" t="inlineStr">
        <is>
          <t>HIGH</t>
        </is>
      </c>
      <c r="F1292" s="17" t="inlineStr">
        <is>
          <t>TRUNG BÌNH</t>
        </is>
      </c>
      <c r="G1292" s="18" t="inlineStr">
        <is>
          <t>RISK_HIGH</t>
        </is>
      </c>
      <c r="H1292" s="19" t="n">
        <v>663.415397644043</v>
      </c>
      <c r="I1292" s="19" t="n">
        <v>1004.340270996094</v>
      </c>
      <c r="J1292" s="19" t="n">
        <v>1465.279921691894</v>
      </c>
      <c r="K1292" s="19" t="n">
        <v>1004.340270996094</v>
      </c>
      <c r="L1292" s="19" t="n">
        <v>1292.427552680969</v>
      </c>
      <c r="M1292" s="19" t="n">
        <v>1465.279921691894</v>
      </c>
      <c r="N1292" s="17" t="inlineStr">
        <is>
          <t>B</t>
        </is>
      </c>
      <c r="O1292" s="19" t="n">
        <v>488.955335884094</v>
      </c>
      <c r="P1292" s="18" t="inlineStr">
        <is>
          <t>CÂN NHẮC THỬ NGHIỆM</t>
        </is>
      </c>
      <c r="Q1292" s="17" t="inlineStr">
        <is>
          <t>Không</t>
        </is>
      </c>
      <c r="R1292" s="20" t="n"/>
      <c r="S1292" s="20" t="n"/>
      <c r="T1292" s="21" t="n"/>
      <c r="U1292" s="21" t="n"/>
      <c r="V1292" s="22">
        <f>IF(U1292="A",K1292,IF(U1292="B",L1292,IF(U1292="C",M1292,IF(N1292="A",K1292,IF(N1292="B",L1292,M1292)))))</f>
        <v/>
      </c>
      <c r="W1292" s="22">
        <f>IF(R1292="",O1292,MAX(V1292-R1292-N(S1292),0))</f>
        <v/>
      </c>
      <c r="X1292" s="20" t="n"/>
      <c r="Y1292" s="23">
        <f>IF(OR(X1292="",W1292=0),"",X1292/W1292-1)</f>
        <v/>
      </c>
      <c r="Z1292" s="24" t="n"/>
      <c r="AA1292" s="21" t="n"/>
      <c r="AB1292" s="25" t="n"/>
      <c r="AC1292" s="26">
        <f>IF(T1292="","Chưa quyết định",IF(OR(Z1292="",AA1292=""),"⚠ Thiếu lý do/người duyệt",IF(AND(X1292&lt;&gt;"",N(X1292)+N(R1292)+N(S1292)&gt;M1292*1.001,R1292&lt;&gt;""),"⚠ Vượt mục tiêu P90",IF(AND(Y1292&lt;&gt;"",ABS(N(Y1292))&gt;0.3),"⚠ Lệch &gt; 30% so với nhu cầu",IF(Q1292="Có","ℹ Kiểm tra ngoại suy KM","✓ Hợp lệ")))))</f>
        <v/>
      </c>
    </row>
    <row r="1293">
      <c r="A1293" s="16" t="n">
        <v>1289</v>
      </c>
      <c r="B1293" s="17" t="inlineStr">
        <is>
          <t>DEC-S16-LIQUOR_WINE_BEER</t>
        </is>
      </c>
      <c r="C1293" s="16" t="n">
        <v>16</v>
      </c>
      <c r="D1293" s="17" t="inlineStr">
        <is>
          <t>LIQUOR,WINE,BEER</t>
        </is>
      </c>
      <c r="E1293" s="17" t="inlineStr">
        <is>
          <t>HIGH</t>
        </is>
      </c>
      <c r="F1293" s="17" t="inlineStr">
        <is>
          <t>TRUNG BÌNH</t>
        </is>
      </c>
      <c r="G1293" s="18" t="inlineStr">
        <is>
          <t>RISK_HIGH</t>
        </is>
      </c>
      <c r="H1293" s="19" t="n">
        <v>642.3175773620605</v>
      </c>
      <c r="I1293" s="19" t="n">
        <v>1001.485252380371</v>
      </c>
      <c r="J1293" s="19" t="n">
        <v>1479.367476226807</v>
      </c>
      <c r="K1293" s="19" t="n">
        <v>1001.485252380371</v>
      </c>
      <c r="L1293" s="19" t="n">
        <v>1300.161642284393</v>
      </c>
      <c r="M1293" s="19" t="n">
        <v>1479.367476226807</v>
      </c>
      <c r="N1293" s="17" t="inlineStr">
        <is>
          <t>B</t>
        </is>
      </c>
      <c r="O1293" s="19" t="n">
        <v>498.9734403800962</v>
      </c>
      <c r="P1293" s="18" t="inlineStr">
        <is>
          <t>CÂN NHẮC THỬ NGHIỆM</t>
        </is>
      </c>
      <c r="Q1293" s="17" t="inlineStr">
        <is>
          <t>Không</t>
        </is>
      </c>
      <c r="R1293" s="20" t="n"/>
      <c r="S1293" s="20" t="n"/>
      <c r="T1293" s="21" t="n"/>
      <c r="U1293" s="21" t="n"/>
      <c r="V1293" s="22">
        <f>IF(U1293="A",K1293,IF(U1293="B",L1293,IF(U1293="C",M1293,IF(N1293="A",K1293,IF(N1293="B",L1293,M1293)))))</f>
        <v/>
      </c>
      <c r="W1293" s="22">
        <f>IF(R1293="",O1293,MAX(V1293-R1293-N(S1293),0))</f>
        <v/>
      </c>
      <c r="X1293" s="20" t="n"/>
      <c r="Y1293" s="23">
        <f>IF(OR(X1293="",W1293=0),"",X1293/W1293-1)</f>
        <v/>
      </c>
      <c r="Z1293" s="24" t="n"/>
      <c r="AA1293" s="21" t="n"/>
      <c r="AB1293" s="25" t="n"/>
      <c r="AC1293" s="26">
        <f>IF(T1293="","Chưa quyết định",IF(OR(Z1293="",AA1293=""),"⚠ Thiếu lý do/người duyệt",IF(AND(X1293&lt;&gt;"",N(X1293)+N(R1293)+N(S1293)&gt;M1293*1.001,R1293&lt;&gt;""),"⚠ Vượt mục tiêu P90",IF(AND(Y1293&lt;&gt;"",ABS(N(Y1293))&gt;0.3),"⚠ Lệch &gt; 30% so với nhu cầu",IF(Q1293="Có","ℹ Kiểm tra ngoại suy KM","✓ Hợp lệ")))))</f>
        <v/>
      </c>
    </row>
    <row r="1294">
      <c r="A1294" s="16" t="n">
        <v>1290</v>
      </c>
      <c r="B1294" s="17" t="inlineStr">
        <is>
          <t>DEC-S47-HOME_AND_KITCHEN_I</t>
        </is>
      </c>
      <c r="C1294" s="16" t="n">
        <v>47</v>
      </c>
      <c r="D1294" s="17" t="inlineStr">
        <is>
          <t>HOME AND KITCHEN I</t>
        </is>
      </c>
      <c r="E1294" s="17" t="inlineStr">
        <is>
          <t>HIGH</t>
        </is>
      </c>
      <c r="F1294" s="17" t="inlineStr">
        <is>
          <t>TRUNG BÌNH</t>
        </is>
      </c>
      <c r="G1294" s="18" t="inlineStr">
        <is>
          <t>RISK_HIGH</t>
        </is>
      </c>
      <c r="H1294" s="19" t="n">
        <v>632.2218589782715</v>
      </c>
      <c r="I1294" s="19" t="n">
        <v>991.389533996582</v>
      </c>
      <c r="J1294" s="19" t="n">
        <v>1469.271757843017</v>
      </c>
      <c r="K1294" s="19" t="n">
        <v>991.389533996582</v>
      </c>
      <c r="L1294" s="19" t="n">
        <v>1290.065923900604</v>
      </c>
      <c r="M1294" s="19" t="n">
        <v>1469.271757843017</v>
      </c>
      <c r="N1294" s="17" t="inlineStr">
        <is>
          <t>B</t>
        </is>
      </c>
      <c r="O1294" s="19" t="n">
        <v>496.9542967033384</v>
      </c>
      <c r="P1294" s="18" t="inlineStr">
        <is>
          <t>CÂN NHẮC THỬ NGHIỆM</t>
        </is>
      </c>
      <c r="Q1294" s="17" t="inlineStr">
        <is>
          <t>Không</t>
        </is>
      </c>
      <c r="R1294" s="20" t="n"/>
      <c r="S1294" s="20" t="n"/>
      <c r="T1294" s="21" t="n"/>
      <c r="U1294" s="21" t="n"/>
      <c r="V1294" s="22">
        <f>IF(U1294="A",K1294,IF(U1294="B",L1294,IF(U1294="C",M1294,IF(N1294="A",K1294,IF(N1294="B",L1294,M1294)))))</f>
        <v/>
      </c>
      <c r="W1294" s="22">
        <f>IF(R1294="",O1294,MAX(V1294-R1294-N(S1294),0))</f>
        <v/>
      </c>
      <c r="X1294" s="20" t="n"/>
      <c r="Y1294" s="23">
        <f>IF(OR(X1294="",W1294=0),"",X1294/W1294-1)</f>
        <v/>
      </c>
      <c r="Z1294" s="24" t="n"/>
      <c r="AA1294" s="21" t="n"/>
      <c r="AB1294" s="25" t="n"/>
      <c r="AC1294" s="26">
        <f>IF(T1294="","Chưa quyết định",IF(OR(Z1294="",AA1294=""),"⚠ Thiếu lý do/người duyệt",IF(AND(X1294&lt;&gt;"",N(X1294)+N(R1294)+N(S1294)&gt;M1294*1.001,R1294&lt;&gt;""),"⚠ Vượt mục tiêu P90",IF(AND(Y1294&lt;&gt;"",ABS(N(Y1294))&gt;0.3),"⚠ Lệch &gt; 30% so với nhu cầu",IF(Q1294="Có","ℹ Kiểm tra ngoại suy KM","✓ Hợp lệ")))))</f>
        <v/>
      </c>
    </row>
    <row r="1295">
      <c r="A1295" s="16" t="n">
        <v>1291</v>
      </c>
      <c r="B1295" s="17" t="inlineStr">
        <is>
          <t>DEC-S23-LIQUOR_WINE_BEER</t>
        </is>
      </c>
      <c r="C1295" s="16" t="n">
        <v>23</v>
      </c>
      <c r="D1295" s="17" t="inlineStr">
        <is>
          <t>LIQUOR,WINE,BEER</t>
        </is>
      </c>
      <c r="E1295" s="17" t="inlineStr">
        <is>
          <t>HIGH</t>
        </is>
      </c>
      <c r="F1295" s="17" t="inlineStr">
        <is>
          <t>TRUNG BÌNH</t>
        </is>
      </c>
      <c r="G1295" s="18" t="inlineStr">
        <is>
          <t>RISK_HIGH</t>
        </is>
      </c>
      <c r="H1295" s="19" t="n">
        <v>631.7418251037598</v>
      </c>
      <c r="I1295" s="19" t="n">
        <v>990.9095001220704</v>
      </c>
      <c r="J1295" s="19" t="n">
        <v>1468.791723968505</v>
      </c>
      <c r="K1295" s="19" t="n">
        <v>990.9095001220704</v>
      </c>
      <c r="L1295" s="19" t="n">
        <v>1289.585890026092</v>
      </c>
      <c r="M1295" s="19" t="n">
        <v>1468.791723968505</v>
      </c>
      <c r="N1295" s="17" t="inlineStr">
        <is>
          <t>B</t>
        </is>
      </c>
      <c r="O1295" s="19" t="n">
        <v>496.8582899284361</v>
      </c>
      <c r="P1295" s="18" t="inlineStr">
        <is>
          <t>CÂN NHẮC THỬ NGHIỆM</t>
        </is>
      </c>
      <c r="Q1295" s="17" t="inlineStr">
        <is>
          <t>Không</t>
        </is>
      </c>
      <c r="R1295" s="20" t="n"/>
      <c r="S1295" s="20" t="n"/>
      <c r="T1295" s="21" t="n"/>
      <c r="U1295" s="21" t="n"/>
      <c r="V1295" s="22">
        <f>IF(U1295="A",K1295,IF(U1295="B",L1295,IF(U1295="C",M1295,IF(N1295="A",K1295,IF(N1295="B",L1295,M1295)))))</f>
        <v/>
      </c>
      <c r="W1295" s="22">
        <f>IF(R1295="",O1295,MAX(V1295-R1295-N(S1295),0))</f>
        <v/>
      </c>
      <c r="X1295" s="20" t="n"/>
      <c r="Y1295" s="23">
        <f>IF(OR(X1295="",W1295=0),"",X1295/W1295-1)</f>
        <v/>
      </c>
      <c r="Z1295" s="24" t="n"/>
      <c r="AA1295" s="21" t="n"/>
      <c r="AB1295" s="25" t="n"/>
      <c r="AC1295" s="26">
        <f>IF(T1295="","Chưa quyết định",IF(OR(Z1295="",AA1295=""),"⚠ Thiếu lý do/người duyệt",IF(AND(X1295&lt;&gt;"",N(X1295)+N(R1295)+N(S1295)&gt;M1295*1.001,R1295&lt;&gt;""),"⚠ Vượt mục tiêu P90",IF(AND(Y1295&lt;&gt;"",ABS(N(Y1295))&gt;0.3),"⚠ Lệch &gt; 30% so với nhu cầu",IF(Q1295="Có","ℹ Kiểm tra ngoại suy KM","✓ Hợp lệ")))))</f>
        <v/>
      </c>
    </row>
    <row r="1296">
      <c r="A1296" s="16" t="n">
        <v>1292</v>
      </c>
      <c r="B1296" s="17" t="inlineStr">
        <is>
          <t>DEC-S28-LIQUOR_WINE_BEER</t>
        </is>
      </c>
      <c r="C1296" s="16" t="n">
        <v>28</v>
      </c>
      <c r="D1296" s="17" t="inlineStr">
        <is>
          <t>LIQUOR,WINE,BEER</t>
        </is>
      </c>
      <c r="E1296" s="17" t="inlineStr">
        <is>
          <t>HIGH</t>
        </is>
      </c>
      <c r="F1296" s="17" t="inlineStr">
        <is>
          <t>TRUNG BÌNH</t>
        </is>
      </c>
      <c r="G1296" s="18" t="inlineStr">
        <is>
          <t>RISK_HIGH</t>
        </is>
      </c>
      <c r="H1296" s="19" t="n">
        <v>588.8330345153809</v>
      </c>
      <c r="I1296" s="19" t="n">
        <v>984.4863128662108</v>
      </c>
      <c r="J1296" s="19" t="n">
        <v>1496.253683013916</v>
      </c>
      <c r="K1296" s="19" t="n">
        <v>984.4863128662108</v>
      </c>
      <c r="L1296" s="19" t="n">
        <v>1304.340919208527</v>
      </c>
      <c r="M1296" s="19" t="n">
        <v>1496.253683013916</v>
      </c>
      <c r="N1296" s="17" t="inlineStr">
        <is>
          <t>B</t>
        </is>
      </c>
      <c r="O1296" s="19" t="n">
        <v>516.7518689155579</v>
      </c>
      <c r="P1296" s="18" t="inlineStr">
        <is>
          <t>CÂN NHẮC THỬ NGHIỆM</t>
        </is>
      </c>
      <c r="Q1296" s="17" t="inlineStr">
        <is>
          <t>Không</t>
        </is>
      </c>
      <c r="R1296" s="20" t="n"/>
      <c r="S1296" s="20" t="n"/>
      <c r="T1296" s="21" t="n"/>
      <c r="U1296" s="21" t="n"/>
      <c r="V1296" s="22">
        <f>IF(U1296="A",K1296,IF(U1296="B",L1296,IF(U1296="C",M1296,IF(N1296="A",K1296,IF(N1296="B",L1296,M1296)))))</f>
        <v/>
      </c>
      <c r="W1296" s="22">
        <f>IF(R1296="",O1296,MAX(V1296-R1296-N(S1296),0))</f>
        <v/>
      </c>
      <c r="X1296" s="20" t="n"/>
      <c r="Y1296" s="23">
        <f>IF(OR(X1296="",W1296=0),"",X1296/W1296-1)</f>
        <v/>
      </c>
      <c r="Z1296" s="24" t="n"/>
      <c r="AA1296" s="21" t="n"/>
      <c r="AB1296" s="25" t="n"/>
      <c r="AC1296" s="26">
        <f>IF(T1296="","Chưa quyết định",IF(OR(Z1296="",AA1296=""),"⚠ Thiếu lý do/người duyệt",IF(AND(X1296&lt;&gt;"",N(X1296)+N(R1296)+N(S1296)&gt;M1296*1.001,R1296&lt;&gt;""),"⚠ Vượt mục tiêu P90",IF(AND(Y1296&lt;&gt;"",ABS(N(Y1296))&gt;0.3),"⚠ Lệch &gt; 30% so với nhu cầu",IF(Q1296="Có","ℹ Kiểm tra ngoại suy KM","✓ Hợp lệ")))))</f>
        <v/>
      </c>
    </row>
    <row r="1297">
      <c r="A1297" s="16" t="n">
        <v>1293</v>
      </c>
      <c r="B1297" s="17" t="inlineStr">
        <is>
          <t>DEC-S09-SCHOOL_AND_OFFICE_SUPPLIES</t>
        </is>
      </c>
      <c r="C1297" s="16" t="n">
        <v>9</v>
      </c>
      <c r="D1297" s="17" t="inlineStr">
        <is>
          <t>SCHOOL AND OFFICE SUPPLIES</t>
        </is>
      </c>
      <c r="E1297" s="17" t="inlineStr">
        <is>
          <t>HIGH</t>
        </is>
      </c>
      <c r="F1297" s="17" t="inlineStr">
        <is>
          <t>TRUNG BÌNH</t>
        </is>
      </c>
      <c r="G1297" s="18" t="inlineStr">
        <is>
          <t>RISK_HIGH</t>
        </is>
      </c>
      <c r="H1297" s="19" t="n">
        <v>646.5369777679443</v>
      </c>
      <c r="I1297" s="19" t="n">
        <v>980.728404045105</v>
      </c>
      <c r="J1297" s="19" t="n">
        <v>1431.668875854492</v>
      </c>
      <c r="K1297" s="19" t="n">
        <v>980.728404045105</v>
      </c>
      <c r="L1297" s="19" t="n">
        <v>1262.566198925972</v>
      </c>
      <c r="M1297" s="19" t="n">
        <v>1431.668875854492</v>
      </c>
      <c r="N1297" s="17" t="inlineStr">
        <is>
          <t>B</t>
        </is>
      </c>
      <c r="O1297" s="19" t="n">
        <v>477.983475689888</v>
      </c>
      <c r="P1297" s="18" t="inlineStr">
        <is>
          <t>CÂN NHẮC THỬ NGHIỆM</t>
        </is>
      </c>
      <c r="Q1297" s="17" t="inlineStr">
        <is>
          <t>Không</t>
        </is>
      </c>
      <c r="R1297" s="20" t="n"/>
      <c r="S1297" s="20" t="n"/>
      <c r="T1297" s="21" t="n"/>
      <c r="U1297" s="21" t="n"/>
      <c r="V1297" s="22">
        <f>IF(U1297="A",K1297,IF(U1297="B",L1297,IF(U1297="C",M1297,IF(N1297="A",K1297,IF(N1297="B",L1297,M1297)))))</f>
        <v/>
      </c>
      <c r="W1297" s="22">
        <f>IF(R1297="",O1297,MAX(V1297-R1297-N(S1297),0))</f>
        <v/>
      </c>
      <c r="X1297" s="20" t="n"/>
      <c r="Y1297" s="23">
        <f>IF(OR(X1297="",W1297=0),"",X1297/W1297-1)</f>
        <v/>
      </c>
      <c r="Z1297" s="24" t="n"/>
      <c r="AA1297" s="21" t="n"/>
      <c r="AB1297" s="25" t="n"/>
      <c r="AC1297" s="26">
        <f>IF(T1297="","Chưa quyết định",IF(OR(Z1297="",AA1297=""),"⚠ Thiếu lý do/người duyệt",IF(AND(X1297&lt;&gt;"",N(X1297)+N(R1297)+N(S1297)&gt;M1297*1.001,R1297&lt;&gt;""),"⚠ Vượt mục tiêu P90",IF(AND(Y1297&lt;&gt;"",ABS(N(Y1297))&gt;0.3),"⚠ Lệch &gt; 30% so với nhu cầu",IF(Q1297="Có","ℹ Kiểm tra ngoại suy KM","✓ Hợp lệ")))))</f>
        <v/>
      </c>
    </row>
    <row r="1298">
      <c r="A1298" s="16" t="n">
        <v>1294</v>
      </c>
      <c r="B1298" s="17" t="inlineStr">
        <is>
          <t>DEC-S49-GROCERY_II</t>
        </is>
      </c>
      <c r="C1298" s="16" t="n">
        <v>49</v>
      </c>
      <c r="D1298" s="17" t="inlineStr">
        <is>
          <t>GROCERY II</t>
        </is>
      </c>
      <c r="E1298" s="17" t="inlineStr">
        <is>
          <t>HIGH</t>
        </is>
      </c>
      <c r="F1298" s="17" t="inlineStr">
        <is>
          <t>TRUNG BÌNH</t>
        </is>
      </c>
      <c r="G1298" s="18" t="inlineStr">
        <is>
          <t>RISK_HIGH</t>
        </is>
      </c>
      <c r="H1298" s="19" t="n">
        <v>647.7013969421387</v>
      </c>
      <c r="I1298" s="19" t="n">
        <v>970.3834686279296</v>
      </c>
      <c r="J1298" s="19" t="n">
        <v>1414.380546173096</v>
      </c>
      <c r="K1298" s="19" t="n">
        <v>970.3834686279296</v>
      </c>
      <c r="L1298" s="19" t="n">
        <v>1247.881642093658</v>
      </c>
      <c r="M1298" s="19" t="n">
        <v>1414.380546173096</v>
      </c>
      <c r="N1298" s="17" t="inlineStr">
        <is>
          <t>B</t>
        </is>
      </c>
      <c r="O1298" s="19" t="n">
        <v>471.5748671913146</v>
      </c>
      <c r="P1298" s="18" t="inlineStr">
        <is>
          <t>CÂN NHẮC THỬ NGHIỆM</t>
        </is>
      </c>
      <c r="Q1298" s="17" t="inlineStr">
        <is>
          <t>Không</t>
        </is>
      </c>
      <c r="R1298" s="20" t="n"/>
      <c r="S1298" s="20" t="n"/>
      <c r="T1298" s="21" t="n"/>
      <c r="U1298" s="21" t="n"/>
      <c r="V1298" s="22">
        <f>IF(U1298="A",K1298,IF(U1298="B",L1298,IF(U1298="C",M1298,IF(N1298="A",K1298,IF(N1298="B",L1298,M1298)))))</f>
        <v/>
      </c>
      <c r="W1298" s="22">
        <f>IF(R1298="",O1298,MAX(V1298-R1298-N(S1298),0))</f>
        <v/>
      </c>
      <c r="X1298" s="20" t="n"/>
      <c r="Y1298" s="23">
        <f>IF(OR(X1298="",W1298=0),"",X1298/W1298-1)</f>
        <v/>
      </c>
      <c r="Z1298" s="24" t="n"/>
      <c r="AA1298" s="21" t="n"/>
      <c r="AB1298" s="25" t="n"/>
      <c r="AC1298" s="26">
        <f>IF(T1298="","Chưa quyết định",IF(OR(Z1298="",AA1298=""),"⚠ Thiếu lý do/người duyệt",IF(AND(X1298&lt;&gt;"",N(X1298)+N(R1298)+N(S1298)&gt;M1298*1.001,R1298&lt;&gt;""),"⚠ Vượt mục tiêu P90",IF(AND(Y1298&lt;&gt;"",ABS(N(Y1298))&gt;0.3),"⚠ Lệch &gt; 30% so với nhu cầu",IF(Q1298="Có","ℹ Kiểm tra ngoại suy KM","✓ Hợp lệ")))))</f>
        <v/>
      </c>
    </row>
    <row r="1299">
      <c r="A1299" s="16" t="n">
        <v>1295</v>
      </c>
      <c r="B1299" s="17" t="inlineStr">
        <is>
          <t>DEC-S43-FROZEN_FOODS</t>
        </is>
      </c>
      <c r="C1299" s="16" t="n">
        <v>43</v>
      </c>
      <c r="D1299" s="17" t="inlineStr">
        <is>
          <t>FROZEN FOODS</t>
        </is>
      </c>
      <c r="E1299" s="17" t="inlineStr">
        <is>
          <t>HIGH</t>
        </is>
      </c>
      <c r="F1299" s="17" t="inlineStr">
        <is>
          <t>TRUNG BÌNH</t>
        </is>
      </c>
      <c r="G1299" s="18" t="inlineStr">
        <is>
          <t>RISK_HIGH</t>
        </is>
      </c>
      <c r="H1299" s="19" t="n">
        <v>610.0727195739746</v>
      </c>
      <c r="I1299" s="19" t="n">
        <v>969.2403945922852</v>
      </c>
      <c r="J1299" s="19" t="n">
        <v>1447.122618438721</v>
      </c>
      <c r="K1299" s="19" t="n">
        <v>969.2403945922852</v>
      </c>
      <c r="L1299" s="19" t="n">
        <v>1267.916784496307</v>
      </c>
      <c r="M1299" s="19" t="n">
        <v>1447.122618438721</v>
      </c>
      <c r="N1299" s="17" t="inlineStr">
        <is>
          <t>B</t>
        </is>
      </c>
      <c r="O1299" s="19" t="n">
        <v>492.524468822479</v>
      </c>
      <c r="P1299" s="18" t="inlineStr">
        <is>
          <t>CÂN NHẮC THỬ NGHIỆM</t>
        </is>
      </c>
      <c r="Q1299" s="17" t="inlineStr">
        <is>
          <t>Không</t>
        </is>
      </c>
      <c r="R1299" s="20" t="n"/>
      <c r="S1299" s="20" t="n"/>
      <c r="T1299" s="21" t="n"/>
      <c r="U1299" s="21" t="n"/>
      <c r="V1299" s="22">
        <f>IF(U1299="A",K1299,IF(U1299="B",L1299,IF(U1299="C",M1299,IF(N1299="A",K1299,IF(N1299="B",L1299,M1299)))))</f>
        <v/>
      </c>
      <c r="W1299" s="22">
        <f>IF(R1299="",O1299,MAX(V1299-R1299-N(S1299),0))</f>
        <v/>
      </c>
      <c r="X1299" s="20" t="n"/>
      <c r="Y1299" s="23">
        <f>IF(OR(X1299="",W1299=0),"",X1299/W1299-1)</f>
        <v/>
      </c>
      <c r="Z1299" s="24" t="n"/>
      <c r="AA1299" s="21" t="n"/>
      <c r="AB1299" s="25" t="n"/>
      <c r="AC1299" s="26">
        <f>IF(T1299="","Chưa quyết định",IF(OR(Z1299="",AA1299=""),"⚠ Thiếu lý do/người duyệt",IF(AND(X1299&lt;&gt;"",N(X1299)+N(R1299)+N(S1299)&gt;M1299*1.001,R1299&lt;&gt;""),"⚠ Vượt mục tiêu P90",IF(AND(Y1299&lt;&gt;"",ABS(N(Y1299))&gt;0.3),"⚠ Lệch &gt; 30% so với nhu cầu",IF(Q1299="Có","ℹ Kiểm tra ngoại suy KM","✓ Hợp lệ")))))</f>
        <v/>
      </c>
    </row>
    <row r="1300">
      <c r="A1300" s="16" t="n">
        <v>1296</v>
      </c>
      <c r="B1300" s="17" t="inlineStr">
        <is>
          <t>DEC-S05-GROCERY_II</t>
        </is>
      </c>
      <c r="C1300" s="16" t="n">
        <v>5</v>
      </c>
      <c r="D1300" s="17" t="inlineStr">
        <is>
          <t>GROCERY II</t>
        </is>
      </c>
      <c r="E1300" s="17" t="inlineStr">
        <is>
          <t>HIGH</t>
        </is>
      </c>
      <c r="F1300" s="17" t="inlineStr">
        <is>
          <t>TRUNG BÌNH</t>
        </is>
      </c>
      <c r="G1300" s="18" t="inlineStr">
        <is>
          <t>RISK_HIGH</t>
        </is>
      </c>
      <c r="H1300" s="19" t="n">
        <v>604.2339286804199</v>
      </c>
      <c r="I1300" s="19" t="n">
        <v>963.4016036987304</v>
      </c>
      <c r="J1300" s="19" t="n">
        <v>1441.283827545166</v>
      </c>
      <c r="K1300" s="19" t="n">
        <v>963.4016036987304</v>
      </c>
      <c r="L1300" s="19" t="n">
        <v>1262.077993602753</v>
      </c>
      <c r="M1300" s="19" t="n">
        <v>1441.283827545166</v>
      </c>
      <c r="N1300" s="17" t="inlineStr">
        <is>
          <t>B</t>
        </is>
      </c>
      <c r="O1300" s="19" t="n">
        <v>491.3567106437683</v>
      </c>
      <c r="P1300" s="18" t="inlineStr">
        <is>
          <t>CÂN NHẮC THỬ NGHIỆM</t>
        </is>
      </c>
      <c r="Q1300" s="17" t="inlineStr">
        <is>
          <t>Không</t>
        </is>
      </c>
      <c r="R1300" s="20" t="n"/>
      <c r="S1300" s="20" t="n"/>
      <c r="T1300" s="21" t="n"/>
      <c r="U1300" s="21" t="n"/>
      <c r="V1300" s="22">
        <f>IF(U1300="A",K1300,IF(U1300="B",L1300,IF(U1300="C",M1300,IF(N1300="A",K1300,IF(N1300="B",L1300,M1300)))))</f>
        <v/>
      </c>
      <c r="W1300" s="22">
        <f>IF(R1300="",O1300,MAX(V1300-R1300-N(S1300),0))</f>
        <v/>
      </c>
      <c r="X1300" s="20" t="n"/>
      <c r="Y1300" s="23">
        <f>IF(OR(X1300="",W1300=0),"",X1300/W1300-1)</f>
        <v/>
      </c>
      <c r="Z1300" s="24" t="n"/>
      <c r="AA1300" s="21" t="n"/>
      <c r="AB1300" s="25" t="n"/>
      <c r="AC1300" s="26">
        <f>IF(T1300="","Chưa quyết định",IF(OR(Z1300="",AA1300=""),"⚠ Thiếu lý do/người duyệt",IF(AND(X1300&lt;&gt;"",N(X1300)+N(R1300)+N(S1300)&gt;M1300*1.001,R1300&lt;&gt;""),"⚠ Vượt mục tiêu P90",IF(AND(Y1300&lt;&gt;"",ABS(N(Y1300))&gt;0.3),"⚠ Lệch &gt; 30% so với nhu cầu",IF(Q1300="Có","ℹ Kiểm tra ngoại suy KM","✓ Hợp lệ")))))</f>
        <v/>
      </c>
    </row>
    <row r="1301">
      <c r="A1301" s="16" t="n">
        <v>1297</v>
      </c>
      <c r="B1301" s="17" t="inlineStr">
        <is>
          <t>DEC-S47-SEAFOOD</t>
        </is>
      </c>
      <c r="C1301" s="16" t="n">
        <v>47</v>
      </c>
      <c r="D1301" s="17" t="inlineStr">
        <is>
          <t>SEAFOOD</t>
        </is>
      </c>
      <c r="E1301" s="17" t="inlineStr">
        <is>
          <t>HIGH</t>
        </is>
      </c>
      <c r="F1301" s="17" t="inlineStr">
        <is>
          <t>TRUNG BÌNH</t>
        </is>
      </c>
      <c r="G1301" s="18" t="inlineStr">
        <is>
          <t>RISK_HIGH</t>
        </is>
      </c>
      <c r="H1301" s="19" t="n">
        <v>582.6964492797852</v>
      </c>
      <c r="I1301" s="19" t="n">
        <v>960.1069259643556</v>
      </c>
      <c r="J1301" s="19" t="n">
        <v>1454.931722961426</v>
      </c>
      <c r="K1301" s="19" t="n">
        <v>960.1069259643556</v>
      </c>
      <c r="L1301" s="19" t="n">
        <v>1269.372424087524</v>
      </c>
      <c r="M1301" s="19" t="n">
        <v>1454.931722961426</v>
      </c>
      <c r="N1301" s="17" t="inlineStr">
        <is>
          <t>B</t>
        </is>
      </c>
      <c r="O1301" s="19" t="n">
        <v>501.2868833160399</v>
      </c>
      <c r="P1301" s="18" t="inlineStr">
        <is>
          <t>CÂN NHẮC THỬ NGHIỆM</t>
        </is>
      </c>
      <c r="Q1301" s="17" t="inlineStr">
        <is>
          <t>Không</t>
        </is>
      </c>
      <c r="R1301" s="20" t="n"/>
      <c r="S1301" s="20" t="n"/>
      <c r="T1301" s="21" t="n"/>
      <c r="U1301" s="21" t="n"/>
      <c r="V1301" s="22">
        <f>IF(U1301="A",K1301,IF(U1301="B",L1301,IF(U1301="C",M1301,IF(N1301="A",K1301,IF(N1301="B",L1301,M1301)))))</f>
        <v/>
      </c>
      <c r="W1301" s="22">
        <f>IF(R1301="",O1301,MAX(V1301-R1301-N(S1301),0))</f>
        <v/>
      </c>
      <c r="X1301" s="20" t="n"/>
      <c r="Y1301" s="23">
        <f>IF(OR(X1301="",W1301=0),"",X1301/W1301-1)</f>
        <v/>
      </c>
      <c r="Z1301" s="24" t="n"/>
      <c r="AA1301" s="21" t="n"/>
      <c r="AB1301" s="25" t="n"/>
      <c r="AC1301" s="26">
        <f>IF(T1301="","Chưa quyết định",IF(OR(Z1301="",AA1301=""),"⚠ Thiếu lý do/người duyệt",IF(AND(X1301&lt;&gt;"",N(X1301)+N(R1301)+N(S1301)&gt;M1301*1.001,R1301&lt;&gt;""),"⚠ Vượt mục tiêu P90",IF(AND(Y1301&lt;&gt;"",ABS(N(Y1301))&gt;0.3),"⚠ Lệch &gt; 30% so với nhu cầu",IF(Q1301="Có","ℹ Kiểm tra ngoại suy KM","✓ Hợp lệ")))))</f>
        <v/>
      </c>
    </row>
    <row r="1302">
      <c r="A1302" s="16" t="n">
        <v>1298</v>
      </c>
      <c r="B1302" s="17" t="inlineStr">
        <is>
          <t>DEC-S18-LIQUOR_WINE_BEER</t>
        </is>
      </c>
      <c r="C1302" s="16" t="n">
        <v>18</v>
      </c>
      <c r="D1302" s="17" t="inlineStr">
        <is>
          <t>LIQUOR,WINE,BEER</t>
        </is>
      </c>
      <c r="E1302" s="17" t="inlineStr">
        <is>
          <t>HIGH</t>
        </is>
      </c>
      <c r="F1302" s="17" t="inlineStr">
        <is>
          <t>TRUNG BÌNH</t>
        </is>
      </c>
      <c r="G1302" s="18" t="inlineStr">
        <is>
          <t>RISK_HIGH</t>
        </is>
      </c>
      <c r="H1302" s="19" t="n">
        <v>617.0266876220703</v>
      </c>
      <c r="I1302" s="19" t="n">
        <v>957.9515609741212</v>
      </c>
      <c r="J1302" s="19" t="n">
        <v>1418.891211669922</v>
      </c>
      <c r="K1302" s="19" t="n">
        <v>957.9515609741212</v>
      </c>
      <c r="L1302" s="19" t="n">
        <v>1246.038842658997</v>
      </c>
      <c r="M1302" s="19" t="n">
        <v>1418.891211669922</v>
      </c>
      <c r="N1302" s="17" t="inlineStr">
        <is>
          <t>B</t>
        </is>
      </c>
      <c r="O1302" s="19" t="n">
        <v>479.6775938796997</v>
      </c>
      <c r="P1302" s="18" t="inlineStr">
        <is>
          <t>CÂN NHẮC THỬ NGHIỆM</t>
        </is>
      </c>
      <c r="Q1302" s="17" t="inlineStr">
        <is>
          <t>Không</t>
        </is>
      </c>
      <c r="R1302" s="20" t="n"/>
      <c r="S1302" s="20" t="n"/>
      <c r="T1302" s="21" t="n"/>
      <c r="U1302" s="21" t="n"/>
      <c r="V1302" s="22">
        <f>IF(U1302="A",K1302,IF(U1302="B",L1302,IF(U1302="C",M1302,IF(N1302="A",K1302,IF(N1302="B",L1302,M1302)))))</f>
        <v/>
      </c>
      <c r="W1302" s="22">
        <f>IF(R1302="",O1302,MAX(V1302-R1302-N(S1302),0))</f>
        <v/>
      </c>
      <c r="X1302" s="20" t="n"/>
      <c r="Y1302" s="23">
        <f>IF(OR(X1302="",W1302=0),"",X1302/W1302-1)</f>
        <v/>
      </c>
      <c r="Z1302" s="24" t="n"/>
      <c r="AA1302" s="21" t="n"/>
      <c r="AB1302" s="25" t="n"/>
      <c r="AC1302" s="26">
        <f>IF(T1302="","Chưa quyết định",IF(OR(Z1302="",AA1302=""),"⚠ Thiếu lý do/người duyệt",IF(AND(X1302&lt;&gt;"",N(X1302)+N(R1302)+N(S1302)&gt;M1302*1.001,R1302&lt;&gt;""),"⚠ Vượt mục tiêu P90",IF(AND(Y1302&lt;&gt;"",ABS(N(Y1302))&gt;0.3),"⚠ Lệch &gt; 30% so với nhu cầu",IF(Q1302="Có","ℹ Kiểm tra ngoại suy KM","✓ Hợp lệ")))))</f>
        <v/>
      </c>
    </row>
    <row r="1303">
      <c r="A1303" s="16" t="n">
        <v>1299</v>
      </c>
      <c r="B1303" s="17" t="inlineStr">
        <is>
          <t>DEC-S20-PREPARED_FOODS</t>
        </is>
      </c>
      <c r="C1303" s="16" t="n">
        <v>20</v>
      </c>
      <c r="D1303" s="17" t="inlineStr">
        <is>
          <t>PREPARED FOODS</t>
        </is>
      </c>
      <c r="E1303" s="17" t="inlineStr">
        <is>
          <t>HIGH</t>
        </is>
      </c>
      <c r="F1303" s="17" t="inlineStr">
        <is>
          <t>TRUNG BÌNH</t>
        </is>
      </c>
      <c r="G1303" s="18" t="inlineStr">
        <is>
          <t>RISK_HIGH</t>
        </is>
      </c>
      <c r="H1303" s="19" t="n">
        <v>572.0517234802246</v>
      </c>
      <c r="I1303" s="19" t="n">
        <v>949.4622001647948</v>
      </c>
      <c r="J1303" s="19" t="n">
        <v>1444.286997161865</v>
      </c>
      <c r="K1303" s="19" t="n">
        <v>949.4622001647948</v>
      </c>
      <c r="L1303" s="19" t="n">
        <v>1258.727698287964</v>
      </c>
      <c r="M1303" s="19" t="n">
        <v>1444.286997161865</v>
      </c>
      <c r="N1303" s="17" t="inlineStr">
        <is>
          <t>B</t>
        </is>
      </c>
      <c r="O1303" s="19" t="n">
        <v>499.1579381561279</v>
      </c>
      <c r="P1303" s="18" t="inlineStr">
        <is>
          <t>CÂN NHẮC THỬ NGHIỆM</t>
        </is>
      </c>
      <c r="Q1303" s="17" t="inlineStr">
        <is>
          <t>Không</t>
        </is>
      </c>
      <c r="R1303" s="20" t="n"/>
      <c r="S1303" s="20" t="n"/>
      <c r="T1303" s="21" t="n"/>
      <c r="U1303" s="21" t="n"/>
      <c r="V1303" s="22">
        <f>IF(U1303="A",K1303,IF(U1303="B",L1303,IF(U1303="C",M1303,IF(N1303="A",K1303,IF(N1303="B",L1303,M1303)))))</f>
        <v/>
      </c>
      <c r="W1303" s="22">
        <f>IF(R1303="",O1303,MAX(V1303-R1303-N(S1303),0))</f>
        <v/>
      </c>
      <c r="X1303" s="20" t="n"/>
      <c r="Y1303" s="23">
        <f>IF(OR(X1303="",W1303=0),"",X1303/W1303-1)</f>
        <v/>
      </c>
      <c r="Z1303" s="24" t="n"/>
      <c r="AA1303" s="21" t="n"/>
      <c r="AB1303" s="25" t="n"/>
      <c r="AC1303" s="26">
        <f>IF(T1303="","Chưa quyết định",IF(OR(Z1303="",AA1303=""),"⚠ Thiếu lý do/người duyệt",IF(AND(X1303&lt;&gt;"",N(X1303)+N(R1303)+N(S1303)&gt;M1303*1.001,R1303&lt;&gt;""),"⚠ Vượt mục tiêu P90",IF(AND(Y1303&lt;&gt;"",ABS(N(Y1303))&gt;0.3),"⚠ Lệch &gt; 30% so với nhu cầu",IF(Q1303="Có","ℹ Kiểm tra ngoại suy KM","✓ Hợp lệ")))))</f>
        <v/>
      </c>
    </row>
    <row r="1304">
      <c r="A1304" s="16" t="n">
        <v>1300</v>
      </c>
      <c r="B1304" s="17" t="inlineStr">
        <is>
          <t>DEC-S15-SCHOOL_AND_OFFICE_SUPPLIES</t>
        </is>
      </c>
      <c r="C1304" s="16" t="n">
        <v>15</v>
      </c>
      <c r="D1304" s="17" t="inlineStr">
        <is>
          <t>SCHOOL AND OFFICE SUPPLIES</t>
        </is>
      </c>
      <c r="E1304" s="17" t="inlineStr">
        <is>
          <t>MEDIUM</t>
        </is>
      </c>
      <c r="F1304" s="17" t="inlineStr">
        <is>
          <t>CAO</t>
        </is>
      </c>
      <c r="G1304" s="18" t="inlineStr">
        <is>
          <t>RISK_MEDIUM · PROMO_EXTRAPOLATION</t>
        </is>
      </c>
      <c r="H1304" s="19" t="n">
        <v>686.0866546630859</v>
      </c>
      <c r="I1304" s="19" t="n">
        <v>946.9784469604492</v>
      </c>
      <c r="J1304" s="19" t="n">
        <v>1288.411492336273</v>
      </c>
      <c r="K1304" s="19" t="n">
        <v>946.9784469604492</v>
      </c>
      <c r="L1304" s="19" t="n">
        <v>1160.374100320339</v>
      </c>
      <c r="M1304" s="19" t="n">
        <v>1288.411492336273</v>
      </c>
      <c r="N1304" s="17" t="inlineStr">
        <is>
          <t>C</t>
        </is>
      </c>
      <c r="O1304" s="19" t="n">
        <v>530.8287347679137</v>
      </c>
      <c r="P1304" s="18" t="inlineStr">
        <is>
          <t>CÂN NHẮC THỬ NGHIỆM</t>
        </is>
      </c>
      <c r="Q1304" s="17" t="inlineStr">
        <is>
          <t>Có</t>
        </is>
      </c>
      <c r="R1304" s="20" t="n"/>
      <c r="S1304" s="20" t="n"/>
      <c r="T1304" s="21" t="n"/>
      <c r="U1304" s="21" t="n"/>
      <c r="V1304" s="22">
        <f>IF(U1304="A",K1304,IF(U1304="B",L1304,IF(U1304="C",M1304,IF(N1304="A",K1304,IF(N1304="B",L1304,M1304)))))</f>
        <v/>
      </c>
      <c r="W1304" s="22">
        <f>IF(R1304="",O1304,MAX(V1304-R1304-N(S1304),0))</f>
        <v/>
      </c>
      <c r="X1304" s="20" t="n"/>
      <c r="Y1304" s="23">
        <f>IF(OR(X1304="",W1304=0),"",X1304/W1304-1)</f>
        <v/>
      </c>
      <c r="Z1304" s="24" t="n"/>
      <c r="AA1304" s="21" t="n"/>
      <c r="AB1304" s="25" t="n"/>
      <c r="AC1304" s="26">
        <f>IF(T1304="","Chưa quyết định",IF(OR(Z1304="",AA1304=""),"⚠ Thiếu lý do/người duyệt",IF(AND(X1304&lt;&gt;"",N(X1304)+N(R1304)+N(S1304)&gt;M1304*1.001,R1304&lt;&gt;""),"⚠ Vượt mục tiêu P90",IF(AND(Y1304&lt;&gt;"",ABS(N(Y1304))&gt;0.3),"⚠ Lệch &gt; 30% so với nhu cầu",IF(Q1304="Có","ℹ Kiểm tra ngoại suy KM","✓ Hợp lệ")))))</f>
        <v/>
      </c>
    </row>
    <row r="1305">
      <c r="A1305" s="16" t="n">
        <v>1301</v>
      </c>
      <c r="B1305" s="17" t="inlineStr">
        <is>
          <t>DEC-S09-LIQUOR_WINE_BEER</t>
        </is>
      </c>
      <c r="C1305" s="16" t="n">
        <v>9</v>
      </c>
      <c r="D1305" s="17" t="inlineStr">
        <is>
          <t>LIQUOR,WINE,BEER</t>
        </is>
      </c>
      <c r="E1305" s="17" t="inlineStr">
        <is>
          <t>HIGH</t>
        </is>
      </c>
      <c r="F1305" s="17" t="inlineStr">
        <is>
          <t>TRUNG BÌNH</t>
        </is>
      </c>
      <c r="G1305" s="18" t="inlineStr">
        <is>
          <t>RISK_HIGH</t>
        </is>
      </c>
      <c r="H1305" s="19" t="n">
        <v>585.7002029418945</v>
      </c>
      <c r="I1305" s="19" t="n">
        <v>944.8678779602052</v>
      </c>
      <c r="J1305" s="19" t="n">
        <v>1422.75010180664</v>
      </c>
      <c r="K1305" s="19" t="n">
        <v>944.8678779602052</v>
      </c>
      <c r="L1305" s="19" t="n">
        <v>1243.544267864227</v>
      </c>
      <c r="M1305" s="19" t="n">
        <v>1422.75010180664</v>
      </c>
      <c r="N1305" s="17" t="inlineStr">
        <is>
          <t>B</t>
        </is>
      </c>
      <c r="O1305" s="19" t="n">
        <v>487.649965496063</v>
      </c>
      <c r="P1305" s="18" t="inlineStr">
        <is>
          <t>CÂN NHẮC THỬ NGHIỆM</t>
        </is>
      </c>
      <c r="Q1305" s="17" t="inlineStr">
        <is>
          <t>Không</t>
        </is>
      </c>
      <c r="R1305" s="20" t="n"/>
      <c r="S1305" s="20" t="n"/>
      <c r="T1305" s="21" t="n"/>
      <c r="U1305" s="21" t="n"/>
      <c r="V1305" s="22">
        <f>IF(U1305="A",K1305,IF(U1305="B",L1305,IF(U1305="C",M1305,IF(N1305="A",K1305,IF(N1305="B",L1305,M1305)))))</f>
        <v/>
      </c>
      <c r="W1305" s="22">
        <f>IF(R1305="",O1305,MAX(V1305-R1305-N(S1305),0))</f>
        <v/>
      </c>
      <c r="X1305" s="20" t="n"/>
      <c r="Y1305" s="23">
        <f>IF(OR(X1305="",W1305=0),"",X1305/W1305-1)</f>
        <v/>
      </c>
      <c r="Z1305" s="24" t="n"/>
      <c r="AA1305" s="21" t="n"/>
      <c r="AB1305" s="25" t="n"/>
      <c r="AC1305" s="26">
        <f>IF(T1305="","Chưa quyết định",IF(OR(Z1305="",AA1305=""),"⚠ Thiếu lý do/người duyệt",IF(AND(X1305&lt;&gt;"",N(X1305)+N(R1305)+N(S1305)&gt;M1305*1.001,R1305&lt;&gt;""),"⚠ Vượt mục tiêu P90",IF(AND(Y1305&lt;&gt;"",ABS(N(Y1305))&gt;0.3),"⚠ Lệch &gt; 30% so với nhu cầu",IF(Q1305="Có","ℹ Kiểm tra ngoại suy KM","✓ Hợp lệ")))))</f>
        <v/>
      </c>
    </row>
    <row r="1306">
      <c r="A1306" s="16" t="n">
        <v>1302</v>
      </c>
      <c r="B1306" s="17" t="inlineStr">
        <is>
          <t>DEC-S52-LAWN_AND_GARDEN</t>
        </is>
      </c>
      <c r="C1306" s="16" t="n">
        <v>52</v>
      </c>
      <c r="D1306" s="17" t="inlineStr">
        <is>
          <t>LAWN AND GARDEN</t>
        </is>
      </c>
      <c r="E1306" s="17" t="inlineStr">
        <is>
          <t>HIGH</t>
        </is>
      </c>
      <c r="F1306" s="17" t="inlineStr">
        <is>
          <t>TRUNG BÌNH</t>
        </is>
      </c>
      <c r="G1306" s="18" t="inlineStr">
        <is>
          <t>RISK_HIGH</t>
        </is>
      </c>
      <c r="H1306" s="19" t="n">
        <v>579.7137413024902</v>
      </c>
      <c r="I1306" s="19" t="n">
        <v>938.8814163208008</v>
      </c>
      <c r="J1306" s="19" t="n">
        <v>1416.763640167236</v>
      </c>
      <c r="K1306" s="19" t="n">
        <v>938.8814163208008</v>
      </c>
      <c r="L1306" s="19" t="n">
        <v>1237.557806224823</v>
      </c>
      <c r="M1306" s="19" t="n">
        <v>1416.763640167236</v>
      </c>
      <c r="N1306" s="17" t="inlineStr">
        <is>
          <t>B</t>
        </is>
      </c>
      <c r="O1306" s="19" t="n">
        <v>486.4526731681822</v>
      </c>
      <c r="P1306" s="18" t="inlineStr">
        <is>
          <t>CÂN NHẮC THỬ NGHIỆM</t>
        </is>
      </c>
      <c r="Q1306" s="17" t="inlineStr">
        <is>
          <t>Không</t>
        </is>
      </c>
      <c r="R1306" s="20" t="n"/>
      <c r="S1306" s="20" t="n"/>
      <c r="T1306" s="21" t="n"/>
      <c r="U1306" s="21" t="n"/>
      <c r="V1306" s="22">
        <f>IF(U1306="A",K1306,IF(U1306="B",L1306,IF(U1306="C",M1306,IF(N1306="A",K1306,IF(N1306="B",L1306,M1306)))))</f>
        <v/>
      </c>
      <c r="W1306" s="22">
        <f>IF(R1306="",O1306,MAX(V1306-R1306-N(S1306),0))</f>
        <v/>
      </c>
      <c r="X1306" s="20" t="n"/>
      <c r="Y1306" s="23">
        <f>IF(OR(X1306="",W1306=0),"",X1306/W1306-1)</f>
        <v/>
      </c>
      <c r="Z1306" s="24" t="n"/>
      <c r="AA1306" s="21" t="n"/>
      <c r="AB1306" s="25" t="n"/>
      <c r="AC1306" s="26">
        <f>IF(T1306="","Chưa quyết định",IF(OR(Z1306="",AA1306=""),"⚠ Thiếu lý do/người duyệt",IF(AND(X1306&lt;&gt;"",N(X1306)+N(R1306)+N(S1306)&gt;M1306*1.001,R1306&lt;&gt;""),"⚠ Vượt mục tiêu P90",IF(AND(Y1306&lt;&gt;"",ABS(N(Y1306))&gt;0.3),"⚠ Lệch &gt; 30% so với nhu cầu",IF(Q1306="Có","ℹ Kiểm tra ngoại suy KM","✓ Hợp lệ")))))</f>
        <v/>
      </c>
    </row>
    <row r="1307">
      <c r="A1307" s="16" t="n">
        <v>1303</v>
      </c>
      <c r="B1307" s="17" t="inlineStr">
        <is>
          <t>DEC-S05-LIQUOR_WINE_BEER</t>
        </is>
      </c>
      <c r="C1307" s="16" t="n">
        <v>5</v>
      </c>
      <c r="D1307" s="17" t="inlineStr">
        <is>
          <t>LIQUOR,WINE,BEER</t>
        </is>
      </c>
      <c r="E1307" s="17" t="inlineStr">
        <is>
          <t>HIGH</t>
        </is>
      </c>
      <c r="F1307" s="17" t="inlineStr">
        <is>
          <t>TRUNG BÌNH</t>
        </is>
      </c>
      <c r="G1307" s="18" t="inlineStr">
        <is>
          <t>RISK_HIGH</t>
        </is>
      </c>
      <c r="H1307" s="19" t="n">
        <v>575.7127265930176</v>
      </c>
      <c r="I1307" s="19" t="n">
        <v>934.880401611328</v>
      </c>
      <c r="J1307" s="19" t="n">
        <v>1412.762625457764</v>
      </c>
      <c r="K1307" s="19" t="n">
        <v>934.880401611328</v>
      </c>
      <c r="L1307" s="19" t="n">
        <v>1233.55679151535</v>
      </c>
      <c r="M1307" s="19" t="n">
        <v>1412.762625457764</v>
      </c>
      <c r="N1307" s="17" t="inlineStr">
        <is>
          <t>B</t>
        </is>
      </c>
      <c r="O1307" s="19" t="n">
        <v>485.6524702262876</v>
      </c>
      <c r="P1307" s="18" t="inlineStr">
        <is>
          <t>CÂN NHẮC THỬ NGHIỆM</t>
        </is>
      </c>
      <c r="Q1307" s="17" t="inlineStr">
        <is>
          <t>Không</t>
        </is>
      </c>
      <c r="R1307" s="20" t="n"/>
      <c r="S1307" s="20" t="n"/>
      <c r="T1307" s="21" t="n"/>
      <c r="U1307" s="21" t="n"/>
      <c r="V1307" s="22">
        <f>IF(U1307="A",K1307,IF(U1307="B",L1307,IF(U1307="C",M1307,IF(N1307="A",K1307,IF(N1307="B",L1307,M1307)))))</f>
        <v/>
      </c>
      <c r="W1307" s="22">
        <f>IF(R1307="",O1307,MAX(V1307-R1307-N(S1307),0))</f>
        <v/>
      </c>
      <c r="X1307" s="20" t="n"/>
      <c r="Y1307" s="23">
        <f>IF(OR(X1307="",W1307=0),"",X1307/W1307-1)</f>
        <v/>
      </c>
      <c r="Z1307" s="24" t="n"/>
      <c r="AA1307" s="21" t="n"/>
      <c r="AB1307" s="25" t="n"/>
      <c r="AC1307" s="26">
        <f>IF(T1307="","Chưa quyết định",IF(OR(Z1307="",AA1307=""),"⚠ Thiếu lý do/người duyệt",IF(AND(X1307&lt;&gt;"",N(X1307)+N(R1307)+N(S1307)&gt;M1307*1.001,R1307&lt;&gt;""),"⚠ Vượt mục tiêu P90",IF(AND(Y1307&lt;&gt;"",ABS(N(Y1307))&gt;0.3),"⚠ Lệch &gt; 30% so với nhu cầu",IF(Q1307="Có","ℹ Kiểm tra ngoại suy KM","✓ Hợp lệ")))))</f>
        <v/>
      </c>
    </row>
    <row r="1308">
      <c r="A1308" s="16" t="n">
        <v>1304</v>
      </c>
      <c r="B1308" s="17" t="inlineStr">
        <is>
          <t>DEC-S31-PREPARED_FOODS</t>
        </is>
      </c>
      <c r="C1308" s="16" t="n">
        <v>31</v>
      </c>
      <c r="D1308" s="17" t="inlineStr">
        <is>
          <t>PREPARED FOODS</t>
        </is>
      </c>
      <c r="E1308" s="17" t="inlineStr">
        <is>
          <t>HIGH</t>
        </is>
      </c>
      <c r="F1308" s="17" t="inlineStr">
        <is>
          <t>TRUNG BÌNH</t>
        </is>
      </c>
      <c r="G1308" s="18" t="inlineStr">
        <is>
          <t>RISK_HIGH</t>
        </is>
      </c>
      <c r="H1308" s="19" t="n">
        <v>584.9454689025879</v>
      </c>
      <c r="I1308" s="19" t="n">
        <v>925.8703422546388</v>
      </c>
      <c r="J1308" s="19" t="n">
        <v>1386.809992950439</v>
      </c>
      <c r="K1308" s="19" t="n">
        <v>925.8703422546388</v>
      </c>
      <c r="L1308" s="19" t="n">
        <v>1213.957623939514</v>
      </c>
      <c r="M1308" s="19" t="n">
        <v>1386.809992950439</v>
      </c>
      <c r="N1308" s="17" t="inlineStr">
        <is>
          <t>B</t>
        </is>
      </c>
      <c r="O1308" s="19" t="n">
        <v>473.2613501358032</v>
      </c>
      <c r="P1308" s="18" t="inlineStr">
        <is>
          <t>CÂN NHẮC THỬ NGHIỆM</t>
        </is>
      </c>
      <c r="Q1308" s="17" t="inlineStr">
        <is>
          <t>Không</t>
        </is>
      </c>
      <c r="R1308" s="20" t="n"/>
      <c r="S1308" s="20" t="n"/>
      <c r="T1308" s="21" t="n"/>
      <c r="U1308" s="21" t="n"/>
      <c r="V1308" s="22">
        <f>IF(U1308="A",K1308,IF(U1308="B",L1308,IF(U1308="C",M1308,IF(N1308="A",K1308,IF(N1308="B",L1308,M1308)))))</f>
        <v/>
      </c>
      <c r="W1308" s="22">
        <f>IF(R1308="",O1308,MAX(V1308-R1308-N(S1308),0))</f>
        <v/>
      </c>
      <c r="X1308" s="20" t="n"/>
      <c r="Y1308" s="23">
        <f>IF(OR(X1308="",W1308=0),"",X1308/W1308-1)</f>
        <v/>
      </c>
      <c r="Z1308" s="24" t="n"/>
      <c r="AA1308" s="21" t="n"/>
      <c r="AB1308" s="25" t="n"/>
      <c r="AC1308" s="26">
        <f>IF(T1308="","Chưa quyết định",IF(OR(Z1308="",AA1308=""),"⚠ Thiếu lý do/người duyệt",IF(AND(X1308&lt;&gt;"",N(X1308)+N(R1308)+N(S1308)&gt;M1308*1.001,R1308&lt;&gt;""),"⚠ Vượt mục tiêu P90",IF(AND(Y1308&lt;&gt;"",ABS(N(Y1308))&gt;0.3),"⚠ Lệch &gt; 30% so với nhu cầu",IF(Q1308="Có","ℹ Kiểm tra ngoại suy KM","✓ Hợp lệ")))))</f>
        <v/>
      </c>
    </row>
    <row r="1309">
      <c r="A1309" s="16" t="n">
        <v>1305</v>
      </c>
      <c r="B1309" s="17" t="inlineStr">
        <is>
          <t>DEC-S22-EGGS</t>
        </is>
      </c>
      <c r="C1309" s="16" t="n">
        <v>22</v>
      </c>
      <c r="D1309" s="17" t="inlineStr">
        <is>
          <t>EGGS</t>
        </is>
      </c>
      <c r="E1309" s="17" t="inlineStr">
        <is>
          <t>HIGH</t>
        </is>
      </c>
      <c r="F1309" s="17" t="inlineStr">
        <is>
          <t>TRUNG BÌNH</t>
        </is>
      </c>
      <c r="G1309" s="18" t="inlineStr">
        <is>
          <t>RISK_HIGH</t>
        </is>
      </c>
      <c r="H1309" s="19" t="n">
        <v>556.5793266296387</v>
      </c>
      <c r="I1309" s="19" t="n">
        <v>915.7470016479492</v>
      </c>
      <c r="J1309" s="19" t="n">
        <v>1393.629225494385</v>
      </c>
      <c r="K1309" s="19" t="n">
        <v>915.7470016479492</v>
      </c>
      <c r="L1309" s="19" t="n">
        <v>1214.423391551971</v>
      </c>
      <c r="M1309" s="19" t="n">
        <v>1393.629225494385</v>
      </c>
      <c r="N1309" s="17" t="inlineStr">
        <is>
          <t>B</t>
        </is>
      </c>
      <c r="O1309" s="19" t="n">
        <v>481.8257902336118</v>
      </c>
      <c r="P1309" s="18" t="inlineStr">
        <is>
          <t>CÂN NHẮC THỬ NGHIỆM</t>
        </is>
      </c>
      <c r="Q1309" s="17" t="inlineStr">
        <is>
          <t>Không</t>
        </is>
      </c>
      <c r="R1309" s="20" t="n"/>
      <c r="S1309" s="20" t="n"/>
      <c r="T1309" s="21" t="n"/>
      <c r="U1309" s="21" t="n"/>
      <c r="V1309" s="22">
        <f>IF(U1309="A",K1309,IF(U1309="B",L1309,IF(U1309="C",M1309,IF(N1309="A",K1309,IF(N1309="B",L1309,M1309)))))</f>
        <v/>
      </c>
      <c r="W1309" s="22">
        <f>IF(R1309="",O1309,MAX(V1309-R1309-N(S1309),0))</f>
        <v/>
      </c>
      <c r="X1309" s="20" t="n"/>
      <c r="Y1309" s="23">
        <f>IF(OR(X1309="",W1309=0),"",X1309/W1309-1)</f>
        <v/>
      </c>
      <c r="Z1309" s="24" t="n"/>
      <c r="AA1309" s="21" t="n"/>
      <c r="AB1309" s="25" t="n"/>
      <c r="AC1309" s="26">
        <f>IF(T1309="","Chưa quyết định",IF(OR(Z1309="",AA1309=""),"⚠ Thiếu lý do/người duyệt",IF(AND(X1309&lt;&gt;"",N(X1309)+N(R1309)+N(S1309)&gt;M1309*1.001,R1309&lt;&gt;""),"⚠ Vượt mục tiêu P90",IF(AND(Y1309&lt;&gt;"",ABS(N(Y1309))&gt;0.3),"⚠ Lệch &gt; 30% so với nhu cầu",IF(Q1309="Có","ℹ Kiểm tra ngoại suy KM","✓ Hợp lệ")))))</f>
        <v/>
      </c>
    </row>
    <row r="1310">
      <c r="A1310" s="16" t="n">
        <v>1306</v>
      </c>
      <c r="B1310" s="17" t="inlineStr">
        <is>
          <t>DEC-S37-PREPARED_FOODS</t>
        </is>
      </c>
      <c r="C1310" s="16" t="n">
        <v>37</v>
      </c>
      <c r="D1310" s="17" t="inlineStr">
        <is>
          <t>PREPARED FOODS</t>
        </is>
      </c>
      <c r="E1310" s="17" t="inlineStr">
        <is>
          <t>HIGH</t>
        </is>
      </c>
      <c r="F1310" s="17" t="inlineStr">
        <is>
          <t>TRUNG BÌNH</t>
        </is>
      </c>
      <c r="G1310" s="18" t="inlineStr">
        <is>
          <t>RISK_HIGH</t>
        </is>
      </c>
      <c r="H1310" s="19" t="n">
        <v>609.7008361816406</v>
      </c>
      <c r="I1310" s="19" t="n">
        <v>914.140106201172</v>
      </c>
      <c r="J1310" s="19" t="n">
        <v>1341.194610595703</v>
      </c>
      <c r="K1310" s="19" t="n">
        <v>914.140106201172</v>
      </c>
      <c r="L1310" s="19" t="n">
        <v>1181.049171447754</v>
      </c>
      <c r="M1310" s="19" t="n">
        <v>1341.194610595703</v>
      </c>
      <c r="N1310" s="17" t="inlineStr">
        <is>
          <t>B</t>
        </is>
      </c>
      <c r="O1310" s="19" t="n">
        <v>449.7370864868163</v>
      </c>
      <c r="P1310" s="18" t="inlineStr">
        <is>
          <t>CÂN NHẮC THỬ NGHIỆM</t>
        </is>
      </c>
      <c r="Q1310" s="17" t="inlineStr">
        <is>
          <t>Không</t>
        </is>
      </c>
      <c r="R1310" s="20" t="n"/>
      <c r="S1310" s="20" t="n"/>
      <c r="T1310" s="21" t="n"/>
      <c r="U1310" s="21" t="n"/>
      <c r="V1310" s="22">
        <f>IF(U1310="A",K1310,IF(U1310="B",L1310,IF(U1310="C",M1310,IF(N1310="A",K1310,IF(N1310="B",L1310,M1310)))))</f>
        <v/>
      </c>
      <c r="W1310" s="22">
        <f>IF(R1310="",O1310,MAX(V1310-R1310-N(S1310),0))</f>
        <v/>
      </c>
      <c r="X1310" s="20" t="n"/>
      <c r="Y1310" s="23">
        <f>IF(OR(X1310="",W1310=0),"",X1310/W1310-1)</f>
        <v/>
      </c>
      <c r="Z1310" s="24" t="n"/>
      <c r="AA1310" s="21" t="n"/>
      <c r="AB1310" s="25" t="n"/>
      <c r="AC1310" s="26">
        <f>IF(T1310="","Chưa quyết định",IF(OR(Z1310="",AA1310=""),"⚠ Thiếu lý do/người duyệt",IF(AND(X1310&lt;&gt;"",N(X1310)+N(R1310)+N(S1310)&gt;M1310*1.001,R1310&lt;&gt;""),"⚠ Vượt mục tiêu P90",IF(AND(Y1310&lt;&gt;"",ABS(N(Y1310))&gt;0.3),"⚠ Lệch &gt; 30% so với nhu cầu",IF(Q1310="Có","ℹ Kiểm tra ngoại suy KM","✓ Hợp lệ")))))</f>
        <v/>
      </c>
    </row>
    <row r="1311">
      <c r="A1311" s="16" t="n">
        <v>1307</v>
      </c>
      <c r="B1311" s="17" t="inlineStr">
        <is>
          <t>DEC-S36-LIQUOR_WINE_BEER</t>
        </is>
      </c>
      <c r="C1311" s="16" t="n">
        <v>36</v>
      </c>
      <c r="D1311" s="17" t="inlineStr">
        <is>
          <t>LIQUOR,WINE,BEER</t>
        </is>
      </c>
      <c r="E1311" s="17" t="inlineStr">
        <is>
          <t>HIGH</t>
        </is>
      </c>
      <c r="F1311" s="17" t="inlineStr">
        <is>
          <t>TRUNG BÌNH</t>
        </is>
      </c>
      <c r="G1311" s="18" t="inlineStr">
        <is>
          <t>RISK_HIGH</t>
        </is>
      </c>
      <c r="H1311" s="19" t="n">
        <v>567.1662139892578</v>
      </c>
      <c r="I1311" s="19" t="n">
        <v>908.0910873413086</v>
      </c>
      <c r="J1311" s="19" t="n">
        <v>1369.030738037109</v>
      </c>
      <c r="K1311" s="19" t="n">
        <v>908.0910873413086</v>
      </c>
      <c r="L1311" s="19" t="n">
        <v>1196.178369026184</v>
      </c>
      <c r="M1311" s="19" t="n">
        <v>1369.030738037109</v>
      </c>
      <c r="N1311" s="17" t="inlineStr">
        <is>
          <t>B</t>
        </is>
      </c>
      <c r="O1311" s="19" t="n">
        <v>469.7054991531372</v>
      </c>
      <c r="P1311" s="18" t="inlineStr">
        <is>
          <t>CÂN NHẮC THỬ NGHIỆM</t>
        </is>
      </c>
      <c r="Q1311" s="17" t="inlineStr">
        <is>
          <t>Không</t>
        </is>
      </c>
      <c r="R1311" s="20" t="n"/>
      <c r="S1311" s="20" t="n"/>
      <c r="T1311" s="21" t="n"/>
      <c r="U1311" s="21" t="n"/>
      <c r="V1311" s="22">
        <f>IF(U1311="A",K1311,IF(U1311="B",L1311,IF(U1311="C",M1311,IF(N1311="A",K1311,IF(N1311="B",L1311,M1311)))))</f>
        <v/>
      </c>
      <c r="W1311" s="22">
        <f>IF(R1311="",O1311,MAX(V1311-R1311-N(S1311),0))</f>
        <v/>
      </c>
      <c r="X1311" s="20" t="n"/>
      <c r="Y1311" s="23">
        <f>IF(OR(X1311="",W1311=0),"",X1311/W1311-1)</f>
        <v/>
      </c>
      <c r="Z1311" s="24" t="n"/>
      <c r="AA1311" s="21" t="n"/>
      <c r="AB1311" s="25" t="n"/>
      <c r="AC1311" s="26">
        <f>IF(T1311="","Chưa quyết định",IF(OR(Z1311="",AA1311=""),"⚠ Thiếu lý do/người duyệt",IF(AND(X1311&lt;&gt;"",N(X1311)+N(R1311)+N(S1311)&gt;M1311*1.001,R1311&lt;&gt;""),"⚠ Vượt mục tiêu P90",IF(AND(Y1311&lt;&gt;"",ABS(N(Y1311))&gt;0.3),"⚠ Lệch &gt; 30% so với nhu cầu",IF(Q1311="Có","ℹ Kiểm tra ngoại suy KM","✓ Hợp lệ")))))</f>
        <v/>
      </c>
    </row>
    <row r="1312">
      <c r="A1312" s="16" t="n">
        <v>1308</v>
      </c>
      <c r="B1312" s="17" t="inlineStr">
        <is>
          <t>DEC-S15-FROZEN_FOODS</t>
        </is>
      </c>
      <c r="C1312" s="16" t="n">
        <v>15</v>
      </c>
      <c r="D1312" s="17" t="inlineStr">
        <is>
          <t>FROZEN FOODS</t>
        </is>
      </c>
      <c r="E1312" s="17" t="inlineStr">
        <is>
          <t>HIGH</t>
        </is>
      </c>
      <c r="F1312" s="17" t="inlineStr">
        <is>
          <t>TRUNG BÌNH</t>
        </is>
      </c>
      <c r="G1312" s="18" t="inlineStr">
        <is>
          <t>RISK_HIGH</t>
        </is>
      </c>
      <c r="H1312" s="19" t="n">
        <v>564.8159599304199</v>
      </c>
      <c r="I1312" s="19" t="n">
        <v>905.7408332824708</v>
      </c>
      <c r="J1312" s="19" t="n">
        <v>1366.680483978272</v>
      </c>
      <c r="K1312" s="19" t="n">
        <v>905.7408332824708</v>
      </c>
      <c r="L1312" s="19" t="n">
        <v>1193.828114967346</v>
      </c>
      <c r="M1312" s="19" t="n">
        <v>1366.680483978272</v>
      </c>
      <c r="N1312" s="17" t="inlineStr">
        <is>
          <t>B</t>
        </is>
      </c>
      <c r="O1312" s="19" t="n">
        <v>469.2354483413697</v>
      </c>
      <c r="P1312" s="18" t="inlineStr">
        <is>
          <t>CÂN NHẮC THỬ NGHIỆM</t>
        </is>
      </c>
      <c r="Q1312" s="17" t="inlineStr">
        <is>
          <t>Không</t>
        </is>
      </c>
      <c r="R1312" s="20" t="n"/>
      <c r="S1312" s="20" t="n"/>
      <c r="T1312" s="21" t="n"/>
      <c r="U1312" s="21" t="n"/>
      <c r="V1312" s="22">
        <f>IF(U1312="A",K1312,IF(U1312="B",L1312,IF(U1312="C",M1312,IF(N1312="A",K1312,IF(N1312="B",L1312,M1312)))))</f>
        <v/>
      </c>
      <c r="W1312" s="22">
        <f>IF(R1312="",O1312,MAX(V1312-R1312-N(S1312),0))</f>
        <v/>
      </c>
      <c r="X1312" s="20" t="n"/>
      <c r="Y1312" s="23">
        <f>IF(OR(X1312="",W1312=0),"",X1312/W1312-1)</f>
        <v/>
      </c>
      <c r="Z1312" s="24" t="n"/>
      <c r="AA1312" s="21" t="n"/>
      <c r="AB1312" s="25" t="n"/>
      <c r="AC1312" s="26">
        <f>IF(T1312="","Chưa quyết định",IF(OR(Z1312="",AA1312=""),"⚠ Thiếu lý do/người duyệt",IF(AND(X1312&lt;&gt;"",N(X1312)+N(R1312)+N(S1312)&gt;M1312*1.001,R1312&lt;&gt;""),"⚠ Vượt mục tiêu P90",IF(AND(Y1312&lt;&gt;"",ABS(N(Y1312))&gt;0.3),"⚠ Lệch &gt; 30% so với nhu cầu",IF(Q1312="Có","ℹ Kiểm tra ngoại suy KM","✓ Hợp lệ")))))</f>
        <v/>
      </c>
    </row>
    <row r="1313">
      <c r="A1313" s="16" t="n">
        <v>1309</v>
      </c>
      <c r="B1313" s="17" t="inlineStr">
        <is>
          <t>DEC-S13-SCHOOL_AND_OFFICE_SUPPLIES</t>
        </is>
      </c>
      <c r="C1313" s="16" t="n">
        <v>13</v>
      </c>
      <c r="D1313" s="17" t="inlineStr">
        <is>
          <t>SCHOOL AND OFFICE SUPPLIES</t>
        </is>
      </c>
      <c r="E1313" s="17" t="inlineStr">
        <is>
          <t>MEDIUM</t>
        </is>
      </c>
      <c r="F1313" s="17" t="inlineStr">
        <is>
          <t>CAO</t>
        </is>
      </c>
      <c r="G1313" s="18" t="inlineStr">
        <is>
          <t>RISK_MEDIUM · PROMO_EXTRAPOLATION</t>
        </is>
      </c>
      <c r="H1313" s="19" t="n">
        <v>643.2798309326172</v>
      </c>
      <c r="I1313" s="19" t="n">
        <v>904.1716232299804</v>
      </c>
      <c r="J1313" s="19" t="n">
        <v>1245.604668605804</v>
      </c>
      <c r="K1313" s="19" t="n">
        <v>904.1716232299804</v>
      </c>
      <c r="L1313" s="19" t="n">
        <v>1117.56727658987</v>
      </c>
      <c r="M1313" s="19" t="n">
        <v>1245.604668605804</v>
      </c>
      <c r="N1313" s="17" t="inlineStr">
        <is>
          <t>C</t>
        </is>
      </c>
      <c r="O1313" s="19" t="n">
        <v>522.2673700218199</v>
      </c>
      <c r="P1313" s="18" t="inlineStr">
        <is>
          <t>CÂN NHẮC THỬ NGHIỆM</t>
        </is>
      </c>
      <c r="Q1313" s="17" t="inlineStr">
        <is>
          <t>Có</t>
        </is>
      </c>
      <c r="R1313" s="20" t="n"/>
      <c r="S1313" s="20" t="n"/>
      <c r="T1313" s="21" t="n"/>
      <c r="U1313" s="21" t="n"/>
      <c r="V1313" s="22">
        <f>IF(U1313="A",K1313,IF(U1313="B",L1313,IF(U1313="C",M1313,IF(N1313="A",K1313,IF(N1313="B",L1313,M1313)))))</f>
        <v/>
      </c>
      <c r="W1313" s="22">
        <f>IF(R1313="",O1313,MAX(V1313-R1313-N(S1313),0))</f>
        <v/>
      </c>
      <c r="X1313" s="20" t="n"/>
      <c r="Y1313" s="23">
        <f>IF(OR(X1313="",W1313=0),"",X1313/W1313-1)</f>
        <v/>
      </c>
      <c r="Z1313" s="24" t="n"/>
      <c r="AA1313" s="21" t="n"/>
      <c r="AB1313" s="25" t="n"/>
      <c r="AC1313" s="26">
        <f>IF(T1313="","Chưa quyết định",IF(OR(Z1313="",AA1313=""),"⚠ Thiếu lý do/người duyệt",IF(AND(X1313&lt;&gt;"",N(X1313)+N(R1313)+N(S1313)&gt;M1313*1.001,R1313&lt;&gt;""),"⚠ Vượt mục tiêu P90",IF(AND(Y1313&lt;&gt;"",ABS(N(Y1313))&gt;0.3),"⚠ Lệch &gt; 30% so với nhu cầu",IF(Q1313="Có","ℹ Kiểm tra ngoại suy KM","✓ Hợp lệ")))))</f>
        <v/>
      </c>
    </row>
    <row r="1314">
      <c r="A1314" s="16" t="n">
        <v>1310</v>
      </c>
      <c r="B1314" s="17" t="inlineStr">
        <is>
          <t>DEC-S03-LAWN_AND_GARDEN</t>
        </is>
      </c>
      <c r="C1314" s="16" t="n">
        <v>3</v>
      </c>
      <c r="D1314" s="17" t="inlineStr">
        <is>
          <t>LAWN AND GARDEN</t>
        </is>
      </c>
      <c r="E1314" s="17" t="inlineStr">
        <is>
          <t>HIGH</t>
        </is>
      </c>
      <c r="F1314" s="17" t="inlineStr">
        <is>
          <t>TRUNG BÌNH</t>
        </is>
      </c>
      <c r="G1314" s="18" t="inlineStr">
        <is>
          <t>RISK_HIGH</t>
        </is>
      </c>
      <c r="H1314" s="19" t="n">
        <v>576.5624923706055</v>
      </c>
      <c r="I1314" s="19" t="n">
        <v>899.2445640563965</v>
      </c>
      <c r="J1314" s="19" t="n">
        <v>1343.241641601563</v>
      </c>
      <c r="K1314" s="19" t="n">
        <v>899.2445640563965</v>
      </c>
      <c r="L1314" s="19" t="n">
        <v>1176.742737522125</v>
      </c>
      <c r="M1314" s="19" t="n">
        <v>1343.241641601563</v>
      </c>
      <c r="N1314" s="17" t="inlineStr">
        <is>
          <t>B</t>
        </is>
      </c>
      <c r="O1314" s="19" t="n">
        <v>457.347086277008</v>
      </c>
      <c r="P1314" s="18" t="inlineStr">
        <is>
          <t>CÂN NHẮC THỬ NGHIỆM</t>
        </is>
      </c>
      <c r="Q1314" s="17" t="inlineStr">
        <is>
          <t>Không</t>
        </is>
      </c>
      <c r="R1314" s="20" t="n"/>
      <c r="S1314" s="20" t="n"/>
      <c r="T1314" s="21" t="n"/>
      <c r="U1314" s="21" t="n"/>
      <c r="V1314" s="22">
        <f>IF(U1314="A",K1314,IF(U1314="B",L1314,IF(U1314="C",M1314,IF(N1314="A",K1314,IF(N1314="B",L1314,M1314)))))</f>
        <v/>
      </c>
      <c r="W1314" s="22">
        <f>IF(R1314="",O1314,MAX(V1314-R1314-N(S1314),0))</f>
        <v/>
      </c>
      <c r="X1314" s="20" t="n"/>
      <c r="Y1314" s="23">
        <f>IF(OR(X1314="",W1314=0),"",X1314/W1314-1)</f>
        <v/>
      </c>
      <c r="Z1314" s="24" t="n"/>
      <c r="AA1314" s="21" t="n"/>
      <c r="AB1314" s="25" t="n"/>
      <c r="AC1314" s="26">
        <f>IF(T1314="","Chưa quyết định",IF(OR(Z1314="",AA1314=""),"⚠ Thiếu lý do/người duyệt",IF(AND(X1314&lt;&gt;"",N(X1314)+N(R1314)+N(S1314)&gt;M1314*1.001,R1314&lt;&gt;""),"⚠ Vượt mục tiêu P90",IF(AND(Y1314&lt;&gt;"",ABS(N(Y1314))&gt;0.3),"⚠ Lệch &gt; 30% so với nhu cầu",IF(Q1314="Có","ℹ Kiểm tra ngoại suy KM","✓ Hợp lệ")))))</f>
        <v/>
      </c>
    </row>
    <row r="1315">
      <c r="A1315" s="16" t="n">
        <v>1311</v>
      </c>
      <c r="B1315" s="17" t="inlineStr">
        <is>
          <t>DEC-S30-LIQUOR_WINE_BEER</t>
        </is>
      </c>
      <c r="C1315" s="16" t="n">
        <v>30</v>
      </c>
      <c r="D1315" s="17" t="inlineStr">
        <is>
          <t>LIQUOR,WINE,BEER</t>
        </is>
      </c>
      <c r="E1315" s="17" t="inlineStr">
        <is>
          <t>HIGH</t>
        </is>
      </c>
      <c r="F1315" s="17" t="inlineStr">
        <is>
          <t>TRUNG BÌNH</t>
        </is>
      </c>
      <c r="G1315" s="18" t="inlineStr">
        <is>
          <t>RISK_HIGH</t>
        </is>
      </c>
      <c r="H1315" s="19" t="n">
        <v>568.3970146179199</v>
      </c>
      <c r="I1315" s="19" t="n">
        <v>895.8549938201904</v>
      </c>
      <c r="J1315" s="19" t="n">
        <v>1336.796286743164</v>
      </c>
      <c r="K1315" s="19" t="n">
        <v>895.8549938201904</v>
      </c>
      <c r="L1315" s="19" t="n">
        <v>1171.443301897049</v>
      </c>
      <c r="M1315" s="19" t="n">
        <v>1336.796286743164</v>
      </c>
      <c r="N1315" s="17" t="inlineStr">
        <is>
          <t>B</t>
        </is>
      </c>
      <c r="O1315" s="19" t="n">
        <v>454.7593068408966</v>
      </c>
      <c r="P1315" s="18" t="inlineStr">
        <is>
          <t>CÂN NHẮC THỬ NGHIỆM</t>
        </is>
      </c>
      <c r="Q1315" s="17" t="inlineStr">
        <is>
          <t>Không</t>
        </is>
      </c>
      <c r="R1315" s="20" t="n"/>
      <c r="S1315" s="20" t="n"/>
      <c r="T1315" s="21" t="n"/>
      <c r="U1315" s="21" t="n"/>
      <c r="V1315" s="22">
        <f>IF(U1315="A",K1315,IF(U1315="B",L1315,IF(U1315="C",M1315,IF(N1315="A",K1315,IF(N1315="B",L1315,M1315)))))</f>
        <v/>
      </c>
      <c r="W1315" s="22">
        <f>IF(R1315="",O1315,MAX(V1315-R1315-N(S1315),0))</f>
        <v/>
      </c>
      <c r="X1315" s="20" t="n"/>
      <c r="Y1315" s="23">
        <f>IF(OR(X1315="",W1315=0),"",X1315/W1315-1)</f>
        <v/>
      </c>
      <c r="Z1315" s="24" t="n"/>
      <c r="AA1315" s="21" t="n"/>
      <c r="AB1315" s="25" t="n"/>
      <c r="AC1315" s="26">
        <f>IF(T1315="","Chưa quyết định",IF(OR(Z1315="",AA1315=""),"⚠ Thiếu lý do/người duyệt",IF(AND(X1315&lt;&gt;"",N(X1315)+N(R1315)+N(S1315)&gt;M1315*1.001,R1315&lt;&gt;""),"⚠ Vượt mục tiêu P90",IF(AND(Y1315&lt;&gt;"",ABS(N(Y1315))&gt;0.3),"⚠ Lệch &gt; 30% so với nhu cầu",IF(Q1315="Có","ℹ Kiểm tra ngoại suy KM","✓ Hợp lệ")))))</f>
        <v/>
      </c>
    </row>
    <row r="1316">
      <c r="A1316" s="16" t="n">
        <v>1312</v>
      </c>
      <c r="B1316" s="17" t="inlineStr">
        <is>
          <t>DEC-S22-FROZEN_FOODS</t>
        </is>
      </c>
      <c r="C1316" s="16" t="n">
        <v>22</v>
      </c>
      <c r="D1316" s="17" t="inlineStr">
        <is>
          <t>FROZEN FOODS</t>
        </is>
      </c>
      <c r="E1316" s="17" t="inlineStr">
        <is>
          <t>HIGH</t>
        </is>
      </c>
      <c r="F1316" s="17" t="inlineStr">
        <is>
          <t>TRUNG BÌNH</t>
        </is>
      </c>
      <c r="G1316" s="18" t="inlineStr">
        <is>
          <t>RISK_HIGH</t>
        </is>
      </c>
      <c r="H1316" s="19" t="n">
        <v>545.2251129150391</v>
      </c>
      <c r="I1316" s="19" t="n">
        <v>886.1499862670898</v>
      </c>
      <c r="J1316" s="19" t="n">
        <v>1347.089636962891</v>
      </c>
      <c r="K1316" s="19" t="n">
        <v>886.1499862670898</v>
      </c>
      <c r="L1316" s="19" t="n">
        <v>1174.237267951965</v>
      </c>
      <c r="M1316" s="19" t="n">
        <v>1347.089636962891</v>
      </c>
      <c r="N1316" s="17" t="inlineStr">
        <is>
          <t>B</t>
        </is>
      </c>
      <c r="O1316" s="19" t="n">
        <v>465.3172789382934</v>
      </c>
      <c r="P1316" s="18" t="inlineStr">
        <is>
          <t>CÂN NHẮC THỬ NGHIỆM</t>
        </is>
      </c>
      <c r="Q1316" s="17" t="inlineStr">
        <is>
          <t>Không</t>
        </is>
      </c>
      <c r="R1316" s="20" t="n"/>
      <c r="S1316" s="20" t="n"/>
      <c r="T1316" s="21" t="n"/>
      <c r="U1316" s="21" t="n"/>
      <c r="V1316" s="22">
        <f>IF(U1316="A",K1316,IF(U1316="B",L1316,IF(U1316="C",M1316,IF(N1316="A",K1316,IF(N1316="B",L1316,M1316)))))</f>
        <v/>
      </c>
      <c r="W1316" s="22">
        <f>IF(R1316="",O1316,MAX(V1316-R1316-N(S1316),0))</f>
        <v/>
      </c>
      <c r="X1316" s="20" t="n"/>
      <c r="Y1316" s="23">
        <f>IF(OR(X1316="",W1316=0),"",X1316/W1316-1)</f>
        <v/>
      </c>
      <c r="Z1316" s="24" t="n"/>
      <c r="AA1316" s="21" t="n"/>
      <c r="AB1316" s="25" t="n"/>
      <c r="AC1316" s="26">
        <f>IF(T1316="","Chưa quyết định",IF(OR(Z1316="",AA1316=""),"⚠ Thiếu lý do/người duyệt",IF(AND(X1316&lt;&gt;"",N(X1316)+N(R1316)+N(S1316)&gt;M1316*1.001,R1316&lt;&gt;""),"⚠ Vượt mục tiêu P90",IF(AND(Y1316&lt;&gt;"",ABS(N(Y1316))&gt;0.3),"⚠ Lệch &gt; 30% so với nhu cầu",IF(Q1316="Có","ℹ Kiểm tra ngoại suy KM","✓ Hợp lệ")))))</f>
        <v/>
      </c>
    </row>
    <row r="1317">
      <c r="A1317" s="16" t="n">
        <v>1313</v>
      </c>
      <c r="B1317" s="17" t="inlineStr">
        <is>
          <t>DEC-S29-PREPARED_FOODS</t>
        </is>
      </c>
      <c r="C1317" s="16" t="n">
        <v>29</v>
      </c>
      <c r="D1317" s="17" t="inlineStr">
        <is>
          <t>PREPARED FOODS</t>
        </is>
      </c>
      <c r="E1317" s="17" t="inlineStr">
        <is>
          <t>HIGH</t>
        </is>
      </c>
      <c r="F1317" s="17" t="inlineStr">
        <is>
          <t>TRUNG BÌNH</t>
        </is>
      </c>
      <c r="G1317" s="18" t="inlineStr">
        <is>
          <t>RISK_HIGH</t>
        </is>
      </c>
      <c r="H1317" s="19" t="n">
        <v>562.8418579101562</v>
      </c>
      <c r="I1317" s="19" t="n">
        <v>885.5239295959473</v>
      </c>
      <c r="J1317" s="19" t="n">
        <v>1329.521007141113</v>
      </c>
      <c r="K1317" s="19" t="n">
        <v>885.5239295959473</v>
      </c>
      <c r="L1317" s="19" t="n">
        <v>1163.022103061676</v>
      </c>
      <c r="M1317" s="19" t="n">
        <v>1329.521007141113</v>
      </c>
      <c r="N1317" s="17" t="inlineStr">
        <is>
          <t>B</t>
        </is>
      </c>
      <c r="O1317" s="19" t="n">
        <v>454.6029593849182</v>
      </c>
      <c r="P1317" s="18" t="inlineStr">
        <is>
          <t>CÂN NHẮC THỬ NGHIỆM</t>
        </is>
      </c>
      <c r="Q1317" s="17" t="inlineStr">
        <is>
          <t>Không</t>
        </is>
      </c>
      <c r="R1317" s="20" t="n"/>
      <c r="S1317" s="20" t="n"/>
      <c r="T1317" s="21" t="n"/>
      <c r="U1317" s="21" t="n"/>
      <c r="V1317" s="22">
        <f>IF(U1317="A",K1317,IF(U1317="B",L1317,IF(U1317="C",M1317,IF(N1317="A",K1317,IF(N1317="B",L1317,M1317)))))</f>
        <v/>
      </c>
      <c r="W1317" s="22">
        <f>IF(R1317="",O1317,MAX(V1317-R1317-N(S1317),0))</f>
        <v/>
      </c>
      <c r="X1317" s="20" t="n"/>
      <c r="Y1317" s="23">
        <f>IF(OR(X1317="",W1317=0),"",X1317/W1317-1)</f>
        <v/>
      </c>
      <c r="Z1317" s="24" t="n"/>
      <c r="AA1317" s="21" t="n"/>
      <c r="AB1317" s="25" t="n"/>
      <c r="AC1317" s="26">
        <f>IF(T1317="","Chưa quyết định",IF(OR(Z1317="",AA1317=""),"⚠ Thiếu lý do/người duyệt",IF(AND(X1317&lt;&gt;"",N(X1317)+N(R1317)+N(S1317)&gt;M1317*1.001,R1317&lt;&gt;""),"⚠ Vượt mục tiêu P90",IF(AND(Y1317&lt;&gt;"",ABS(N(Y1317))&gt;0.3),"⚠ Lệch &gt; 30% so với nhu cầu",IF(Q1317="Có","ℹ Kiểm tra ngoại suy KM","✓ Hợp lệ")))))</f>
        <v/>
      </c>
    </row>
    <row r="1318">
      <c r="A1318" s="16" t="n">
        <v>1314</v>
      </c>
      <c r="B1318" s="17" t="inlineStr">
        <is>
          <t>DEC-S03-HOME_AND_KITCHEN_II</t>
        </is>
      </c>
      <c r="C1318" s="16" t="n">
        <v>3</v>
      </c>
      <c r="D1318" s="17" t="inlineStr">
        <is>
          <t>HOME AND KITCHEN II</t>
        </is>
      </c>
      <c r="E1318" s="17" t="inlineStr">
        <is>
          <t>HIGH</t>
        </is>
      </c>
      <c r="F1318" s="17" t="inlineStr">
        <is>
          <t>TRUNG BÌNH</t>
        </is>
      </c>
      <c r="G1318" s="18" t="inlineStr">
        <is>
          <t>RISK_HIGH</t>
        </is>
      </c>
      <c r="H1318" s="19" t="n">
        <v>580.7584381103516</v>
      </c>
      <c r="I1318" s="19" t="n">
        <v>885.1977081298828</v>
      </c>
      <c r="J1318" s="19" t="n">
        <v>1312.252212524414</v>
      </c>
      <c r="K1318" s="19" t="n">
        <v>885.1977081298828</v>
      </c>
      <c r="L1318" s="19" t="n">
        <v>1152.106773376465</v>
      </c>
      <c r="M1318" s="19" t="n">
        <v>1312.252212524414</v>
      </c>
      <c r="N1318" s="17" t="inlineStr">
        <is>
          <t>B</t>
        </is>
      </c>
      <c r="O1318" s="19" t="n">
        <v>443.9486068725586</v>
      </c>
      <c r="P1318" s="18" t="inlineStr">
        <is>
          <t>CÂN NHẮC THỬ NGHIỆM</t>
        </is>
      </c>
      <c r="Q1318" s="17" t="inlineStr">
        <is>
          <t>Không</t>
        </is>
      </c>
      <c r="R1318" s="20" t="n"/>
      <c r="S1318" s="20" t="n"/>
      <c r="T1318" s="21" t="n"/>
      <c r="U1318" s="21" t="n"/>
      <c r="V1318" s="22">
        <f>IF(U1318="A",K1318,IF(U1318="B",L1318,IF(U1318="C",M1318,IF(N1318="A",K1318,IF(N1318="B",L1318,M1318)))))</f>
        <v/>
      </c>
      <c r="W1318" s="22">
        <f>IF(R1318="",O1318,MAX(V1318-R1318-N(S1318),0))</f>
        <v/>
      </c>
      <c r="X1318" s="20" t="n"/>
      <c r="Y1318" s="23">
        <f>IF(OR(X1318="",W1318=0),"",X1318/W1318-1)</f>
        <v/>
      </c>
      <c r="Z1318" s="24" t="n"/>
      <c r="AA1318" s="21" t="n"/>
      <c r="AB1318" s="25" t="n"/>
      <c r="AC1318" s="26">
        <f>IF(T1318="","Chưa quyết định",IF(OR(Z1318="",AA1318=""),"⚠ Thiếu lý do/người duyệt",IF(AND(X1318&lt;&gt;"",N(X1318)+N(R1318)+N(S1318)&gt;M1318*1.001,R1318&lt;&gt;""),"⚠ Vượt mục tiêu P90",IF(AND(Y1318&lt;&gt;"",ABS(N(Y1318))&gt;0.3),"⚠ Lệch &gt; 30% so với nhu cầu",IF(Q1318="Có","ℹ Kiểm tra ngoại suy KM","✓ Hợp lệ")))))</f>
        <v/>
      </c>
    </row>
    <row r="1319">
      <c r="A1319" s="16" t="n">
        <v>1315</v>
      </c>
      <c r="B1319" s="17" t="inlineStr">
        <is>
          <t>DEC-S40-LIQUOR_WINE_BEER</t>
        </is>
      </c>
      <c r="C1319" s="16" t="n">
        <v>40</v>
      </c>
      <c r="D1319" s="17" t="inlineStr">
        <is>
          <t>LIQUOR,WINE,BEER</t>
        </is>
      </c>
      <c r="E1319" s="17" t="inlineStr">
        <is>
          <t>HIGH</t>
        </is>
      </c>
      <c r="F1319" s="17" t="inlineStr">
        <is>
          <t>TRUNG BÌNH</t>
        </is>
      </c>
      <c r="G1319" s="18" t="inlineStr">
        <is>
          <t>RISK_HIGH</t>
        </is>
      </c>
      <c r="H1319" s="19" t="n">
        <v>543.8702735900879</v>
      </c>
      <c r="I1319" s="19" t="n">
        <v>884.7951469421387</v>
      </c>
      <c r="J1319" s="19" t="n">
        <v>1345.734797637939</v>
      </c>
      <c r="K1319" s="19" t="n">
        <v>884.7951469421387</v>
      </c>
      <c r="L1319" s="19" t="n">
        <v>1172.882428627014</v>
      </c>
      <c r="M1319" s="19" t="n">
        <v>1345.734797637939</v>
      </c>
      <c r="N1319" s="17" t="inlineStr">
        <is>
          <t>B</t>
        </is>
      </c>
      <c r="O1319" s="19" t="n">
        <v>465.0463110733032</v>
      </c>
      <c r="P1319" s="18" t="inlineStr">
        <is>
          <t>CÂN NHẮC THỬ NGHIỆM</t>
        </is>
      </c>
      <c r="Q1319" s="17" t="inlineStr">
        <is>
          <t>Không</t>
        </is>
      </c>
      <c r="R1319" s="20" t="n"/>
      <c r="S1319" s="20" t="n"/>
      <c r="T1319" s="21" t="n"/>
      <c r="U1319" s="21" t="n"/>
      <c r="V1319" s="22">
        <f>IF(U1319="A",K1319,IF(U1319="B",L1319,IF(U1319="C",M1319,IF(N1319="A",K1319,IF(N1319="B",L1319,M1319)))))</f>
        <v/>
      </c>
      <c r="W1319" s="22">
        <f>IF(R1319="",O1319,MAX(V1319-R1319-N(S1319),0))</f>
        <v/>
      </c>
      <c r="X1319" s="20" t="n"/>
      <c r="Y1319" s="23">
        <f>IF(OR(X1319="",W1319=0),"",X1319/W1319-1)</f>
        <v/>
      </c>
      <c r="Z1319" s="24" t="n"/>
      <c r="AA1319" s="21" t="n"/>
      <c r="AB1319" s="25" t="n"/>
      <c r="AC1319" s="26">
        <f>IF(T1319="","Chưa quyết định",IF(OR(Z1319="",AA1319=""),"⚠ Thiếu lý do/người duyệt",IF(AND(X1319&lt;&gt;"",N(X1319)+N(R1319)+N(S1319)&gt;M1319*1.001,R1319&lt;&gt;""),"⚠ Vượt mục tiêu P90",IF(AND(Y1319&lt;&gt;"",ABS(N(Y1319))&gt;0.3),"⚠ Lệch &gt; 30% so với nhu cầu",IF(Q1319="Có","ℹ Kiểm tra ngoại suy KM","✓ Hợp lệ")))))</f>
        <v/>
      </c>
    </row>
    <row r="1320">
      <c r="A1320" s="16" t="n">
        <v>1316</v>
      </c>
      <c r="B1320" s="17" t="inlineStr">
        <is>
          <t>DEC-S52-GROCERY_II</t>
        </is>
      </c>
      <c r="C1320" s="16" t="n">
        <v>52</v>
      </c>
      <c r="D1320" s="17" t="inlineStr">
        <is>
          <t>GROCERY II</t>
        </is>
      </c>
      <c r="E1320" s="17" t="inlineStr">
        <is>
          <t>HIGH</t>
        </is>
      </c>
      <c r="F1320" s="17" t="inlineStr">
        <is>
          <t>TRUNG BÌNH</t>
        </is>
      </c>
      <c r="G1320" s="18" t="inlineStr">
        <is>
          <t>RISK_HIGH</t>
        </is>
      </c>
      <c r="H1320" s="19" t="n">
        <v>576.2561454772949</v>
      </c>
      <c r="I1320" s="19" t="n">
        <v>880.6954154968262</v>
      </c>
      <c r="J1320" s="19" t="n">
        <v>1307.749919891357</v>
      </c>
      <c r="K1320" s="19" t="n">
        <v>880.6954154968262</v>
      </c>
      <c r="L1320" s="19" t="n">
        <v>1147.604480743408</v>
      </c>
      <c r="M1320" s="19" t="n">
        <v>1307.749919891357</v>
      </c>
      <c r="N1320" s="17" t="inlineStr">
        <is>
          <t>B</t>
        </is>
      </c>
      <c r="O1320" s="19" t="n">
        <v>443.0481483459472</v>
      </c>
      <c r="P1320" s="18" t="inlineStr">
        <is>
          <t>CÂN NHẮC THỬ NGHIỆM</t>
        </is>
      </c>
      <c r="Q1320" s="17" t="inlineStr">
        <is>
          <t>Không</t>
        </is>
      </c>
      <c r="R1320" s="20" t="n"/>
      <c r="S1320" s="20" t="n"/>
      <c r="T1320" s="21" t="n"/>
      <c r="U1320" s="21" t="n"/>
      <c r="V1320" s="22">
        <f>IF(U1320="A",K1320,IF(U1320="B",L1320,IF(U1320="C",M1320,IF(N1320="A",K1320,IF(N1320="B",L1320,M1320)))))</f>
        <v/>
      </c>
      <c r="W1320" s="22">
        <f>IF(R1320="",O1320,MAX(V1320-R1320-N(S1320),0))</f>
        <v/>
      </c>
      <c r="X1320" s="20" t="n"/>
      <c r="Y1320" s="23">
        <f>IF(OR(X1320="",W1320=0),"",X1320/W1320-1)</f>
        <v/>
      </c>
      <c r="Z1320" s="24" t="n"/>
      <c r="AA1320" s="21" t="n"/>
      <c r="AB1320" s="25" t="n"/>
      <c r="AC1320" s="26">
        <f>IF(T1320="","Chưa quyết định",IF(OR(Z1320="",AA1320=""),"⚠ Thiếu lý do/người duyệt",IF(AND(X1320&lt;&gt;"",N(X1320)+N(R1320)+N(S1320)&gt;M1320*1.001,R1320&lt;&gt;""),"⚠ Vượt mục tiêu P90",IF(AND(Y1320&lt;&gt;"",ABS(N(Y1320))&gt;0.3),"⚠ Lệch &gt; 30% so với nhu cầu",IF(Q1320="Có","ℹ Kiểm tra ngoại suy KM","✓ Hợp lệ")))))</f>
        <v/>
      </c>
    </row>
    <row r="1321">
      <c r="A1321" s="16" t="n">
        <v>1317</v>
      </c>
      <c r="B1321" s="17" t="inlineStr">
        <is>
          <t>DEC-S53-PREPARED_FOODS</t>
        </is>
      </c>
      <c r="C1321" s="16" t="n">
        <v>53</v>
      </c>
      <c r="D1321" s="17" t="inlineStr">
        <is>
          <t>PREPARED FOODS</t>
        </is>
      </c>
      <c r="E1321" s="17" t="inlineStr">
        <is>
          <t>HIGH</t>
        </is>
      </c>
      <c r="F1321" s="17" t="inlineStr">
        <is>
          <t>TRUNG BÌNH</t>
        </is>
      </c>
      <c r="G1321" s="18" t="inlineStr">
        <is>
          <t>RISK_HIGH</t>
        </is>
      </c>
      <c r="H1321" s="19" t="n">
        <v>553.5410118103027</v>
      </c>
      <c r="I1321" s="19" t="n">
        <v>876.2230834960938</v>
      </c>
      <c r="J1321" s="19" t="n">
        <v>1320.22016104126</v>
      </c>
      <c r="K1321" s="19" t="n">
        <v>876.2230834960938</v>
      </c>
      <c r="L1321" s="19" t="n">
        <v>1153.721256961823</v>
      </c>
      <c r="M1321" s="19" t="n">
        <v>1320.22016104126</v>
      </c>
      <c r="N1321" s="17" t="inlineStr">
        <is>
          <t>B</t>
        </is>
      </c>
      <c r="O1321" s="19" t="n">
        <v>452.7427901649477</v>
      </c>
      <c r="P1321" s="18" t="inlineStr">
        <is>
          <t>CÂN NHẮC THỬ NGHIỆM</t>
        </is>
      </c>
      <c r="Q1321" s="17" t="inlineStr">
        <is>
          <t>Không</t>
        </is>
      </c>
      <c r="R1321" s="20" t="n"/>
      <c r="S1321" s="20" t="n"/>
      <c r="T1321" s="21" t="n"/>
      <c r="U1321" s="21" t="n"/>
      <c r="V1321" s="22">
        <f>IF(U1321="A",K1321,IF(U1321="B",L1321,IF(U1321="C",M1321,IF(N1321="A",K1321,IF(N1321="B",L1321,M1321)))))</f>
        <v/>
      </c>
      <c r="W1321" s="22">
        <f>IF(R1321="",O1321,MAX(V1321-R1321-N(S1321),0))</f>
        <v/>
      </c>
      <c r="X1321" s="20" t="n"/>
      <c r="Y1321" s="23">
        <f>IF(OR(X1321="",W1321=0),"",X1321/W1321-1)</f>
        <v/>
      </c>
      <c r="Z1321" s="24" t="n"/>
      <c r="AA1321" s="21" t="n"/>
      <c r="AB1321" s="25" t="n"/>
      <c r="AC1321" s="26">
        <f>IF(T1321="","Chưa quyết định",IF(OR(Z1321="",AA1321=""),"⚠ Thiếu lý do/người duyệt",IF(AND(X1321&lt;&gt;"",N(X1321)+N(R1321)+N(S1321)&gt;M1321*1.001,R1321&lt;&gt;""),"⚠ Vượt mục tiêu P90",IF(AND(Y1321&lt;&gt;"",ABS(N(Y1321))&gt;0.3),"⚠ Lệch &gt; 30% so với nhu cầu",IF(Q1321="Có","ℹ Kiểm tra ngoại suy KM","✓ Hợp lệ")))))</f>
        <v/>
      </c>
    </row>
    <row r="1322">
      <c r="A1322" s="16" t="n">
        <v>1318</v>
      </c>
      <c r="B1322" s="17" t="inlineStr">
        <is>
          <t>DEC-S32-POULTRY</t>
        </is>
      </c>
      <c r="C1322" s="16" t="n">
        <v>32</v>
      </c>
      <c r="D1322" s="17" t="inlineStr">
        <is>
          <t>POULTRY</t>
        </is>
      </c>
      <c r="E1322" s="17" t="inlineStr">
        <is>
          <t>HIGH</t>
        </is>
      </c>
      <c r="F1322" s="17" t="inlineStr">
        <is>
          <t>TRUNG BÌNH</t>
        </is>
      </c>
      <c r="G1322" s="18" t="inlineStr">
        <is>
          <t>RISK_HIGH</t>
        </is>
      </c>
      <c r="H1322" s="19" t="n">
        <v>508.8919944763184</v>
      </c>
      <c r="I1322" s="19" t="n">
        <v>849.8168678283691</v>
      </c>
      <c r="J1322" s="19" t="n">
        <v>1310.75651852417</v>
      </c>
      <c r="K1322" s="19" t="n">
        <v>849.8168678283691</v>
      </c>
      <c r="L1322" s="19" t="n">
        <v>1137.904149513245</v>
      </c>
      <c r="M1322" s="19" t="n">
        <v>1310.75651852417</v>
      </c>
      <c r="N1322" s="17" t="inlineStr">
        <is>
          <t>B</t>
        </is>
      </c>
      <c r="O1322" s="19" t="n">
        <v>458.0506552505493</v>
      </c>
      <c r="P1322" s="18" t="inlineStr">
        <is>
          <t>CÂN NHẮC THỬ NGHIỆM</t>
        </is>
      </c>
      <c r="Q1322" s="17" t="inlineStr">
        <is>
          <t>Không</t>
        </is>
      </c>
      <c r="R1322" s="20" t="n"/>
      <c r="S1322" s="20" t="n"/>
      <c r="T1322" s="21" t="n"/>
      <c r="U1322" s="21" t="n"/>
      <c r="V1322" s="22">
        <f>IF(U1322="A",K1322,IF(U1322="B",L1322,IF(U1322="C",M1322,IF(N1322="A",K1322,IF(N1322="B",L1322,M1322)))))</f>
        <v/>
      </c>
      <c r="W1322" s="22">
        <f>IF(R1322="",O1322,MAX(V1322-R1322-N(S1322),0))</f>
        <v/>
      </c>
      <c r="X1322" s="20" t="n"/>
      <c r="Y1322" s="23">
        <f>IF(OR(X1322="",W1322=0),"",X1322/W1322-1)</f>
        <v/>
      </c>
      <c r="Z1322" s="24" t="n"/>
      <c r="AA1322" s="21" t="n"/>
      <c r="AB1322" s="25" t="n"/>
      <c r="AC1322" s="26">
        <f>IF(T1322="","Chưa quyết định",IF(OR(Z1322="",AA1322=""),"⚠ Thiếu lý do/người duyệt",IF(AND(X1322&lt;&gt;"",N(X1322)+N(R1322)+N(S1322)&gt;M1322*1.001,R1322&lt;&gt;""),"⚠ Vượt mục tiêu P90",IF(AND(Y1322&lt;&gt;"",ABS(N(Y1322))&gt;0.3),"⚠ Lệch &gt; 30% so với nhu cầu",IF(Q1322="Có","ℹ Kiểm tra ngoại suy KM","✓ Hợp lệ")))))</f>
        <v/>
      </c>
    </row>
    <row r="1323">
      <c r="A1323" s="16" t="n">
        <v>1319</v>
      </c>
      <c r="B1323" s="17" t="inlineStr">
        <is>
          <t>DEC-S20-LIQUOR_WINE_BEER</t>
        </is>
      </c>
      <c r="C1323" s="16" t="n">
        <v>20</v>
      </c>
      <c r="D1323" s="17" t="inlineStr">
        <is>
          <t>LIQUOR,WINE,BEER</t>
        </is>
      </c>
      <c r="E1323" s="17" t="inlineStr">
        <is>
          <t>HIGH</t>
        </is>
      </c>
      <c r="F1323" s="17" t="inlineStr">
        <is>
          <t>TRUNG BÌNH</t>
        </is>
      </c>
      <c r="G1323" s="18" t="inlineStr">
        <is>
          <t>RISK_HIGH</t>
        </is>
      </c>
      <c r="H1323" s="19" t="n">
        <v>504.8875236511231</v>
      </c>
      <c r="I1323" s="19" t="n">
        <v>845.8123970031738</v>
      </c>
      <c r="J1323" s="19" t="n">
        <v>1306.752047698975</v>
      </c>
      <c r="K1323" s="19" t="n">
        <v>845.8123970031738</v>
      </c>
      <c r="L1323" s="19" t="n">
        <v>1133.899678688049</v>
      </c>
      <c r="M1323" s="19" t="n">
        <v>1306.752047698975</v>
      </c>
      <c r="N1323" s="17" t="inlineStr">
        <is>
          <t>B</t>
        </is>
      </c>
      <c r="O1323" s="19" t="n">
        <v>457.2497610855103</v>
      </c>
      <c r="P1323" s="18" t="inlineStr">
        <is>
          <t>CÂN NHẮC THỬ NGHIỆM</t>
        </is>
      </c>
      <c r="Q1323" s="17" t="inlineStr">
        <is>
          <t>Không</t>
        </is>
      </c>
      <c r="R1323" s="20" t="n"/>
      <c r="S1323" s="20" t="n"/>
      <c r="T1323" s="21" t="n"/>
      <c r="U1323" s="21" t="n"/>
      <c r="V1323" s="22">
        <f>IF(U1323="A",K1323,IF(U1323="B",L1323,IF(U1323="C",M1323,IF(N1323="A",K1323,IF(N1323="B",L1323,M1323)))))</f>
        <v/>
      </c>
      <c r="W1323" s="22">
        <f>IF(R1323="",O1323,MAX(V1323-R1323-N(S1323),0))</f>
        <v/>
      </c>
      <c r="X1323" s="20" t="n"/>
      <c r="Y1323" s="23">
        <f>IF(OR(X1323="",W1323=0),"",X1323/W1323-1)</f>
        <v/>
      </c>
      <c r="Z1323" s="24" t="n"/>
      <c r="AA1323" s="21" t="n"/>
      <c r="AB1323" s="25" t="n"/>
      <c r="AC1323" s="26">
        <f>IF(T1323="","Chưa quyết định",IF(OR(Z1323="",AA1323=""),"⚠ Thiếu lý do/người duyệt",IF(AND(X1323&lt;&gt;"",N(X1323)+N(R1323)+N(S1323)&gt;M1323*1.001,R1323&lt;&gt;""),"⚠ Vượt mục tiêu P90",IF(AND(Y1323&lt;&gt;"",ABS(N(Y1323))&gt;0.3),"⚠ Lệch &gt; 30% so với nhu cầu",IF(Q1323="Có","ℹ Kiểm tra ngoại suy KM","✓ Hợp lệ")))))</f>
        <v/>
      </c>
    </row>
    <row r="1324">
      <c r="A1324" s="16" t="n">
        <v>1320</v>
      </c>
      <c r="B1324" s="17" t="inlineStr">
        <is>
          <t>DEC-S47-GROCERY_II</t>
        </is>
      </c>
      <c r="C1324" s="16" t="n">
        <v>47</v>
      </c>
      <c r="D1324" s="17" t="inlineStr">
        <is>
          <t>GROCERY II</t>
        </is>
      </c>
      <c r="E1324" s="17" t="inlineStr">
        <is>
          <t>HIGH</t>
        </is>
      </c>
      <c r="F1324" s="17" t="inlineStr">
        <is>
          <t>TRUNG BÌNH</t>
        </is>
      </c>
      <c r="G1324" s="18" t="inlineStr">
        <is>
          <t>RISK_HIGH</t>
        </is>
      </c>
      <c r="H1324" s="19" t="n">
        <v>519.7714080810547</v>
      </c>
      <c r="I1324" s="19" t="n">
        <v>842.4534797668457</v>
      </c>
      <c r="J1324" s="19" t="n">
        <v>1286.450557312012</v>
      </c>
      <c r="K1324" s="19" t="n">
        <v>842.4534797668457</v>
      </c>
      <c r="L1324" s="19" t="n">
        <v>1119.951653232574</v>
      </c>
      <c r="M1324" s="19" t="n">
        <v>1286.450557312012</v>
      </c>
      <c r="N1324" s="17" t="inlineStr">
        <is>
          <t>B</t>
        </is>
      </c>
      <c r="O1324" s="19" t="n">
        <v>445.9888694190979</v>
      </c>
      <c r="P1324" s="18" t="inlineStr">
        <is>
          <t>CÂN NHẮC THỬ NGHIỆM</t>
        </is>
      </c>
      <c r="Q1324" s="17" t="inlineStr">
        <is>
          <t>Không</t>
        </is>
      </c>
      <c r="R1324" s="20" t="n"/>
      <c r="S1324" s="20" t="n"/>
      <c r="T1324" s="21" t="n"/>
      <c r="U1324" s="21" t="n"/>
      <c r="V1324" s="22">
        <f>IF(U1324="A",K1324,IF(U1324="B",L1324,IF(U1324="C",M1324,IF(N1324="A",K1324,IF(N1324="B",L1324,M1324)))))</f>
        <v/>
      </c>
      <c r="W1324" s="22">
        <f>IF(R1324="",O1324,MAX(V1324-R1324-N(S1324),0))</f>
        <v/>
      </c>
      <c r="X1324" s="20" t="n"/>
      <c r="Y1324" s="23">
        <f>IF(OR(X1324="",W1324=0),"",X1324/W1324-1)</f>
        <v/>
      </c>
      <c r="Z1324" s="24" t="n"/>
      <c r="AA1324" s="21" t="n"/>
      <c r="AB1324" s="25" t="n"/>
      <c r="AC1324" s="26">
        <f>IF(T1324="","Chưa quyết định",IF(OR(Z1324="",AA1324=""),"⚠ Thiếu lý do/người duyệt",IF(AND(X1324&lt;&gt;"",N(X1324)+N(R1324)+N(S1324)&gt;M1324*1.001,R1324&lt;&gt;""),"⚠ Vượt mục tiêu P90",IF(AND(Y1324&lt;&gt;"",ABS(N(Y1324))&gt;0.3),"⚠ Lệch &gt; 30% so với nhu cầu",IF(Q1324="Có","ℹ Kiểm tra ngoại suy KM","✓ Hợp lệ")))))</f>
        <v/>
      </c>
    </row>
    <row r="1325">
      <c r="A1325" s="16" t="n">
        <v>1321</v>
      </c>
      <c r="B1325" s="17" t="inlineStr">
        <is>
          <t>DEC-S44-PET_SUPPLIES</t>
        </is>
      </c>
      <c r="C1325" s="16" t="n">
        <v>44</v>
      </c>
      <c r="D1325" s="17" t="inlineStr">
        <is>
          <t>PET SUPPLIES</t>
        </is>
      </c>
      <c r="E1325" s="17" t="inlineStr">
        <is>
          <t>HIGH</t>
        </is>
      </c>
      <c r="F1325" s="17" t="inlineStr">
        <is>
          <t>TRUNG BÌNH</t>
        </is>
      </c>
      <c r="G1325" s="18" t="inlineStr">
        <is>
          <t>RISK_HIGH</t>
        </is>
      </c>
      <c r="H1325" s="19" t="n">
        <v>516.4598388671875</v>
      </c>
      <c r="I1325" s="19" t="n">
        <v>839.1419105529785</v>
      </c>
      <c r="J1325" s="19" t="n">
        <v>1283.138988098145</v>
      </c>
      <c r="K1325" s="19" t="n">
        <v>839.1419105529785</v>
      </c>
      <c r="L1325" s="19" t="n">
        <v>1116.640084018707</v>
      </c>
      <c r="M1325" s="19" t="n">
        <v>1283.138988098145</v>
      </c>
      <c r="N1325" s="17" t="inlineStr">
        <is>
          <t>B</t>
        </is>
      </c>
      <c r="O1325" s="19" t="n">
        <v>445.3265555763244</v>
      </c>
      <c r="P1325" s="18" t="inlineStr">
        <is>
          <t>CÂN NHẮC THỬ NGHIỆM</t>
        </is>
      </c>
      <c r="Q1325" s="17" t="inlineStr">
        <is>
          <t>Không</t>
        </is>
      </c>
      <c r="R1325" s="20" t="n"/>
      <c r="S1325" s="20" t="n"/>
      <c r="T1325" s="21" t="n"/>
      <c r="U1325" s="21" t="n"/>
      <c r="V1325" s="22">
        <f>IF(U1325="A",K1325,IF(U1325="B",L1325,IF(U1325="C",M1325,IF(N1325="A",K1325,IF(N1325="B",L1325,M1325)))))</f>
        <v/>
      </c>
      <c r="W1325" s="22">
        <f>IF(R1325="",O1325,MAX(V1325-R1325-N(S1325),0))</f>
        <v/>
      </c>
      <c r="X1325" s="20" t="n"/>
      <c r="Y1325" s="23">
        <f>IF(OR(X1325="",W1325=0),"",X1325/W1325-1)</f>
        <v/>
      </c>
      <c r="Z1325" s="24" t="n"/>
      <c r="AA1325" s="21" t="n"/>
      <c r="AB1325" s="25" t="n"/>
      <c r="AC1325" s="26">
        <f>IF(T1325="","Chưa quyết định",IF(OR(Z1325="",AA1325=""),"⚠ Thiếu lý do/người duyệt",IF(AND(X1325&lt;&gt;"",N(X1325)+N(R1325)+N(S1325)&gt;M1325*1.001,R1325&lt;&gt;""),"⚠ Vượt mục tiêu P90",IF(AND(Y1325&lt;&gt;"",ABS(N(Y1325))&gt;0.3),"⚠ Lệch &gt; 30% so với nhu cầu",IF(Q1325="Có","ℹ Kiểm tra ngoại suy KM","✓ Hợp lệ")))))</f>
        <v/>
      </c>
    </row>
    <row r="1326">
      <c r="A1326" s="16" t="n">
        <v>1322</v>
      </c>
      <c r="B1326" s="17" t="inlineStr">
        <is>
          <t>DEC-S13-EGGS</t>
        </is>
      </c>
      <c r="C1326" s="16" t="n">
        <v>13</v>
      </c>
      <c r="D1326" s="17" t="inlineStr">
        <is>
          <t>EGGS</t>
        </is>
      </c>
      <c r="E1326" s="17" t="inlineStr">
        <is>
          <t>HIGH</t>
        </is>
      </c>
      <c r="F1326" s="17" t="inlineStr">
        <is>
          <t>TRUNG BÌNH</t>
        </is>
      </c>
      <c r="G1326" s="18" t="inlineStr">
        <is>
          <t>RISK_HIGH</t>
        </is>
      </c>
      <c r="H1326" s="19" t="n">
        <v>531.5267639160156</v>
      </c>
      <c r="I1326" s="19" t="n">
        <v>835.9660339355469</v>
      </c>
      <c r="J1326" s="19" t="n">
        <v>1263.020538330078</v>
      </c>
      <c r="K1326" s="19" t="n">
        <v>835.9660339355469</v>
      </c>
      <c r="L1326" s="19" t="n">
        <v>1102.875099182129</v>
      </c>
      <c r="M1326" s="19" t="n">
        <v>1263.020538330078</v>
      </c>
      <c r="N1326" s="17" t="inlineStr">
        <is>
          <t>B</t>
        </is>
      </c>
      <c r="O1326" s="19" t="n">
        <v>434.1022720336912</v>
      </c>
      <c r="P1326" s="18" t="inlineStr">
        <is>
          <t>CÂN NHẮC THỬ NGHIỆM</t>
        </is>
      </c>
      <c r="Q1326" s="17" t="inlineStr">
        <is>
          <t>Không</t>
        </is>
      </c>
      <c r="R1326" s="20" t="n"/>
      <c r="S1326" s="20" t="n"/>
      <c r="T1326" s="21" t="n"/>
      <c r="U1326" s="21" t="n"/>
      <c r="V1326" s="22">
        <f>IF(U1326="A",K1326,IF(U1326="B",L1326,IF(U1326="C",M1326,IF(N1326="A",K1326,IF(N1326="B",L1326,M1326)))))</f>
        <v/>
      </c>
      <c r="W1326" s="22">
        <f>IF(R1326="",O1326,MAX(V1326-R1326-N(S1326),0))</f>
        <v/>
      </c>
      <c r="X1326" s="20" t="n"/>
      <c r="Y1326" s="23">
        <f>IF(OR(X1326="",W1326=0),"",X1326/W1326-1)</f>
        <v/>
      </c>
      <c r="Z1326" s="24" t="n"/>
      <c r="AA1326" s="21" t="n"/>
      <c r="AB1326" s="25" t="n"/>
      <c r="AC1326" s="26">
        <f>IF(T1326="","Chưa quyết định",IF(OR(Z1326="",AA1326=""),"⚠ Thiếu lý do/người duyệt",IF(AND(X1326&lt;&gt;"",N(X1326)+N(R1326)+N(S1326)&gt;M1326*1.001,R1326&lt;&gt;""),"⚠ Vượt mục tiêu P90",IF(AND(Y1326&lt;&gt;"",ABS(N(Y1326))&gt;0.3),"⚠ Lệch &gt; 30% so với nhu cầu",IF(Q1326="Có","ℹ Kiểm tra ngoại suy KM","✓ Hợp lệ")))))</f>
        <v/>
      </c>
    </row>
    <row r="1327">
      <c r="A1327" s="16" t="n">
        <v>1323</v>
      </c>
      <c r="B1327" s="17" t="inlineStr">
        <is>
          <t>DEC-S39-PREPARED_FOODS</t>
        </is>
      </c>
      <c r="C1327" s="16" t="n">
        <v>39</v>
      </c>
      <c r="D1327" s="17" t="inlineStr">
        <is>
          <t>PREPARED FOODS</t>
        </is>
      </c>
      <c r="E1327" s="17" t="inlineStr">
        <is>
          <t>HIGH</t>
        </is>
      </c>
      <c r="F1327" s="17" t="inlineStr">
        <is>
          <t>TRUNG BÌNH</t>
        </is>
      </c>
      <c r="G1327" s="18" t="inlineStr">
        <is>
          <t>RISK_HIGH</t>
        </is>
      </c>
      <c r="H1327" s="19" t="n">
        <v>525.7580833435059</v>
      </c>
      <c r="I1327" s="19" t="n">
        <v>830.1973533630371</v>
      </c>
      <c r="J1327" s="19" t="n">
        <v>1257.251857757568</v>
      </c>
      <c r="K1327" s="19" t="n">
        <v>830.1973533630371</v>
      </c>
      <c r="L1327" s="19" t="n">
        <v>1097.106418609619</v>
      </c>
      <c r="M1327" s="19" t="n">
        <v>1257.251857757568</v>
      </c>
      <c r="N1327" s="17" t="inlineStr">
        <is>
          <t>B</t>
        </is>
      </c>
      <c r="O1327" s="19" t="n">
        <v>432.9485359191895</v>
      </c>
      <c r="P1327" s="18" t="inlineStr">
        <is>
          <t>CÂN NHẮC THỬ NGHIỆM</t>
        </is>
      </c>
      <c r="Q1327" s="17" t="inlineStr">
        <is>
          <t>Không</t>
        </is>
      </c>
      <c r="R1327" s="20" t="n"/>
      <c r="S1327" s="20" t="n"/>
      <c r="T1327" s="21" t="n"/>
      <c r="U1327" s="21" t="n"/>
      <c r="V1327" s="22">
        <f>IF(U1327="A",K1327,IF(U1327="B",L1327,IF(U1327="C",M1327,IF(N1327="A",K1327,IF(N1327="B",L1327,M1327)))))</f>
        <v/>
      </c>
      <c r="W1327" s="22">
        <f>IF(R1327="",O1327,MAX(V1327-R1327-N(S1327),0))</f>
        <v/>
      </c>
      <c r="X1327" s="20" t="n"/>
      <c r="Y1327" s="23">
        <f>IF(OR(X1327="",W1327=0),"",X1327/W1327-1)</f>
        <v/>
      </c>
      <c r="Z1327" s="24" t="n"/>
      <c r="AA1327" s="21" t="n"/>
      <c r="AB1327" s="25" t="n"/>
      <c r="AC1327" s="26">
        <f>IF(T1327="","Chưa quyết định",IF(OR(Z1327="",AA1327=""),"⚠ Thiếu lý do/người duyệt",IF(AND(X1327&lt;&gt;"",N(X1327)+N(R1327)+N(S1327)&gt;M1327*1.001,R1327&lt;&gt;""),"⚠ Vượt mục tiêu P90",IF(AND(Y1327&lt;&gt;"",ABS(N(Y1327))&gt;0.3),"⚠ Lệch &gt; 30% so với nhu cầu",IF(Q1327="Có","ℹ Kiểm tra ngoại suy KM","✓ Hợp lệ")))))</f>
        <v/>
      </c>
    </row>
    <row r="1328">
      <c r="A1328" s="16" t="n">
        <v>1324</v>
      </c>
      <c r="B1328" s="17" t="inlineStr">
        <is>
          <t>DEC-S48-HOME_AND_KITCHEN_II</t>
        </is>
      </c>
      <c r="C1328" s="16" t="n">
        <v>48</v>
      </c>
      <c r="D1328" s="17" t="inlineStr">
        <is>
          <t>HOME AND KITCHEN II</t>
        </is>
      </c>
      <c r="E1328" s="17" t="inlineStr">
        <is>
          <t>HIGH</t>
        </is>
      </c>
      <c r="F1328" s="17" t="inlineStr">
        <is>
          <t>TRUNG BÌNH</t>
        </is>
      </c>
      <c r="G1328" s="18" t="inlineStr">
        <is>
          <t>RISK_HIGH</t>
        </is>
      </c>
      <c r="H1328" s="19" t="n">
        <v>493.7366161346436</v>
      </c>
      <c r="I1328" s="19" t="n">
        <v>827.9280424118042</v>
      </c>
      <c r="J1328" s="19" t="n">
        <v>1278.868514221191</v>
      </c>
      <c r="K1328" s="19" t="n">
        <v>827.9280424118042</v>
      </c>
      <c r="L1328" s="19" t="n">
        <v>1109.765837292671</v>
      </c>
      <c r="M1328" s="19" t="n">
        <v>1278.868514221191</v>
      </c>
      <c r="N1328" s="17" t="inlineStr">
        <is>
          <t>B</t>
        </is>
      </c>
      <c r="O1328" s="19" t="n">
        <v>447.4234033632279</v>
      </c>
      <c r="P1328" s="18" t="inlineStr">
        <is>
          <t>CÂN NHẮC THỬ NGHIỆM</t>
        </is>
      </c>
      <c r="Q1328" s="17" t="inlineStr">
        <is>
          <t>Không</t>
        </is>
      </c>
      <c r="R1328" s="20" t="n"/>
      <c r="S1328" s="20" t="n"/>
      <c r="T1328" s="21" t="n"/>
      <c r="U1328" s="21" t="n"/>
      <c r="V1328" s="22">
        <f>IF(U1328="A",K1328,IF(U1328="B",L1328,IF(U1328="C",M1328,IF(N1328="A",K1328,IF(N1328="B",L1328,M1328)))))</f>
        <v/>
      </c>
      <c r="W1328" s="22">
        <f>IF(R1328="",O1328,MAX(V1328-R1328-N(S1328),0))</f>
        <v/>
      </c>
      <c r="X1328" s="20" t="n"/>
      <c r="Y1328" s="23">
        <f>IF(OR(X1328="",W1328=0),"",X1328/W1328-1)</f>
        <v/>
      </c>
      <c r="Z1328" s="24" t="n"/>
      <c r="AA1328" s="21" t="n"/>
      <c r="AB1328" s="25" t="n"/>
      <c r="AC1328" s="26">
        <f>IF(T1328="","Chưa quyết định",IF(OR(Z1328="",AA1328=""),"⚠ Thiếu lý do/người duyệt",IF(AND(X1328&lt;&gt;"",N(X1328)+N(R1328)+N(S1328)&gt;M1328*1.001,R1328&lt;&gt;""),"⚠ Vượt mục tiêu P90",IF(AND(Y1328&lt;&gt;"",ABS(N(Y1328))&gt;0.3),"⚠ Lệch &gt; 30% so với nhu cầu",IF(Q1328="Có","ℹ Kiểm tra ngoại suy KM","✓ Hợp lệ")))))</f>
        <v/>
      </c>
    </row>
    <row r="1329">
      <c r="A1329" s="16" t="n">
        <v>1325</v>
      </c>
      <c r="B1329" s="17" t="inlineStr">
        <is>
          <t>DEC-S35-POULTRY</t>
        </is>
      </c>
      <c r="C1329" s="16" t="n">
        <v>35</v>
      </c>
      <c r="D1329" s="17" t="inlineStr">
        <is>
          <t>POULTRY</t>
        </is>
      </c>
      <c r="E1329" s="17" t="inlineStr">
        <is>
          <t>HIGH</t>
        </is>
      </c>
      <c r="F1329" s="17" t="inlineStr">
        <is>
          <t>TRUNG BÌNH</t>
        </is>
      </c>
      <c r="G1329" s="18" t="inlineStr">
        <is>
          <t>RISK_HIGH</t>
        </is>
      </c>
      <c r="H1329" s="19" t="n">
        <v>503.3485641479492</v>
      </c>
      <c r="I1329" s="19" t="n">
        <v>826.0306358337402</v>
      </c>
      <c r="J1329" s="19" t="n">
        <v>1270.027713378906</v>
      </c>
      <c r="K1329" s="19" t="n">
        <v>826.0306358337402</v>
      </c>
      <c r="L1329" s="19" t="n">
        <v>1103.528809299469</v>
      </c>
      <c r="M1329" s="19" t="n">
        <v>1270.027713378906</v>
      </c>
      <c r="N1329" s="17" t="inlineStr">
        <is>
          <t>B</t>
        </is>
      </c>
      <c r="O1329" s="19" t="n">
        <v>442.7043006324768</v>
      </c>
      <c r="P1329" s="18" t="inlineStr">
        <is>
          <t>CÂN NHẮC THỬ NGHIỆM</t>
        </is>
      </c>
      <c r="Q1329" s="17" t="inlineStr">
        <is>
          <t>Không</t>
        </is>
      </c>
      <c r="R1329" s="20" t="n"/>
      <c r="S1329" s="20" t="n"/>
      <c r="T1329" s="21" t="n"/>
      <c r="U1329" s="21" t="n"/>
      <c r="V1329" s="22">
        <f>IF(U1329="A",K1329,IF(U1329="B",L1329,IF(U1329="C",M1329,IF(N1329="A",K1329,IF(N1329="B",L1329,M1329)))))</f>
        <v/>
      </c>
      <c r="W1329" s="22">
        <f>IF(R1329="",O1329,MAX(V1329-R1329-N(S1329),0))</f>
        <v/>
      </c>
      <c r="X1329" s="20" t="n"/>
      <c r="Y1329" s="23">
        <f>IF(OR(X1329="",W1329=0),"",X1329/W1329-1)</f>
        <v/>
      </c>
      <c r="Z1329" s="24" t="n"/>
      <c r="AA1329" s="21" t="n"/>
      <c r="AB1329" s="25" t="n"/>
      <c r="AC1329" s="26">
        <f>IF(T1329="","Chưa quyết định",IF(OR(Z1329="",AA1329=""),"⚠ Thiếu lý do/người duyệt",IF(AND(X1329&lt;&gt;"",N(X1329)+N(R1329)+N(S1329)&gt;M1329*1.001,R1329&lt;&gt;""),"⚠ Vượt mục tiêu P90",IF(AND(Y1329&lt;&gt;"",ABS(N(Y1329))&gt;0.3),"⚠ Lệch &gt; 30% so với nhu cầu",IF(Q1329="Có","ℹ Kiểm tra ngoại suy KM","✓ Hợp lệ")))))</f>
        <v/>
      </c>
    </row>
    <row r="1330">
      <c r="A1330" s="16" t="n">
        <v>1326</v>
      </c>
      <c r="B1330" s="17" t="inlineStr">
        <is>
          <t>DEC-S03-HOME_AND_KITCHEN_I</t>
        </is>
      </c>
      <c r="C1330" s="16" t="n">
        <v>3</v>
      </c>
      <c r="D1330" s="17" t="inlineStr">
        <is>
          <t>HOME AND KITCHEN I</t>
        </is>
      </c>
      <c r="E1330" s="17" t="inlineStr">
        <is>
          <t>HIGH</t>
        </is>
      </c>
      <c r="F1330" s="17" t="inlineStr">
        <is>
          <t>TRUNG BÌNH</t>
        </is>
      </c>
      <c r="G1330" s="18" t="inlineStr">
        <is>
          <t>RISK_HIGH</t>
        </is>
      </c>
      <c r="H1330" s="19" t="n">
        <v>526.5913772583008</v>
      </c>
      <c r="I1330" s="19" t="n">
        <v>824.2972002029419</v>
      </c>
      <c r="J1330" s="19" t="n">
        <v>1241.35252571106</v>
      </c>
      <c r="K1330" s="19" t="n">
        <v>824.2972002029419</v>
      </c>
      <c r="L1330" s="19" t="n">
        <v>1084.956778645515</v>
      </c>
      <c r="M1330" s="19" t="n">
        <v>1241.35252571106</v>
      </c>
      <c r="N1330" s="17" t="inlineStr">
        <is>
          <t>B</t>
        </is>
      </c>
      <c r="O1330" s="19" t="n">
        <v>425.5190184831619</v>
      </c>
      <c r="P1330" s="18" t="inlineStr">
        <is>
          <t>CÂN NHẮC THỬ NGHIỆM</t>
        </is>
      </c>
      <c r="Q1330" s="17" t="inlineStr">
        <is>
          <t>Không</t>
        </is>
      </c>
      <c r="R1330" s="20" t="n"/>
      <c r="S1330" s="20" t="n"/>
      <c r="T1330" s="21" t="n"/>
      <c r="U1330" s="21" t="n"/>
      <c r="V1330" s="22">
        <f>IF(U1330="A",K1330,IF(U1330="B",L1330,IF(U1330="C",M1330,IF(N1330="A",K1330,IF(N1330="B",L1330,M1330)))))</f>
        <v/>
      </c>
      <c r="W1330" s="22">
        <f>IF(R1330="",O1330,MAX(V1330-R1330-N(S1330),0))</f>
        <v/>
      </c>
      <c r="X1330" s="20" t="n"/>
      <c r="Y1330" s="23">
        <f>IF(OR(X1330="",W1330=0),"",X1330/W1330-1)</f>
        <v/>
      </c>
      <c r="Z1330" s="24" t="n"/>
      <c r="AA1330" s="21" t="n"/>
      <c r="AB1330" s="25" t="n"/>
      <c r="AC1330" s="26">
        <f>IF(T1330="","Chưa quyết định",IF(OR(Z1330="",AA1330=""),"⚠ Thiếu lý do/người duyệt",IF(AND(X1330&lt;&gt;"",N(X1330)+N(R1330)+N(S1330)&gt;M1330*1.001,R1330&lt;&gt;""),"⚠ Vượt mục tiêu P90",IF(AND(Y1330&lt;&gt;"",ABS(N(Y1330))&gt;0.3),"⚠ Lệch &gt; 30% so với nhu cầu",IF(Q1330="Có","ℹ Kiểm tra ngoại suy KM","✓ Hợp lệ")))))</f>
        <v/>
      </c>
    </row>
    <row r="1331">
      <c r="A1331" s="16" t="n">
        <v>1327</v>
      </c>
      <c r="B1331" s="17" t="inlineStr">
        <is>
          <t>DEC-S18-PREPARED_FOODS</t>
        </is>
      </c>
      <c r="C1331" s="16" t="n">
        <v>18</v>
      </c>
      <c r="D1331" s="17" t="inlineStr">
        <is>
          <t>PREPARED FOODS</t>
        </is>
      </c>
      <c r="E1331" s="17" t="inlineStr">
        <is>
          <t>HIGH</t>
        </is>
      </c>
      <c r="F1331" s="17" t="inlineStr">
        <is>
          <t>TRUNG BÌNH</t>
        </is>
      </c>
      <c r="G1331" s="18" t="inlineStr">
        <is>
          <t>RISK_HIGH</t>
        </is>
      </c>
      <c r="H1331" s="19" t="n">
        <v>497.8045120239258</v>
      </c>
      <c r="I1331" s="19" t="n">
        <v>820.4865837097168</v>
      </c>
      <c r="J1331" s="19" t="n">
        <v>1264.483661254883</v>
      </c>
      <c r="K1331" s="19" t="n">
        <v>820.4865837097168</v>
      </c>
      <c r="L1331" s="19" t="n">
        <v>1097.984757175446</v>
      </c>
      <c r="M1331" s="19" t="n">
        <v>1264.483661254883</v>
      </c>
      <c r="N1331" s="17" t="inlineStr">
        <is>
          <t>B</t>
        </is>
      </c>
      <c r="O1331" s="19" t="n">
        <v>441.5954902076721</v>
      </c>
      <c r="P1331" s="18" t="inlineStr">
        <is>
          <t>CÂN NHẮC THỬ NGHIỆM</t>
        </is>
      </c>
      <c r="Q1331" s="17" t="inlineStr">
        <is>
          <t>Không</t>
        </is>
      </c>
      <c r="R1331" s="20" t="n"/>
      <c r="S1331" s="20" t="n"/>
      <c r="T1331" s="21" t="n"/>
      <c r="U1331" s="21" t="n"/>
      <c r="V1331" s="22">
        <f>IF(U1331="A",K1331,IF(U1331="B",L1331,IF(U1331="C",M1331,IF(N1331="A",K1331,IF(N1331="B",L1331,M1331)))))</f>
        <v/>
      </c>
      <c r="W1331" s="22">
        <f>IF(R1331="",O1331,MAX(V1331-R1331-N(S1331),0))</f>
        <v/>
      </c>
      <c r="X1331" s="20" t="n"/>
      <c r="Y1331" s="23">
        <f>IF(OR(X1331="",W1331=0),"",X1331/W1331-1)</f>
        <v/>
      </c>
      <c r="Z1331" s="24" t="n"/>
      <c r="AA1331" s="21" t="n"/>
      <c r="AB1331" s="25" t="n"/>
      <c r="AC1331" s="26">
        <f>IF(T1331="","Chưa quyết định",IF(OR(Z1331="",AA1331=""),"⚠ Thiếu lý do/người duyệt",IF(AND(X1331&lt;&gt;"",N(X1331)+N(R1331)+N(S1331)&gt;M1331*1.001,R1331&lt;&gt;""),"⚠ Vượt mục tiêu P90",IF(AND(Y1331&lt;&gt;"",ABS(N(Y1331))&gt;0.3),"⚠ Lệch &gt; 30% so với nhu cầu",IF(Q1331="Có","ℹ Kiểm tra ngoại suy KM","✓ Hợp lệ")))))</f>
        <v/>
      </c>
    </row>
    <row r="1332">
      <c r="A1332" s="16" t="n">
        <v>1328</v>
      </c>
      <c r="B1332" s="17" t="inlineStr">
        <is>
          <t>DEC-S01-PREPARED_FOODS</t>
        </is>
      </c>
      <c r="C1332" s="16" t="n">
        <v>1</v>
      </c>
      <c r="D1332" s="17" t="inlineStr">
        <is>
          <t>PREPARED FOODS</t>
        </is>
      </c>
      <c r="E1332" s="17" t="inlineStr">
        <is>
          <t>HIGH</t>
        </is>
      </c>
      <c r="F1332" s="17" t="inlineStr">
        <is>
          <t>TRUNG BÌNH</t>
        </is>
      </c>
      <c r="G1332" s="18" t="inlineStr">
        <is>
          <t>RISK_HIGH</t>
        </is>
      </c>
      <c r="H1332" s="19" t="n">
        <v>496.6314201354981</v>
      </c>
      <c r="I1332" s="19" t="n">
        <v>801.0706901550293</v>
      </c>
      <c r="J1332" s="19" t="n">
        <v>1228.12519454956</v>
      </c>
      <c r="K1332" s="19" t="n">
        <v>801.0706901550293</v>
      </c>
      <c r="L1332" s="19" t="n">
        <v>1067.979755401611</v>
      </c>
      <c r="M1332" s="19" t="n">
        <v>1228.12519454956</v>
      </c>
      <c r="N1332" s="17" t="inlineStr">
        <is>
          <t>B</t>
        </is>
      </c>
      <c r="O1332" s="19" t="n">
        <v>427.1232032775877</v>
      </c>
      <c r="P1332" s="18" t="inlineStr">
        <is>
          <t>CÂN NHẮC THỬ NGHIỆM</t>
        </is>
      </c>
      <c r="Q1332" s="17" t="inlineStr">
        <is>
          <t>Không</t>
        </is>
      </c>
      <c r="R1332" s="20" t="n"/>
      <c r="S1332" s="20" t="n"/>
      <c r="T1332" s="21" t="n"/>
      <c r="U1332" s="21" t="n"/>
      <c r="V1332" s="22">
        <f>IF(U1332="A",K1332,IF(U1332="B",L1332,IF(U1332="C",M1332,IF(N1332="A",K1332,IF(N1332="B",L1332,M1332)))))</f>
        <v/>
      </c>
      <c r="W1332" s="22">
        <f>IF(R1332="",O1332,MAX(V1332-R1332-N(S1332),0))</f>
        <v/>
      </c>
      <c r="X1332" s="20" t="n"/>
      <c r="Y1332" s="23">
        <f>IF(OR(X1332="",W1332=0),"",X1332/W1332-1)</f>
        <v/>
      </c>
      <c r="Z1332" s="24" t="n"/>
      <c r="AA1332" s="21" t="n"/>
      <c r="AB1332" s="25" t="n"/>
      <c r="AC1332" s="26">
        <f>IF(T1332="","Chưa quyết định",IF(OR(Z1332="",AA1332=""),"⚠ Thiếu lý do/người duyệt",IF(AND(X1332&lt;&gt;"",N(X1332)+N(R1332)+N(S1332)&gt;M1332*1.001,R1332&lt;&gt;""),"⚠ Vượt mục tiêu P90",IF(AND(Y1332&lt;&gt;"",ABS(N(Y1332))&gt;0.3),"⚠ Lệch &gt; 30% so với nhu cầu",IF(Q1332="Có","ℹ Kiểm tra ngoại suy KM","✓ Hợp lệ")))))</f>
        <v/>
      </c>
    </row>
    <row r="1333">
      <c r="A1333" s="16" t="n">
        <v>1329</v>
      </c>
      <c r="B1333" s="17" t="inlineStr">
        <is>
          <t>DEC-S49-HOME_AND_KITCHEN_II</t>
        </is>
      </c>
      <c r="C1333" s="16" t="n">
        <v>49</v>
      </c>
      <c r="D1333" s="17" t="inlineStr">
        <is>
          <t>HOME AND KITCHEN II</t>
        </is>
      </c>
      <c r="E1333" s="17" t="inlineStr">
        <is>
          <t>HIGH</t>
        </is>
      </c>
      <c r="F1333" s="17" t="inlineStr">
        <is>
          <t>TRUNG BÌNH</t>
        </is>
      </c>
      <c r="G1333" s="18" t="inlineStr">
        <is>
          <t>RISK_HIGH</t>
        </is>
      </c>
      <c r="H1333" s="19" t="n">
        <v>495.1725959777832</v>
      </c>
      <c r="I1333" s="19" t="n">
        <v>799.6118659973145</v>
      </c>
      <c r="J1333" s="19" t="n">
        <v>1226.666370391846</v>
      </c>
      <c r="K1333" s="19" t="n">
        <v>799.6118659973145</v>
      </c>
      <c r="L1333" s="19" t="n">
        <v>1066.520931243896</v>
      </c>
      <c r="M1333" s="19" t="n">
        <v>1226.666370391846</v>
      </c>
      <c r="N1333" s="17" t="inlineStr">
        <is>
          <t>B</t>
        </is>
      </c>
      <c r="O1333" s="19" t="n">
        <v>426.8314384460449</v>
      </c>
      <c r="P1333" s="18" t="inlineStr">
        <is>
          <t>CÂN NHẮC THỬ NGHIỆM</t>
        </is>
      </c>
      <c r="Q1333" s="17" t="inlineStr">
        <is>
          <t>Không</t>
        </is>
      </c>
      <c r="R1333" s="20" t="n"/>
      <c r="S1333" s="20" t="n"/>
      <c r="T1333" s="21" t="n"/>
      <c r="U1333" s="21" t="n"/>
      <c r="V1333" s="22">
        <f>IF(U1333="A",K1333,IF(U1333="B",L1333,IF(U1333="C",M1333,IF(N1333="A",K1333,IF(N1333="B",L1333,M1333)))))</f>
        <v/>
      </c>
      <c r="W1333" s="22">
        <f>IF(R1333="",O1333,MAX(V1333-R1333-N(S1333),0))</f>
        <v/>
      </c>
      <c r="X1333" s="20" t="n"/>
      <c r="Y1333" s="23">
        <f>IF(OR(X1333="",W1333=0),"",X1333/W1333-1)</f>
        <v/>
      </c>
      <c r="Z1333" s="24" t="n"/>
      <c r="AA1333" s="21" t="n"/>
      <c r="AB1333" s="25" t="n"/>
      <c r="AC1333" s="26">
        <f>IF(T1333="","Chưa quyết định",IF(OR(Z1333="",AA1333=""),"⚠ Thiếu lý do/người duyệt",IF(AND(X1333&lt;&gt;"",N(X1333)+N(R1333)+N(S1333)&gt;M1333*1.001,R1333&lt;&gt;""),"⚠ Vượt mục tiêu P90",IF(AND(Y1333&lt;&gt;"",ABS(N(Y1333))&gt;0.3),"⚠ Lệch &gt; 30% so với nhu cầu",IF(Q1333="Có","ℹ Kiểm tra ngoại suy KM","✓ Hợp lệ")))))</f>
        <v/>
      </c>
    </row>
    <row r="1334">
      <c r="A1334" s="16" t="n">
        <v>1330</v>
      </c>
      <c r="B1334" s="17" t="inlineStr">
        <is>
          <t>DEC-S40-PREPARED_FOODS</t>
        </is>
      </c>
      <c r="C1334" s="16" t="n">
        <v>40</v>
      </c>
      <c r="D1334" s="17" t="inlineStr">
        <is>
          <t>PREPARED FOODS</t>
        </is>
      </c>
      <c r="E1334" s="17" t="inlineStr">
        <is>
          <t>HIGH</t>
        </is>
      </c>
      <c r="F1334" s="17" t="inlineStr">
        <is>
          <t>TRUNG BÌNH</t>
        </is>
      </c>
      <c r="G1334" s="18" t="inlineStr">
        <is>
          <t>RISK_HIGH</t>
        </is>
      </c>
      <c r="H1334" s="19" t="n">
        <v>480.1108360290527</v>
      </c>
      <c r="I1334" s="19" t="n">
        <v>784.550106048584</v>
      </c>
      <c r="J1334" s="19" t="n">
        <v>1211.604610443115</v>
      </c>
      <c r="K1334" s="19" t="n">
        <v>784.550106048584</v>
      </c>
      <c r="L1334" s="19" t="n">
        <v>1051.459171295166</v>
      </c>
      <c r="M1334" s="19" t="n">
        <v>1211.604610443115</v>
      </c>
      <c r="N1334" s="17" t="inlineStr">
        <is>
          <t>B</t>
        </is>
      </c>
      <c r="O1334" s="19" t="n">
        <v>423.8190864562988</v>
      </c>
      <c r="P1334" s="18" t="inlineStr">
        <is>
          <t>CÂN NHẮC THỬ NGHIỆM</t>
        </is>
      </c>
      <c r="Q1334" s="17" t="inlineStr">
        <is>
          <t>Không</t>
        </is>
      </c>
      <c r="R1334" s="20" t="n"/>
      <c r="S1334" s="20" t="n"/>
      <c r="T1334" s="21" t="n"/>
      <c r="U1334" s="21" t="n"/>
      <c r="V1334" s="22">
        <f>IF(U1334="A",K1334,IF(U1334="B",L1334,IF(U1334="C",M1334,IF(N1334="A",K1334,IF(N1334="B",L1334,M1334)))))</f>
        <v/>
      </c>
      <c r="W1334" s="22">
        <f>IF(R1334="",O1334,MAX(V1334-R1334-N(S1334),0))</f>
        <v/>
      </c>
      <c r="X1334" s="20" t="n"/>
      <c r="Y1334" s="23">
        <f>IF(OR(X1334="",W1334=0),"",X1334/W1334-1)</f>
        <v/>
      </c>
      <c r="Z1334" s="24" t="n"/>
      <c r="AA1334" s="21" t="n"/>
      <c r="AB1334" s="25" t="n"/>
      <c r="AC1334" s="26">
        <f>IF(T1334="","Chưa quyết định",IF(OR(Z1334="",AA1334=""),"⚠ Thiếu lý do/người duyệt",IF(AND(X1334&lt;&gt;"",N(X1334)+N(R1334)+N(S1334)&gt;M1334*1.001,R1334&lt;&gt;""),"⚠ Vượt mục tiêu P90",IF(AND(Y1334&lt;&gt;"",ABS(N(Y1334))&gt;0.3),"⚠ Lệch &gt; 30% so với nhu cầu",IF(Q1334="Có","ℹ Kiểm tra ngoại suy KM","✓ Hợp lệ")))))</f>
        <v/>
      </c>
    </row>
    <row r="1335">
      <c r="A1335" s="16" t="n">
        <v>1331</v>
      </c>
      <c r="B1335" s="17" t="inlineStr">
        <is>
          <t>DEC-S46-SEAFOOD</t>
        </is>
      </c>
      <c r="C1335" s="16" t="n">
        <v>46</v>
      </c>
      <c r="D1335" s="17" t="inlineStr">
        <is>
          <t>SEAFOOD</t>
        </is>
      </c>
      <c r="E1335" s="17" t="inlineStr">
        <is>
          <t>HIGH</t>
        </is>
      </c>
      <c r="F1335" s="17" t="inlineStr">
        <is>
          <t>TRUNG BÌNH</t>
        </is>
      </c>
      <c r="G1335" s="18" t="inlineStr">
        <is>
          <t>RISK_HIGH</t>
        </is>
      </c>
      <c r="H1335" s="19" t="n">
        <v>478.6929321289063</v>
      </c>
      <c r="I1335" s="19" t="n">
        <v>783.1322021484375</v>
      </c>
      <c r="J1335" s="19" t="n">
        <v>1210.186706542969</v>
      </c>
      <c r="K1335" s="19" t="n">
        <v>783.1322021484375</v>
      </c>
      <c r="L1335" s="19" t="n">
        <v>1050.04126739502</v>
      </c>
      <c r="M1335" s="19" t="n">
        <v>1210.186706542969</v>
      </c>
      <c r="N1335" s="17" t="inlineStr">
        <is>
          <t>B</t>
        </is>
      </c>
      <c r="O1335" s="19" t="n">
        <v>423.5355056762695</v>
      </c>
      <c r="P1335" s="18" t="inlineStr">
        <is>
          <t>CÂN NHẮC THỬ NGHIỆM</t>
        </is>
      </c>
      <c r="Q1335" s="17" t="inlineStr">
        <is>
          <t>Không</t>
        </is>
      </c>
      <c r="R1335" s="20" t="n"/>
      <c r="S1335" s="20" t="n"/>
      <c r="T1335" s="21" t="n"/>
      <c r="U1335" s="21" t="n"/>
      <c r="V1335" s="22">
        <f>IF(U1335="A",K1335,IF(U1335="B",L1335,IF(U1335="C",M1335,IF(N1335="A",K1335,IF(N1335="B",L1335,M1335)))))</f>
        <v/>
      </c>
      <c r="W1335" s="22">
        <f>IF(R1335="",O1335,MAX(V1335-R1335-N(S1335),0))</f>
        <v/>
      </c>
      <c r="X1335" s="20" t="n"/>
      <c r="Y1335" s="23">
        <f>IF(OR(X1335="",W1335=0),"",X1335/W1335-1)</f>
        <v/>
      </c>
      <c r="Z1335" s="24" t="n"/>
      <c r="AA1335" s="21" t="n"/>
      <c r="AB1335" s="25" t="n"/>
      <c r="AC1335" s="26">
        <f>IF(T1335="","Chưa quyết định",IF(OR(Z1335="",AA1335=""),"⚠ Thiếu lý do/người duyệt",IF(AND(X1335&lt;&gt;"",N(X1335)+N(R1335)+N(S1335)&gt;M1335*1.001,R1335&lt;&gt;""),"⚠ Vượt mục tiêu P90",IF(AND(Y1335&lt;&gt;"",ABS(N(Y1335))&gt;0.3),"⚠ Lệch &gt; 30% so với nhu cầu",IF(Q1335="Có","ℹ Kiểm tra ngoại suy KM","✓ Hợp lệ")))))</f>
        <v/>
      </c>
    </row>
    <row r="1336">
      <c r="A1336" s="16" t="n">
        <v>1332</v>
      </c>
      <c r="B1336" s="17" t="inlineStr">
        <is>
          <t>DEC-S37-GROCERY_II</t>
        </is>
      </c>
      <c r="C1336" s="16" t="n">
        <v>37</v>
      </c>
      <c r="D1336" s="17" t="inlineStr">
        <is>
          <t>GROCERY II</t>
        </is>
      </c>
      <c r="E1336" s="17" t="inlineStr">
        <is>
          <t>HIGH</t>
        </is>
      </c>
      <c r="F1336" s="17" t="inlineStr">
        <is>
          <t>TRUNG BÌNH</t>
        </is>
      </c>
      <c r="G1336" s="18" t="inlineStr">
        <is>
          <t>RISK_HIGH</t>
        </is>
      </c>
      <c r="H1336" s="19" t="n">
        <v>477.0850219726562</v>
      </c>
      <c r="I1336" s="19" t="n">
        <v>781.5242919921875</v>
      </c>
      <c r="J1336" s="19" t="n">
        <v>1208.578796386719</v>
      </c>
      <c r="K1336" s="19" t="n">
        <v>781.5242919921875</v>
      </c>
      <c r="L1336" s="19" t="n">
        <v>1048.43335723877</v>
      </c>
      <c r="M1336" s="19" t="n">
        <v>1208.578796386719</v>
      </c>
      <c r="N1336" s="17" t="inlineStr">
        <is>
          <t>B</t>
        </is>
      </c>
      <c r="O1336" s="19" t="n">
        <v>423.2139236450195</v>
      </c>
      <c r="P1336" s="18" t="inlineStr">
        <is>
          <t>CÂN NHẮC THỬ NGHIỆM</t>
        </is>
      </c>
      <c r="Q1336" s="17" t="inlineStr">
        <is>
          <t>Không</t>
        </is>
      </c>
      <c r="R1336" s="20" t="n"/>
      <c r="S1336" s="20" t="n"/>
      <c r="T1336" s="21" t="n"/>
      <c r="U1336" s="21" t="n"/>
      <c r="V1336" s="22">
        <f>IF(U1336="A",K1336,IF(U1336="B",L1336,IF(U1336="C",M1336,IF(N1336="A",K1336,IF(N1336="B",L1336,M1336)))))</f>
        <v/>
      </c>
      <c r="W1336" s="22">
        <f>IF(R1336="",O1336,MAX(V1336-R1336-N(S1336),0))</f>
        <v/>
      </c>
      <c r="X1336" s="20" t="n"/>
      <c r="Y1336" s="23">
        <f>IF(OR(X1336="",W1336=0),"",X1336/W1336-1)</f>
        <v/>
      </c>
      <c r="Z1336" s="24" t="n"/>
      <c r="AA1336" s="21" t="n"/>
      <c r="AB1336" s="25" t="n"/>
      <c r="AC1336" s="26">
        <f>IF(T1336="","Chưa quyết định",IF(OR(Z1336="",AA1336=""),"⚠ Thiếu lý do/người duyệt",IF(AND(X1336&lt;&gt;"",N(X1336)+N(R1336)+N(S1336)&gt;M1336*1.001,R1336&lt;&gt;""),"⚠ Vượt mục tiêu P90",IF(AND(Y1336&lt;&gt;"",ABS(N(Y1336))&gt;0.3),"⚠ Lệch &gt; 30% so với nhu cầu",IF(Q1336="Có","ℹ Kiểm tra ngoại suy KM","✓ Hợp lệ")))))</f>
        <v/>
      </c>
    </row>
    <row r="1337">
      <c r="A1337" s="16" t="n">
        <v>1333</v>
      </c>
      <c r="B1337" s="17" t="inlineStr">
        <is>
          <t>DEC-S11-LIQUOR_WINE_BEER</t>
        </is>
      </c>
      <c r="C1337" s="16" t="n">
        <v>11</v>
      </c>
      <c r="D1337" s="17" t="inlineStr">
        <is>
          <t>LIQUOR,WINE,BEER</t>
        </is>
      </c>
      <c r="E1337" s="17" t="inlineStr">
        <is>
          <t>HIGH</t>
        </is>
      </c>
      <c r="F1337" s="17" t="inlineStr">
        <is>
          <t>TRUNG BÌNH</t>
        </is>
      </c>
      <c r="G1337" s="18" t="inlineStr">
        <is>
          <t>RISK_HIGH</t>
        </is>
      </c>
      <c r="H1337" s="19" t="n">
        <v>460.8069553375244</v>
      </c>
      <c r="I1337" s="19" t="n">
        <v>776.7555799484253</v>
      </c>
      <c r="J1337" s="19" t="n">
        <v>1210.753478607178</v>
      </c>
      <c r="K1337" s="19" t="n">
        <v>776.7555799484253</v>
      </c>
      <c r="L1337" s="19" t="n">
        <v>1048.004266610146</v>
      </c>
      <c r="M1337" s="19" t="n">
        <v>1210.753478607178</v>
      </c>
      <c r="N1337" s="17" t="inlineStr">
        <is>
          <t>B</t>
        </is>
      </c>
      <c r="O1337" s="19" t="n">
        <v>426.5998026514053</v>
      </c>
      <c r="P1337" s="18" t="inlineStr">
        <is>
          <t>CÂN NHẮC THỬ NGHIỆM</t>
        </is>
      </c>
      <c r="Q1337" s="17" t="inlineStr">
        <is>
          <t>Không</t>
        </is>
      </c>
      <c r="R1337" s="20" t="n"/>
      <c r="S1337" s="20" t="n"/>
      <c r="T1337" s="21" t="n"/>
      <c r="U1337" s="21" t="n"/>
      <c r="V1337" s="22">
        <f>IF(U1337="A",K1337,IF(U1337="B",L1337,IF(U1337="C",M1337,IF(N1337="A",K1337,IF(N1337="B",L1337,M1337)))))</f>
        <v/>
      </c>
      <c r="W1337" s="22">
        <f>IF(R1337="",O1337,MAX(V1337-R1337-N(S1337),0))</f>
        <v/>
      </c>
      <c r="X1337" s="20" t="n"/>
      <c r="Y1337" s="23">
        <f>IF(OR(X1337="",W1337=0),"",X1337/W1337-1)</f>
        <v/>
      </c>
      <c r="Z1337" s="24" t="n"/>
      <c r="AA1337" s="21" t="n"/>
      <c r="AB1337" s="25" t="n"/>
      <c r="AC1337" s="26">
        <f>IF(T1337="","Chưa quyết định",IF(OR(Z1337="",AA1337=""),"⚠ Thiếu lý do/người duyệt",IF(AND(X1337&lt;&gt;"",N(X1337)+N(R1337)+N(S1337)&gt;M1337*1.001,R1337&lt;&gt;""),"⚠ Vượt mục tiêu P90",IF(AND(Y1337&lt;&gt;"",ABS(N(Y1337))&gt;0.3),"⚠ Lệch &gt; 30% so với nhu cầu",IF(Q1337="Có","ℹ Kiểm tra ngoại suy KM","✓ Hợp lệ")))))</f>
        <v/>
      </c>
    </row>
    <row r="1338">
      <c r="A1338" s="16" t="n">
        <v>1334</v>
      </c>
      <c r="B1338" s="17" t="inlineStr">
        <is>
          <t>DEC-S50-HOME_AND_KITCHEN_I</t>
        </is>
      </c>
      <c r="C1338" s="16" t="n">
        <v>50</v>
      </c>
      <c r="D1338" s="17" t="inlineStr">
        <is>
          <t>HOME AND KITCHEN I</t>
        </is>
      </c>
      <c r="E1338" s="17" t="inlineStr">
        <is>
          <t>HIGH</t>
        </is>
      </c>
      <c r="F1338" s="17" t="inlineStr">
        <is>
          <t>TRUNG BÌNH</t>
        </is>
      </c>
      <c r="G1338" s="18" t="inlineStr">
        <is>
          <t>RISK_HIGH</t>
        </is>
      </c>
      <c r="H1338" s="19" t="n">
        <v>466.6065063476562</v>
      </c>
      <c r="I1338" s="19" t="n">
        <v>771.0457763671875</v>
      </c>
      <c r="J1338" s="19" t="n">
        <v>1198.100280761719</v>
      </c>
      <c r="K1338" s="19" t="n">
        <v>771.0457763671875</v>
      </c>
      <c r="L1338" s="19" t="n">
        <v>1037.95484161377</v>
      </c>
      <c r="M1338" s="19" t="n">
        <v>1198.100280761719</v>
      </c>
      <c r="N1338" s="17" t="inlineStr">
        <is>
          <t>B</t>
        </is>
      </c>
      <c r="O1338" s="19" t="n">
        <v>421.1182205200195</v>
      </c>
      <c r="P1338" s="18" t="inlineStr">
        <is>
          <t>CÂN NHẮC THỬ NGHIỆM</t>
        </is>
      </c>
      <c r="Q1338" s="17" t="inlineStr">
        <is>
          <t>Không</t>
        </is>
      </c>
      <c r="R1338" s="20" t="n"/>
      <c r="S1338" s="20" t="n"/>
      <c r="T1338" s="21" t="n"/>
      <c r="U1338" s="21" t="n"/>
      <c r="V1338" s="22">
        <f>IF(U1338="A",K1338,IF(U1338="B",L1338,IF(U1338="C",M1338,IF(N1338="A",K1338,IF(N1338="B",L1338,M1338)))))</f>
        <v/>
      </c>
      <c r="W1338" s="22">
        <f>IF(R1338="",O1338,MAX(V1338-R1338-N(S1338),0))</f>
        <v/>
      </c>
      <c r="X1338" s="20" t="n"/>
      <c r="Y1338" s="23">
        <f>IF(OR(X1338="",W1338=0),"",X1338/W1338-1)</f>
        <v/>
      </c>
      <c r="Z1338" s="24" t="n"/>
      <c r="AA1338" s="21" t="n"/>
      <c r="AB1338" s="25" t="n"/>
      <c r="AC1338" s="26">
        <f>IF(T1338="","Chưa quyết định",IF(OR(Z1338="",AA1338=""),"⚠ Thiếu lý do/người duyệt",IF(AND(X1338&lt;&gt;"",N(X1338)+N(R1338)+N(S1338)&gt;M1338*1.001,R1338&lt;&gt;""),"⚠ Vượt mục tiêu P90",IF(AND(Y1338&lt;&gt;"",ABS(N(Y1338))&gt;0.3),"⚠ Lệch &gt; 30% so với nhu cầu",IF(Q1338="Có","ℹ Kiểm tra ngoại suy KM","✓ Hợp lệ")))))</f>
        <v/>
      </c>
    </row>
    <row r="1339">
      <c r="A1339" s="16" t="n">
        <v>1335</v>
      </c>
      <c r="B1339" s="17" t="inlineStr">
        <is>
          <t>DEC-S52-HOME_AND_KITCHEN_I</t>
        </is>
      </c>
      <c r="C1339" s="16" t="n">
        <v>52</v>
      </c>
      <c r="D1339" s="17" t="inlineStr">
        <is>
          <t>HOME AND KITCHEN I</t>
        </is>
      </c>
      <c r="E1339" s="17" t="inlineStr">
        <is>
          <t>HIGH</t>
        </is>
      </c>
      <c r="F1339" s="17" t="inlineStr">
        <is>
          <t>TRUNG BÌNH</t>
        </is>
      </c>
      <c r="G1339" s="18" t="inlineStr">
        <is>
          <t>RISK_HIGH</t>
        </is>
      </c>
      <c r="H1339" s="19" t="n">
        <v>448.6255340576172</v>
      </c>
      <c r="I1339" s="19" t="n">
        <v>753.0648040771484</v>
      </c>
      <c r="J1339" s="19" t="n">
        <v>1180.11930847168</v>
      </c>
      <c r="K1339" s="19" t="n">
        <v>753.0648040771484</v>
      </c>
      <c r="L1339" s="19" t="n">
        <v>1019.97386932373</v>
      </c>
      <c r="M1339" s="19" t="n">
        <v>1180.11930847168</v>
      </c>
      <c r="N1339" s="17" t="inlineStr">
        <is>
          <t>B</t>
        </is>
      </c>
      <c r="O1339" s="19" t="n">
        <v>417.5220260620117</v>
      </c>
      <c r="P1339" s="18" t="inlineStr">
        <is>
          <t>CÂN NHẮC THỬ NGHIỆM</t>
        </is>
      </c>
      <c r="Q1339" s="17" t="inlineStr">
        <is>
          <t>Không</t>
        </is>
      </c>
      <c r="R1339" s="20" t="n"/>
      <c r="S1339" s="20" t="n"/>
      <c r="T1339" s="21" t="n"/>
      <c r="U1339" s="21" t="n"/>
      <c r="V1339" s="22">
        <f>IF(U1339="A",K1339,IF(U1339="B",L1339,IF(U1339="C",M1339,IF(N1339="A",K1339,IF(N1339="B",L1339,M1339)))))</f>
        <v/>
      </c>
      <c r="W1339" s="22">
        <f>IF(R1339="",O1339,MAX(V1339-R1339-N(S1339),0))</f>
        <v/>
      </c>
      <c r="X1339" s="20" t="n"/>
      <c r="Y1339" s="23">
        <f>IF(OR(X1339="",W1339=0),"",X1339/W1339-1)</f>
        <v/>
      </c>
      <c r="Z1339" s="24" t="n"/>
      <c r="AA1339" s="21" t="n"/>
      <c r="AB1339" s="25" t="n"/>
      <c r="AC1339" s="26">
        <f>IF(T1339="","Chưa quyết định",IF(OR(Z1339="",AA1339=""),"⚠ Thiếu lý do/người duyệt",IF(AND(X1339&lt;&gt;"",N(X1339)+N(R1339)+N(S1339)&gt;M1339*1.001,R1339&lt;&gt;""),"⚠ Vượt mục tiêu P90",IF(AND(Y1339&lt;&gt;"",ABS(N(Y1339))&gt;0.3),"⚠ Lệch &gt; 30% so với nhu cầu",IF(Q1339="Có","ℹ Kiểm tra ngoại suy KM","✓ Hợp lệ")))))</f>
        <v/>
      </c>
    </row>
    <row r="1340">
      <c r="A1340" s="16" t="n">
        <v>1336</v>
      </c>
      <c r="B1340" s="17" t="inlineStr">
        <is>
          <t>DEC-S44-LADIESWEAR</t>
        </is>
      </c>
      <c r="C1340" s="16" t="n">
        <v>44</v>
      </c>
      <c r="D1340" s="17" t="inlineStr">
        <is>
          <t>LADIESWEAR</t>
        </is>
      </c>
      <c r="E1340" s="17" t="inlineStr">
        <is>
          <t>HIGH</t>
        </is>
      </c>
      <c r="F1340" s="17" t="inlineStr">
        <is>
          <t>TRUNG BÌNH</t>
        </is>
      </c>
      <c r="G1340" s="18" t="inlineStr">
        <is>
          <t>RISK_HIGH</t>
        </is>
      </c>
      <c r="H1340" s="19" t="n">
        <v>434.460018157959</v>
      </c>
      <c r="I1340" s="19" t="n">
        <v>750.4086427688599</v>
      </c>
      <c r="J1340" s="19" t="n">
        <v>1184.406541427612</v>
      </c>
      <c r="K1340" s="19" t="n">
        <v>750.4086427688599</v>
      </c>
      <c r="L1340" s="19" t="n">
        <v>1021.65732943058</v>
      </c>
      <c r="M1340" s="19" t="n">
        <v>1184.406541427612</v>
      </c>
      <c r="N1340" s="17" t="inlineStr">
        <is>
          <t>B</t>
        </is>
      </c>
      <c r="O1340" s="19" t="n">
        <v>421.3304152154923</v>
      </c>
      <c r="P1340" s="18" t="inlineStr">
        <is>
          <t>CÂN NHẮC THỬ NGHIỆM</t>
        </is>
      </c>
      <c r="Q1340" s="17" t="inlineStr">
        <is>
          <t>Không</t>
        </is>
      </c>
      <c r="R1340" s="20" t="n"/>
      <c r="S1340" s="20" t="n"/>
      <c r="T1340" s="21" t="n"/>
      <c r="U1340" s="21" t="n"/>
      <c r="V1340" s="22">
        <f>IF(U1340="A",K1340,IF(U1340="B",L1340,IF(U1340="C",M1340,IF(N1340="A",K1340,IF(N1340="B",L1340,M1340)))))</f>
        <v/>
      </c>
      <c r="W1340" s="22">
        <f>IF(R1340="",O1340,MAX(V1340-R1340-N(S1340),0))</f>
        <v/>
      </c>
      <c r="X1340" s="20" t="n"/>
      <c r="Y1340" s="23">
        <f>IF(OR(X1340="",W1340=0),"",X1340/W1340-1)</f>
        <v/>
      </c>
      <c r="Z1340" s="24" t="n"/>
      <c r="AA1340" s="21" t="n"/>
      <c r="AB1340" s="25" t="n"/>
      <c r="AC1340" s="26">
        <f>IF(T1340="","Chưa quyết định",IF(OR(Z1340="",AA1340=""),"⚠ Thiếu lý do/người duyệt",IF(AND(X1340&lt;&gt;"",N(X1340)+N(R1340)+N(S1340)&gt;M1340*1.001,R1340&lt;&gt;""),"⚠ Vượt mục tiêu P90",IF(AND(Y1340&lt;&gt;"",ABS(N(Y1340))&gt;0.3),"⚠ Lệch &gt; 30% so với nhu cầu",IF(Q1340="Có","ℹ Kiểm tra ngoại suy KM","✓ Hợp lệ")))))</f>
        <v/>
      </c>
    </row>
    <row r="1341">
      <c r="A1341" s="16" t="n">
        <v>1337</v>
      </c>
      <c r="B1341" s="17" t="inlineStr">
        <is>
          <t>DEC-S35-FROZEN_FOODS</t>
        </is>
      </c>
      <c r="C1341" s="16" t="n">
        <v>35</v>
      </c>
      <c r="D1341" s="17" t="inlineStr">
        <is>
          <t>FROZEN FOODS</t>
        </is>
      </c>
      <c r="E1341" s="17" t="inlineStr">
        <is>
          <t>HIGH</t>
        </is>
      </c>
      <c r="F1341" s="17" t="inlineStr">
        <is>
          <t>TRUNG BÌNH</t>
        </is>
      </c>
      <c r="G1341" s="18" t="inlineStr">
        <is>
          <t>RISK_HIGH</t>
        </is>
      </c>
      <c r="H1341" s="19" t="n">
        <v>410.5587043762207</v>
      </c>
      <c r="I1341" s="19" t="n">
        <v>744.7501306533813</v>
      </c>
      <c r="J1341" s="19" t="n">
        <v>1195.690602462768</v>
      </c>
      <c r="K1341" s="19" t="n">
        <v>744.7501306533813</v>
      </c>
      <c r="L1341" s="19" t="n">
        <v>1026.587925534248</v>
      </c>
      <c r="M1341" s="19" t="n">
        <v>1195.690602462768</v>
      </c>
      <c r="N1341" s="17" t="inlineStr">
        <is>
          <t>B</t>
        </is>
      </c>
      <c r="O1341" s="19" t="n">
        <v>430.7878210115431</v>
      </c>
      <c r="P1341" s="18" t="inlineStr">
        <is>
          <t>CÂN NHẮC THỬ NGHIỆM</t>
        </is>
      </c>
      <c r="Q1341" s="17" t="inlineStr">
        <is>
          <t>Không</t>
        </is>
      </c>
      <c r="R1341" s="20" t="n"/>
      <c r="S1341" s="20" t="n"/>
      <c r="T1341" s="21" t="n"/>
      <c r="U1341" s="21" t="n"/>
      <c r="V1341" s="22">
        <f>IF(U1341="A",K1341,IF(U1341="B",L1341,IF(U1341="C",M1341,IF(N1341="A",K1341,IF(N1341="B",L1341,M1341)))))</f>
        <v/>
      </c>
      <c r="W1341" s="22">
        <f>IF(R1341="",O1341,MAX(V1341-R1341-N(S1341),0))</f>
        <v/>
      </c>
      <c r="X1341" s="20" t="n"/>
      <c r="Y1341" s="23">
        <f>IF(OR(X1341="",W1341=0),"",X1341/W1341-1)</f>
        <v/>
      </c>
      <c r="Z1341" s="24" t="n"/>
      <c r="AA1341" s="21" t="n"/>
      <c r="AB1341" s="25" t="n"/>
      <c r="AC1341" s="26">
        <f>IF(T1341="","Chưa quyết định",IF(OR(Z1341="",AA1341=""),"⚠ Thiếu lý do/người duyệt",IF(AND(X1341&lt;&gt;"",N(X1341)+N(R1341)+N(S1341)&gt;M1341*1.001,R1341&lt;&gt;""),"⚠ Vượt mục tiêu P90",IF(AND(Y1341&lt;&gt;"",ABS(N(Y1341))&gt;0.3),"⚠ Lệch &gt; 30% so với nhu cầu",IF(Q1341="Có","ℹ Kiểm tra ngoại suy KM","✓ Hợp lệ")))))</f>
        <v/>
      </c>
    </row>
    <row r="1342">
      <c r="A1342" s="16" t="n">
        <v>1338</v>
      </c>
      <c r="B1342" s="17" t="inlineStr">
        <is>
          <t>DEC-S06-HOME_AND_KITCHEN_II</t>
        </is>
      </c>
      <c r="C1342" s="16" t="n">
        <v>6</v>
      </c>
      <c r="D1342" s="17" t="inlineStr">
        <is>
          <t>HOME AND KITCHEN II</t>
        </is>
      </c>
      <c r="E1342" s="17" t="inlineStr">
        <is>
          <t>HIGH</t>
        </is>
      </c>
      <c r="F1342" s="17" t="inlineStr">
        <is>
          <t>TRUNG BÌNH</t>
        </is>
      </c>
      <c r="G1342" s="18" t="inlineStr">
        <is>
          <t>RISK_HIGH</t>
        </is>
      </c>
      <c r="H1342" s="19" t="n">
        <v>437.648365020752</v>
      </c>
      <c r="I1342" s="19" t="n">
        <v>742.0876350402832</v>
      </c>
      <c r="J1342" s="19" t="n">
        <v>1169.142139434814</v>
      </c>
      <c r="K1342" s="19" t="n">
        <v>742.0876350402832</v>
      </c>
      <c r="L1342" s="19" t="n">
        <v>1008.996700286865</v>
      </c>
      <c r="M1342" s="19" t="n">
        <v>1169.142139434814</v>
      </c>
      <c r="N1342" s="17" t="inlineStr">
        <is>
          <t>B</t>
        </is>
      </c>
      <c r="O1342" s="19" t="n">
        <v>415.3265922546386</v>
      </c>
      <c r="P1342" s="18" t="inlineStr">
        <is>
          <t>CÂN NHẮC THỬ NGHIỆM</t>
        </is>
      </c>
      <c r="Q1342" s="17" t="inlineStr">
        <is>
          <t>Không</t>
        </is>
      </c>
      <c r="R1342" s="20" t="n"/>
      <c r="S1342" s="20" t="n"/>
      <c r="T1342" s="21" t="n"/>
      <c r="U1342" s="21" t="n"/>
      <c r="V1342" s="22">
        <f>IF(U1342="A",K1342,IF(U1342="B",L1342,IF(U1342="C",M1342,IF(N1342="A",K1342,IF(N1342="B",L1342,M1342)))))</f>
        <v/>
      </c>
      <c r="W1342" s="22">
        <f>IF(R1342="",O1342,MAX(V1342-R1342-N(S1342),0))</f>
        <v/>
      </c>
      <c r="X1342" s="20" t="n"/>
      <c r="Y1342" s="23">
        <f>IF(OR(X1342="",W1342=0),"",X1342/W1342-1)</f>
        <v/>
      </c>
      <c r="Z1342" s="24" t="n"/>
      <c r="AA1342" s="21" t="n"/>
      <c r="AB1342" s="25" t="n"/>
      <c r="AC1342" s="26">
        <f>IF(T1342="","Chưa quyết định",IF(OR(Z1342="",AA1342=""),"⚠ Thiếu lý do/người duyệt",IF(AND(X1342&lt;&gt;"",N(X1342)+N(R1342)+N(S1342)&gt;M1342*1.001,R1342&lt;&gt;""),"⚠ Vượt mục tiêu P90",IF(AND(Y1342&lt;&gt;"",ABS(N(Y1342))&gt;0.3),"⚠ Lệch &gt; 30% so với nhu cầu",IF(Q1342="Có","ℹ Kiểm tra ngoại suy KM","✓ Hợp lệ")))))</f>
        <v/>
      </c>
    </row>
    <row r="1343">
      <c r="A1343" s="16" t="n">
        <v>1339</v>
      </c>
      <c r="B1343" s="17" t="inlineStr">
        <is>
          <t>DEC-S35-LIQUOR_WINE_BEER</t>
        </is>
      </c>
      <c r="C1343" s="16" t="n">
        <v>35</v>
      </c>
      <c r="D1343" s="17" t="inlineStr">
        <is>
          <t>LIQUOR,WINE,BEER</t>
        </is>
      </c>
      <c r="E1343" s="17" t="inlineStr">
        <is>
          <t>HIGH</t>
        </is>
      </c>
      <c r="F1343" s="17" t="inlineStr">
        <is>
          <t>TRUNG BÌNH</t>
        </is>
      </c>
      <c r="G1343" s="18" t="inlineStr">
        <is>
          <t>RISK_HIGH</t>
        </is>
      </c>
      <c r="H1343" s="19" t="n">
        <v>430.7362747192383</v>
      </c>
      <c r="I1343" s="19" t="n">
        <v>739.951452255249</v>
      </c>
      <c r="J1343" s="19" t="n">
        <v>1163.950172027588</v>
      </c>
      <c r="K1343" s="19" t="n">
        <v>739.951452255249</v>
      </c>
      <c r="L1343" s="19" t="n">
        <v>1004.950652112961</v>
      </c>
      <c r="M1343" s="19" t="n">
        <v>1163.950172027588</v>
      </c>
      <c r="N1343" s="17" t="inlineStr">
        <is>
          <t>B</t>
        </is>
      </c>
      <c r="O1343" s="19" t="n">
        <v>412.9894903087616</v>
      </c>
      <c r="P1343" s="18" t="inlineStr">
        <is>
          <t>CÂN NHẮC THỬ NGHIỆM</t>
        </is>
      </c>
      <c r="Q1343" s="17" t="inlineStr">
        <is>
          <t>Không</t>
        </is>
      </c>
      <c r="R1343" s="20" t="n"/>
      <c r="S1343" s="20" t="n"/>
      <c r="T1343" s="21" t="n"/>
      <c r="U1343" s="21" t="n"/>
      <c r="V1343" s="22">
        <f>IF(U1343="A",K1343,IF(U1343="B",L1343,IF(U1343="C",M1343,IF(N1343="A",K1343,IF(N1343="B",L1343,M1343)))))</f>
        <v/>
      </c>
      <c r="W1343" s="22">
        <f>IF(R1343="",O1343,MAX(V1343-R1343-N(S1343),0))</f>
        <v/>
      </c>
      <c r="X1343" s="20" t="n"/>
      <c r="Y1343" s="23">
        <f>IF(OR(X1343="",W1343=0),"",X1343/W1343-1)</f>
        <v/>
      </c>
      <c r="Z1343" s="24" t="n"/>
      <c r="AA1343" s="21" t="n"/>
      <c r="AB1343" s="25" t="n"/>
      <c r="AC1343" s="26">
        <f>IF(T1343="","Chưa quyết định",IF(OR(Z1343="",AA1343=""),"⚠ Thiếu lý do/người duyệt",IF(AND(X1343&lt;&gt;"",N(X1343)+N(R1343)+N(S1343)&gt;M1343*1.001,R1343&lt;&gt;""),"⚠ Vượt mục tiêu P90",IF(AND(Y1343&lt;&gt;"",ABS(N(Y1343))&gt;0.3),"⚠ Lệch &gt; 30% so với nhu cầu",IF(Q1343="Có","ℹ Kiểm tra ngoại suy KM","✓ Hợp lệ")))))</f>
        <v/>
      </c>
    </row>
    <row r="1344">
      <c r="A1344" s="16" t="n">
        <v>1340</v>
      </c>
      <c r="B1344" s="17" t="inlineStr">
        <is>
          <t>DEC-S18-SCHOOL_AND_OFFICE_SUPPLIES</t>
        </is>
      </c>
      <c r="C1344" s="16" t="n">
        <v>18</v>
      </c>
      <c r="D1344" s="17" t="inlineStr">
        <is>
          <t>SCHOOL AND OFFICE SUPPLIES</t>
        </is>
      </c>
      <c r="E1344" s="17" t="inlineStr">
        <is>
          <t>HIGH</t>
        </is>
      </c>
      <c r="F1344" s="17" t="inlineStr">
        <is>
          <t>TRUNG BÌNH</t>
        </is>
      </c>
      <c r="G1344" s="18" t="inlineStr">
        <is>
          <t>RISK_HIGH</t>
        </is>
      </c>
      <c r="H1344" s="19" t="n">
        <v>448.5924415588379</v>
      </c>
      <c r="I1344" s="19" t="n">
        <v>739.5648174285889</v>
      </c>
      <c r="J1344" s="19" t="n">
        <v>1146.620964050293</v>
      </c>
      <c r="K1344" s="19" t="n">
        <v>739.5648174285889</v>
      </c>
      <c r="L1344" s="19" t="n">
        <v>993.9749090671539</v>
      </c>
      <c r="M1344" s="19" t="n">
        <v>1146.620964050293</v>
      </c>
      <c r="N1344" s="17" t="inlineStr">
        <is>
          <t>B</t>
        </is>
      </c>
      <c r="O1344" s="19" t="n">
        <v>402.3230551242829</v>
      </c>
      <c r="P1344" s="18" t="inlineStr">
        <is>
          <t>CÂN NHẮC THỬ NGHIỆM</t>
        </is>
      </c>
      <c r="Q1344" s="17" t="inlineStr">
        <is>
          <t>Không</t>
        </is>
      </c>
      <c r="R1344" s="20" t="n"/>
      <c r="S1344" s="20" t="n"/>
      <c r="T1344" s="21" t="n"/>
      <c r="U1344" s="21" t="n"/>
      <c r="V1344" s="22">
        <f>IF(U1344="A",K1344,IF(U1344="B",L1344,IF(U1344="C",M1344,IF(N1344="A",K1344,IF(N1344="B",L1344,M1344)))))</f>
        <v/>
      </c>
      <c r="W1344" s="22">
        <f>IF(R1344="",O1344,MAX(V1344-R1344-N(S1344),0))</f>
        <v/>
      </c>
      <c r="X1344" s="20" t="n"/>
      <c r="Y1344" s="23">
        <f>IF(OR(X1344="",W1344=0),"",X1344/W1344-1)</f>
        <v/>
      </c>
      <c r="Z1344" s="24" t="n"/>
      <c r="AA1344" s="21" t="n"/>
      <c r="AB1344" s="25" t="n"/>
      <c r="AC1344" s="26">
        <f>IF(T1344="","Chưa quyết định",IF(OR(Z1344="",AA1344=""),"⚠ Thiếu lý do/người duyệt",IF(AND(X1344&lt;&gt;"",N(X1344)+N(R1344)+N(S1344)&gt;M1344*1.001,R1344&lt;&gt;""),"⚠ Vượt mục tiêu P90",IF(AND(Y1344&lt;&gt;"",ABS(N(Y1344))&gt;0.3),"⚠ Lệch &gt; 30% so với nhu cầu",IF(Q1344="Có","ℹ Kiểm tra ngoại suy KM","✓ Hợp lệ")))))</f>
        <v/>
      </c>
    </row>
    <row r="1345">
      <c r="A1345" s="16" t="n">
        <v>1341</v>
      </c>
      <c r="B1345" s="17" t="inlineStr">
        <is>
          <t>DEC-S34-LIQUOR_WINE_BEER</t>
        </is>
      </c>
      <c r="C1345" s="16" t="n">
        <v>34</v>
      </c>
      <c r="D1345" s="17" t="inlineStr">
        <is>
          <t>LIQUOR,WINE,BEER</t>
        </is>
      </c>
      <c r="E1345" s="17" t="inlineStr">
        <is>
          <t>HIGH</t>
        </is>
      </c>
      <c r="F1345" s="17" t="inlineStr">
        <is>
          <t>TRUNG BÌNH</t>
        </is>
      </c>
      <c r="G1345" s="18" t="inlineStr">
        <is>
          <t>RISK_HIGH</t>
        </is>
      </c>
      <c r="H1345" s="19" t="n">
        <v>431.3953819274902</v>
      </c>
      <c r="I1345" s="19" t="n">
        <v>735.8346519470215</v>
      </c>
      <c r="J1345" s="19" t="n">
        <v>1162.889156341553</v>
      </c>
      <c r="K1345" s="19" t="n">
        <v>735.8346519470215</v>
      </c>
      <c r="L1345" s="19" t="n">
        <v>1002.743717193604</v>
      </c>
      <c r="M1345" s="19" t="n">
        <v>1162.889156341553</v>
      </c>
      <c r="N1345" s="17" t="inlineStr">
        <is>
          <t>B</t>
        </is>
      </c>
      <c r="O1345" s="19" t="n">
        <v>414.0759956359863</v>
      </c>
      <c r="P1345" s="18" t="inlineStr">
        <is>
          <t>CÂN NHẮC THỬ NGHIỆM</t>
        </is>
      </c>
      <c r="Q1345" s="17" t="inlineStr">
        <is>
          <t>Không</t>
        </is>
      </c>
      <c r="R1345" s="20" t="n"/>
      <c r="S1345" s="20" t="n"/>
      <c r="T1345" s="21" t="n"/>
      <c r="U1345" s="21" t="n"/>
      <c r="V1345" s="22">
        <f>IF(U1345="A",K1345,IF(U1345="B",L1345,IF(U1345="C",M1345,IF(N1345="A",K1345,IF(N1345="B",L1345,M1345)))))</f>
        <v/>
      </c>
      <c r="W1345" s="22">
        <f>IF(R1345="",O1345,MAX(V1345-R1345-N(S1345),0))</f>
        <v/>
      </c>
      <c r="X1345" s="20" t="n"/>
      <c r="Y1345" s="23">
        <f>IF(OR(X1345="",W1345=0),"",X1345/W1345-1)</f>
        <v/>
      </c>
      <c r="Z1345" s="24" t="n"/>
      <c r="AA1345" s="21" t="n"/>
      <c r="AB1345" s="25" t="n"/>
      <c r="AC1345" s="26">
        <f>IF(T1345="","Chưa quyết định",IF(OR(Z1345="",AA1345=""),"⚠ Thiếu lý do/người duyệt",IF(AND(X1345&lt;&gt;"",N(X1345)+N(R1345)+N(S1345)&gt;M1345*1.001,R1345&lt;&gt;""),"⚠ Vượt mục tiêu P90",IF(AND(Y1345&lt;&gt;"",ABS(N(Y1345))&gt;0.3),"⚠ Lệch &gt; 30% so với nhu cầu",IF(Q1345="Có","ℹ Kiểm tra ngoại suy KM","✓ Hợp lệ")))))</f>
        <v/>
      </c>
    </row>
    <row r="1346">
      <c r="A1346" s="16" t="n">
        <v>1342</v>
      </c>
      <c r="B1346" s="17" t="inlineStr">
        <is>
          <t>DEC-S52-HOME_AND_KITCHEN_II</t>
        </is>
      </c>
      <c r="C1346" s="16" t="n">
        <v>52</v>
      </c>
      <c r="D1346" s="17" t="inlineStr">
        <is>
          <t>HOME AND KITCHEN II</t>
        </is>
      </c>
      <c r="E1346" s="17" t="inlineStr">
        <is>
          <t>HIGH</t>
        </is>
      </c>
      <c r="F1346" s="17" t="inlineStr">
        <is>
          <t>TRUNG BÌNH</t>
        </is>
      </c>
      <c r="G1346" s="18" t="inlineStr">
        <is>
          <t>RISK_HIGH</t>
        </is>
      </c>
      <c r="H1346" s="19" t="n">
        <v>429.6016578674317</v>
      </c>
      <c r="I1346" s="19" t="n">
        <v>734.0409278869629</v>
      </c>
      <c r="J1346" s="19" t="n">
        <v>1161.095432281494</v>
      </c>
      <c r="K1346" s="19" t="n">
        <v>734.0409278869629</v>
      </c>
      <c r="L1346" s="19" t="n">
        <v>1000.949993133545</v>
      </c>
      <c r="M1346" s="19" t="n">
        <v>1161.095432281494</v>
      </c>
      <c r="N1346" s="17" t="inlineStr">
        <is>
          <t>B</t>
        </is>
      </c>
      <c r="O1346" s="19" t="n">
        <v>413.7172508239744</v>
      </c>
      <c r="P1346" s="18" t="inlineStr">
        <is>
          <t>CÂN NHẮC THỬ NGHIỆM</t>
        </is>
      </c>
      <c r="Q1346" s="17" t="inlineStr">
        <is>
          <t>Không</t>
        </is>
      </c>
      <c r="R1346" s="20" t="n"/>
      <c r="S1346" s="20" t="n"/>
      <c r="T1346" s="21" t="n"/>
      <c r="U1346" s="21" t="n"/>
      <c r="V1346" s="22">
        <f>IF(U1346="A",K1346,IF(U1346="B",L1346,IF(U1346="C",M1346,IF(N1346="A",K1346,IF(N1346="B",L1346,M1346)))))</f>
        <v/>
      </c>
      <c r="W1346" s="22">
        <f>IF(R1346="",O1346,MAX(V1346-R1346-N(S1346),0))</f>
        <v/>
      </c>
      <c r="X1346" s="20" t="n"/>
      <c r="Y1346" s="23">
        <f>IF(OR(X1346="",W1346=0),"",X1346/W1346-1)</f>
        <v/>
      </c>
      <c r="Z1346" s="24" t="n"/>
      <c r="AA1346" s="21" t="n"/>
      <c r="AB1346" s="25" t="n"/>
      <c r="AC1346" s="26">
        <f>IF(T1346="","Chưa quyết định",IF(OR(Z1346="",AA1346=""),"⚠ Thiếu lý do/người duyệt",IF(AND(X1346&lt;&gt;"",N(X1346)+N(R1346)+N(S1346)&gt;M1346*1.001,R1346&lt;&gt;""),"⚠ Vượt mục tiêu P90",IF(AND(Y1346&lt;&gt;"",ABS(N(Y1346))&gt;0.3),"⚠ Lệch &gt; 30% so với nhu cầu",IF(Q1346="Có","ℹ Kiểm tra ngoại suy KM","✓ Hợp lệ")))))</f>
        <v/>
      </c>
    </row>
    <row r="1347">
      <c r="A1347" s="16" t="n">
        <v>1343</v>
      </c>
      <c r="B1347" s="17" t="inlineStr">
        <is>
          <t>DEC-S54-MEATS</t>
        </is>
      </c>
      <c r="C1347" s="16" t="n">
        <v>54</v>
      </c>
      <c r="D1347" s="17" t="inlineStr">
        <is>
          <t>MEATS</t>
        </is>
      </c>
      <c r="E1347" s="17" t="inlineStr">
        <is>
          <t>HIGH</t>
        </is>
      </c>
      <c r="F1347" s="17" t="inlineStr">
        <is>
          <t>TRUNG BÌNH</t>
        </is>
      </c>
      <c r="G1347" s="18" t="inlineStr">
        <is>
          <t>RISK_HIGH</t>
        </is>
      </c>
      <c r="H1347" s="19" t="n">
        <v>422.7031784057617</v>
      </c>
      <c r="I1347" s="19" t="n">
        <v>727.142448425293</v>
      </c>
      <c r="J1347" s="19" t="n">
        <v>1154.196952819824</v>
      </c>
      <c r="K1347" s="19" t="n">
        <v>727.142448425293</v>
      </c>
      <c r="L1347" s="19" t="n">
        <v>994.051513671875</v>
      </c>
      <c r="M1347" s="19" t="n">
        <v>1154.196952819824</v>
      </c>
      <c r="N1347" s="17" t="inlineStr">
        <is>
          <t>B</t>
        </is>
      </c>
      <c r="O1347" s="19" t="n">
        <v>412.3375549316406</v>
      </c>
      <c r="P1347" s="18" t="inlineStr">
        <is>
          <t>CÂN NHẮC THỬ NGHIỆM</t>
        </is>
      </c>
      <c r="Q1347" s="17" t="inlineStr">
        <is>
          <t>Không</t>
        </is>
      </c>
      <c r="R1347" s="20" t="n"/>
      <c r="S1347" s="20" t="n"/>
      <c r="T1347" s="21" t="n"/>
      <c r="U1347" s="21" t="n"/>
      <c r="V1347" s="22">
        <f>IF(U1347="A",K1347,IF(U1347="B",L1347,IF(U1347="C",M1347,IF(N1347="A",K1347,IF(N1347="B",L1347,M1347)))))</f>
        <v/>
      </c>
      <c r="W1347" s="22">
        <f>IF(R1347="",O1347,MAX(V1347-R1347-N(S1347),0))</f>
        <v/>
      </c>
      <c r="X1347" s="20" t="n"/>
      <c r="Y1347" s="23">
        <f>IF(OR(X1347="",W1347=0),"",X1347/W1347-1)</f>
        <v/>
      </c>
      <c r="Z1347" s="24" t="n"/>
      <c r="AA1347" s="21" t="n"/>
      <c r="AB1347" s="25" t="n"/>
      <c r="AC1347" s="26">
        <f>IF(T1347="","Chưa quyết định",IF(OR(Z1347="",AA1347=""),"⚠ Thiếu lý do/người duyệt",IF(AND(X1347&lt;&gt;"",N(X1347)+N(R1347)+N(S1347)&gt;M1347*1.001,R1347&lt;&gt;""),"⚠ Vượt mục tiêu P90",IF(AND(Y1347&lt;&gt;"",ABS(N(Y1347))&gt;0.3),"⚠ Lệch &gt; 30% so với nhu cầu",IF(Q1347="Có","ℹ Kiểm tra ngoại suy KM","✓ Hợp lệ")))))</f>
        <v/>
      </c>
    </row>
    <row r="1348">
      <c r="A1348" s="16" t="n">
        <v>1344</v>
      </c>
      <c r="B1348" s="17" t="inlineStr">
        <is>
          <t>DEC-S02-GROCERY_II</t>
        </is>
      </c>
      <c r="C1348" s="16" t="n">
        <v>2</v>
      </c>
      <c r="D1348" s="17" t="inlineStr">
        <is>
          <t>GROCERY II</t>
        </is>
      </c>
      <c r="E1348" s="17" t="inlineStr">
        <is>
          <t>HIGH</t>
        </is>
      </c>
      <c r="F1348" s="17" t="inlineStr">
        <is>
          <t>TRUNG BÌNH</t>
        </is>
      </c>
      <c r="G1348" s="18" t="inlineStr">
        <is>
          <t>RISK_HIGH</t>
        </is>
      </c>
      <c r="H1348" s="19" t="n">
        <v>418.4541931152344</v>
      </c>
      <c r="I1348" s="19" t="n">
        <v>722.8934631347656</v>
      </c>
      <c r="J1348" s="19" t="n">
        <v>1149.947967529297</v>
      </c>
      <c r="K1348" s="19" t="n">
        <v>722.8934631347656</v>
      </c>
      <c r="L1348" s="19" t="n">
        <v>989.8025283813477</v>
      </c>
      <c r="M1348" s="19" t="n">
        <v>1149.947967529297</v>
      </c>
      <c r="N1348" s="17" t="inlineStr">
        <is>
          <t>B</t>
        </is>
      </c>
      <c r="O1348" s="19" t="n">
        <v>411.4877578735351</v>
      </c>
      <c r="P1348" s="18" t="inlineStr">
        <is>
          <t>CÂN NHẮC THỬ NGHIỆM</t>
        </is>
      </c>
      <c r="Q1348" s="17" t="inlineStr">
        <is>
          <t>Không</t>
        </is>
      </c>
      <c r="R1348" s="20" t="n"/>
      <c r="S1348" s="20" t="n"/>
      <c r="T1348" s="21" t="n"/>
      <c r="U1348" s="21" t="n"/>
      <c r="V1348" s="22">
        <f>IF(U1348="A",K1348,IF(U1348="B",L1348,IF(U1348="C",M1348,IF(N1348="A",K1348,IF(N1348="B",L1348,M1348)))))</f>
        <v/>
      </c>
      <c r="W1348" s="22">
        <f>IF(R1348="",O1348,MAX(V1348-R1348-N(S1348),0))</f>
        <v/>
      </c>
      <c r="X1348" s="20" t="n"/>
      <c r="Y1348" s="23">
        <f>IF(OR(X1348="",W1348=0),"",X1348/W1348-1)</f>
        <v/>
      </c>
      <c r="Z1348" s="24" t="n"/>
      <c r="AA1348" s="21" t="n"/>
      <c r="AB1348" s="25" t="n"/>
      <c r="AC1348" s="26">
        <f>IF(T1348="","Chưa quyết định",IF(OR(Z1348="",AA1348=""),"⚠ Thiếu lý do/người duyệt",IF(AND(X1348&lt;&gt;"",N(X1348)+N(R1348)+N(S1348)&gt;M1348*1.001,R1348&lt;&gt;""),"⚠ Vượt mục tiêu P90",IF(AND(Y1348&lt;&gt;"",ABS(N(Y1348))&gt;0.3),"⚠ Lệch &gt; 30% so với nhu cầu",IF(Q1348="Có","ℹ Kiểm tra ngoại suy KM","✓ Hợp lệ")))))</f>
        <v/>
      </c>
    </row>
    <row r="1349">
      <c r="A1349" s="16" t="n">
        <v>1345</v>
      </c>
      <c r="B1349" s="17" t="inlineStr">
        <is>
          <t>DEC-S16-MEATS</t>
        </is>
      </c>
      <c r="C1349" s="16" t="n">
        <v>16</v>
      </c>
      <c r="D1349" s="17" t="inlineStr">
        <is>
          <t>MEATS</t>
        </is>
      </c>
      <c r="E1349" s="17" t="inlineStr">
        <is>
          <t>HIGH</t>
        </is>
      </c>
      <c r="F1349" s="17" t="inlineStr">
        <is>
          <t>TRUNG BÌNH</t>
        </is>
      </c>
      <c r="G1349" s="18" t="inlineStr">
        <is>
          <t>RISK_HIGH</t>
        </is>
      </c>
      <c r="H1349" s="19" t="n">
        <v>415.850528717041</v>
      </c>
      <c r="I1349" s="19" t="n">
        <v>720.2897987365723</v>
      </c>
      <c r="J1349" s="19" t="n">
        <v>1147.344303131104</v>
      </c>
      <c r="K1349" s="19" t="n">
        <v>720.2897987365723</v>
      </c>
      <c r="L1349" s="19" t="n">
        <v>987.1988639831543</v>
      </c>
      <c r="M1349" s="19" t="n">
        <v>1147.344303131104</v>
      </c>
      <c r="N1349" s="17" t="inlineStr">
        <is>
          <t>B</t>
        </is>
      </c>
      <c r="O1349" s="19" t="n">
        <v>410.9670249938964</v>
      </c>
      <c r="P1349" s="18" t="inlineStr">
        <is>
          <t>CÂN NHẮC THỬ NGHIỆM</t>
        </is>
      </c>
      <c r="Q1349" s="17" t="inlineStr">
        <is>
          <t>Không</t>
        </is>
      </c>
      <c r="R1349" s="20" t="n"/>
      <c r="S1349" s="20" t="n"/>
      <c r="T1349" s="21" t="n"/>
      <c r="U1349" s="21" t="n"/>
      <c r="V1349" s="22">
        <f>IF(U1349="A",K1349,IF(U1349="B",L1349,IF(U1349="C",M1349,IF(N1349="A",K1349,IF(N1349="B",L1349,M1349)))))</f>
        <v/>
      </c>
      <c r="W1349" s="22">
        <f>IF(R1349="",O1349,MAX(V1349-R1349-N(S1349),0))</f>
        <v/>
      </c>
      <c r="X1349" s="20" t="n"/>
      <c r="Y1349" s="23">
        <f>IF(OR(X1349="",W1349=0),"",X1349/W1349-1)</f>
        <v/>
      </c>
      <c r="Z1349" s="24" t="n"/>
      <c r="AA1349" s="21" t="n"/>
      <c r="AB1349" s="25" t="n"/>
      <c r="AC1349" s="26">
        <f>IF(T1349="","Chưa quyết định",IF(OR(Z1349="",AA1349=""),"⚠ Thiếu lý do/người duyệt",IF(AND(X1349&lt;&gt;"",N(X1349)+N(R1349)+N(S1349)&gt;M1349*1.001,R1349&lt;&gt;""),"⚠ Vượt mục tiêu P90",IF(AND(Y1349&lt;&gt;"",ABS(N(Y1349))&gt;0.3),"⚠ Lệch &gt; 30% so với nhu cầu",IF(Q1349="Có","ℹ Kiểm tra ngoại suy KM","✓ Hợp lệ")))))</f>
        <v/>
      </c>
    </row>
    <row r="1350">
      <c r="A1350" s="16" t="n">
        <v>1346</v>
      </c>
      <c r="B1350" s="17" t="inlineStr">
        <is>
          <t>DEC-S08-HOME_AND_KITCHEN_I</t>
        </is>
      </c>
      <c r="C1350" s="16" t="n">
        <v>8</v>
      </c>
      <c r="D1350" s="17" t="inlineStr">
        <is>
          <t>HOME AND KITCHEN I</t>
        </is>
      </c>
      <c r="E1350" s="17" t="inlineStr">
        <is>
          <t>HIGH</t>
        </is>
      </c>
      <c r="F1350" s="17" t="inlineStr">
        <is>
          <t>TRUNG BÌNH</t>
        </is>
      </c>
      <c r="G1350" s="18" t="inlineStr">
        <is>
          <t>RISK_HIGH</t>
        </is>
      </c>
      <c r="H1350" s="19" t="n">
        <v>398.642656326294</v>
      </c>
      <c r="I1350" s="19" t="n">
        <v>714.5912809371948</v>
      </c>
      <c r="J1350" s="19" t="n">
        <v>1148.589179595947</v>
      </c>
      <c r="K1350" s="19" t="n">
        <v>714.5912809371948</v>
      </c>
      <c r="L1350" s="19" t="n">
        <v>985.8399675989151</v>
      </c>
      <c r="M1350" s="19" t="n">
        <v>1148.589179595947</v>
      </c>
      <c r="N1350" s="17" t="inlineStr">
        <is>
          <t>B</t>
        </is>
      </c>
      <c r="O1350" s="19" t="n">
        <v>414.1669428491592</v>
      </c>
      <c r="P1350" s="18" t="inlineStr">
        <is>
          <t>CÂN NHẮC THỬ NGHIỆM</t>
        </is>
      </c>
      <c r="Q1350" s="17" t="inlineStr">
        <is>
          <t>Không</t>
        </is>
      </c>
      <c r="R1350" s="20" t="n"/>
      <c r="S1350" s="20" t="n"/>
      <c r="T1350" s="21" t="n"/>
      <c r="U1350" s="21" t="n"/>
      <c r="V1350" s="22">
        <f>IF(U1350="A",K1350,IF(U1350="B",L1350,IF(U1350="C",M1350,IF(N1350="A",K1350,IF(N1350="B",L1350,M1350)))))</f>
        <v/>
      </c>
      <c r="W1350" s="22">
        <f>IF(R1350="",O1350,MAX(V1350-R1350-N(S1350),0))</f>
        <v/>
      </c>
      <c r="X1350" s="20" t="n"/>
      <c r="Y1350" s="23">
        <f>IF(OR(X1350="",W1350=0),"",X1350/W1350-1)</f>
        <v/>
      </c>
      <c r="Z1350" s="24" t="n"/>
      <c r="AA1350" s="21" t="n"/>
      <c r="AB1350" s="25" t="n"/>
      <c r="AC1350" s="26">
        <f>IF(T1350="","Chưa quyết định",IF(OR(Z1350="",AA1350=""),"⚠ Thiếu lý do/người duyệt",IF(AND(X1350&lt;&gt;"",N(X1350)+N(R1350)+N(S1350)&gt;M1350*1.001,R1350&lt;&gt;""),"⚠ Vượt mục tiêu P90",IF(AND(Y1350&lt;&gt;"",ABS(N(Y1350))&gt;0.3),"⚠ Lệch &gt; 30% so với nhu cầu",IF(Q1350="Có","ℹ Kiểm tra ngoại suy KM","✓ Hợp lệ")))))</f>
        <v/>
      </c>
    </row>
    <row r="1351">
      <c r="A1351" s="16" t="n">
        <v>1347</v>
      </c>
      <c r="B1351" s="17" t="inlineStr">
        <is>
          <t>DEC-S51-LAWN_AND_GARDEN</t>
        </is>
      </c>
      <c r="C1351" s="16" t="n">
        <v>51</v>
      </c>
      <c r="D1351" s="17" t="inlineStr">
        <is>
          <t>LAWN AND GARDEN</t>
        </is>
      </c>
      <c r="E1351" s="17" t="inlineStr">
        <is>
          <t>HIGH</t>
        </is>
      </c>
      <c r="F1351" s="17" t="inlineStr">
        <is>
          <t>TRUNG BÌNH</t>
        </is>
      </c>
      <c r="G1351" s="18" t="inlineStr">
        <is>
          <t>RISK_HIGH</t>
        </is>
      </c>
      <c r="H1351" s="19" t="n">
        <v>391.6975440979004</v>
      </c>
      <c r="I1351" s="19" t="n">
        <v>707.6461687088013</v>
      </c>
      <c r="J1351" s="19" t="n">
        <v>1141.644067367554</v>
      </c>
      <c r="K1351" s="19" t="n">
        <v>707.6461687088013</v>
      </c>
      <c r="L1351" s="19" t="n">
        <v>978.8948553705216</v>
      </c>
      <c r="M1351" s="19" t="n">
        <v>1141.644067367554</v>
      </c>
      <c r="N1351" s="17" t="inlineStr">
        <is>
          <t>B</t>
        </is>
      </c>
      <c r="O1351" s="19" t="n">
        <v>412.7779204034805</v>
      </c>
      <c r="P1351" s="18" t="inlineStr">
        <is>
          <t>CÂN NHẮC THỬ NGHIỆM</t>
        </is>
      </c>
      <c r="Q1351" s="17" t="inlineStr">
        <is>
          <t>Không</t>
        </is>
      </c>
      <c r="R1351" s="20" t="n"/>
      <c r="S1351" s="20" t="n"/>
      <c r="T1351" s="21" t="n"/>
      <c r="U1351" s="21" t="n"/>
      <c r="V1351" s="22">
        <f>IF(U1351="A",K1351,IF(U1351="B",L1351,IF(U1351="C",M1351,IF(N1351="A",K1351,IF(N1351="B",L1351,M1351)))))</f>
        <v/>
      </c>
      <c r="W1351" s="22">
        <f>IF(R1351="",O1351,MAX(V1351-R1351-N(S1351),0))</f>
        <v/>
      </c>
      <c r="X1351" s="20" t="n"/>
      <c r="Y1351" s="23">
        <f>IF(OR(X1351="",W1351=0),"",X1351/W1351-1)</f>
        <v/>
      </c>
      <c r="Z1351" s="24" t="n"/>
      <c r="AA1351" s="21" t="n"/>
      <c r="AB1351" s="25" t="n"/>
      <c r="AC1351" s="26">
        <f>IF(T1351="","Chưa quyết định",IF(OR(Z1351="",AA1351=""),"⚠ Thiếu lý do/người duyệt",IF(AND(X1351&lt;&gt;"",N(X1351)+N(R1351)+N(S1351)&gt;M1351*1.001,R1351&lt;&gt;""),"⚠ Vượt mục tiêu P90",IF(AND(Y1351&lt;&gt;"",ABS(N(Y1351))&gt;0.3),"⚠ Lệch &gt; 30% so với nhu cầu",IF(Q1351="Có","ℹ Kiểm tra ngoại suy KM","✓ Hợp lệ")))))</f>
        <v/>
      </c>
    </row>
    <row r="1352">
      <c r="A1352" s="16" t="n">
        <v>1348</v>
      </c>
      <c r="B1352" s="17" t="inlineStr">
        <is>
          <t>DEC-S17-PREPARED_FOODS</t>
        </is>
      </c>
      <c r="C1352" s="16" t="n">
        <v>17</v>
      </c>
      <c r="D1352" s="17" t="inlineStr">
        <is>
          <t>PREPARED FOODS</t>
        </is>
      </c>
      <c r="E1352" s="17" t="inlineStr">
        <is>
          <t>HIGH</t>
        </is>
      </c>
      <c r="F1352" s="17" t="inlineStr">
        <is>
          <t>TRUNG BÌNH</t>
        </is>
      </c>
      <c r="G1352" s="18" t="inlineStr">
        <is>
          <t>RISK_HIGH</t>
        </is>
      </c>
      <c r="H1352" s="19" t="n">
        <v>402.4649162292481</v>
      </c>
      <c r="I1352" s="19" t="n">
        <v>706.9041862487793</v>
      </c>
      <c r="J1352" s="19" t="n">
        <v>1133.95869064331</v>
      </c>
      <c r="K1352" s="19" t="n">
        <v>706.9041862487793</v>
      </c>
      <c r="L1352" s="19" t="n">
        <v>973.8132514953611</v>
      </c>
      <c r="M1352" s="19" t="n">
        <v>1133.95869064331</v>
      </c>
      <c r="N1352" s="17" t="inlineStr">
        <is>
          <t>B</t>
        </is>
      </c>
      <c r="O1352" s="19" t="n">
        <v>408.2899024963376</v>
      </c>
      <c r="P1352" s="18" t="inlineStr">
        <is>
          <t>CÂN NHẮC THỬ NGHIỆM</t>
        </is>
      </c>
      <c r="Q1352" s="17" t="inlineStr">
        <is>
          <t>Không</t>
        </is>
      </c>
      <c r="R1352" s="20" t="n"/>
      <c r="S1352" s="20" t="n"/>
      <c r="T1352" s="21" t="n"/>
      <c r="U1352" s="21" t="n"/>
      <c r="V1352" s="22">
        <f>IF(U1352="A",K1352,IF(U1352="B",L1352,IF(U1352="C",M1352,IF(N1352="A",K1352,IF(N1352="B",L1352,M1352)))))</f>
        <v/>
      </c>
      <c r="W1352" s="22">
        <f>IF(R1352="",O1352,MAX(V1352-R1352-N(S1352),0))</f>
        <v/>
      </c>
      <c r="X1352" s="20" t="n"/>
      <c r="Y1352" s="23">
        <f>IF(OR(X1352="",W1352=0),"",X1352/W1352-1)</f>
        <v/>
      </c>
      <c r="Z1352" s="24" t="n"/>
      <c r="AA1352" s="21" t="n"/>
      <c r="AB1352" s="25" t="n"/>
      <c r="AC1352" s="26">
        <f>IF(T1352="","Chưa quyết định",IF(OR(Z1352="",AA1352=""),"⚠ Thiếu lý do/người duyệt",IF(AND(X1352&lt;&gt;"",N(X1352)+N(R1352)+N(S1352)&gt;M1352*1.001,R1352&lt;&gt;""),"⚠ Vượt mục tiêu P90",IF(AND(Y1352&lt;&gt;"",ABS(N(Y1352))&gt;0.3),"⚠ Lệch &gt; 30% so với nhu cầu",IF(Q1352="Có","ℹ Kiểm tra ngoại suy KM","✓ Hợp lệ")))))</f>
        <v/>
      </c>
    </row>
    <row r="1353">
      <c r="A1353" s="16" t="n">
        <v>1349</v>
      </c>
      <c r="B1353" s="17" t="inlineStr">
        <is>
          <t>DEC-S09-HOME_AND_KITCHEN_I</t>
        </is>
      </c>
      <c r="C1353" s="16" t="n">
        <v>9</v>
      </c>
      <c r="D1353" s="17" t="inlineStr">
        <is>
          <t>HOME AND KITCHEN I</t>
        </is>
      </c>
      <c r="E1353" s="17" t="inlineStr">
        <is>
          <t>HIGH</t>
        </is>
      </c>
      <c r="F1353" s="17" t="inlineStr">
        <is>
          <t>TRUNG BÌNH</t>
        </is>
      </c>
      <c r="G1353" s="18" t="inlineStr">
        <is>
          <t>RISK_HIGH</t>
        </is>
      </c>
      <c r="H1353" s="19" t="n">
        <v>407.9990463256836</v>
      </c>
      <c r="I1353" s="19" t="n">
        <v>705.7048692703247</v>
      </c>
      <c r="J1353" s="19" t="n">
        <v>1122.760194778442</v>
      </c>
      <c r="K1353" s="19" t="n">
        <v>705.7048692703247</v>
      </c>
      <c r="L1353" s="19" t="n">
        <v>966.3644477128983</v>
      </c>
      <c r="M1353" s="19" t="n">
        <v>1122.760194778442</v>
      </c>
      <c r="N1353" s="17" t="inlineStr">
        <is>
          <t>B</t>
        </is>
      </c>
      <c r="O1353" s="19" t="n">
        <v>401.8005522966384</v>
      </c>
      <c r="P1353" s="18" t="inlineStr">
        <is>
          <t>CÂN NHẮC THỬ NGHIỆM</t>
        </is>
      </c>
      <c r="Q1353" s="17" t="inlineStr">
        <is>
          <t>Không</t>
        </is>
      </c>
      <c r="R1353" s="20" t="n"/>
      <c r="S1353" s="20" t="n"/>
      <c r="T1353" s="21" t="n"/>
      <c r="U1353" s="21" t="n"/>
      <c r="V1353" s="22">
        <f>IF(U1353="A",K1353,IF(U1353="B",L1353,IF(U1353="C",M1353,IF(N1353="A",K1353,IF(N1353="B",L1353,M1353)))))</f>
        <v/>
      </c>
      <c r="W1353" s="22">
        <f>IF(R1353="",O1353,MAX(V1353-R1353-N(S1353),0))</f>
        <v/>
      </c>
      <c r="X1353" s="20" t="n"/>
      <c r="Y1353" s="23">
        <f>IF(OR(X1353="",W1353=0),"",X1353/W1353-1)</f>
        <v/>
      </c>
      <c r="Z1353" s="24" t="n"/>
      <c r="AA1353" s="21" t="n"/>
      <c r="AB1353" s="25" t="n"/>
      <c r="AC1353" s="26">
        <f>IF(T1353="","Chưa quyết định",IF(OR(Z1353="",AA1353=""),"⚠ Thiếu lý do/người duyệt",IF(AND(X1353&lt;&gt;"",N(X1353)+N(R1353)+N(S1353)&gt;M1353*1.001,R1353&lt;&gt;""),"⚠ Vượt mục tiêu P90",IF(AND(Y1353&lt;&gt;"",ABS(N(Y1353))&gt;0.3),"⚠ Lệch &gt; 30% so với nhu cầu",IF(Q1353="Có","ℹ Kiểm tra ngoại suy KM","✓ Hợp lệ")))))</f>
        <v/>
      </c>
    </row>
    <row r="1354">
      <c r="A1354" s="16" t="n">
        <v>1350</v>
      </c>
      <c r="B1354" s="17" t="inlineStr">
        <is>
          <t>DEC-S50-HOME_AND_KITCHEN_II</t>
        </is>
      </c>
      <c r="C1354" s="16" t="n">
        <v>50</v>
      </c>
      <c r="D1354" s="17" t="inlineStr">
        <is>
          <t>HOME AND KITCHEN II</t>
        </is>
      </c>
      <c r="E1354" s="17" t="inlineStr">
        <is>
          <t>HIGH</t>
        </is>
      </c>
      <c r="F1354" s="17" t="inlineStr">
        <is>
          <t>TRUNG BÌNH</t>
        </is>
      </c>
      <c r="G1354" s="18" t="inlineStr">
        <is>
          <t>RISK_HIGH</t>
        </is>
      </c>
      <c r="H1354" s="19" t="n">
        <v>398.6380577087402</v>
      </c>
      <c r="I1354" s="19" t="n">
        <v>703.0773277282715</v>
      </c>
      <c r="J1354" s="19" t="n">
        <v>1130.131832122803</v>
      </c>
      <c r="K1354" s="19" t="n">
        <v>703.0773277282715</v>
      </c>
      <c r="L1354" s="19" t="n">
        <v>969.9863929748535</v>
      </c>
      <c r="M1354" s="19" t="n">
        <v>1130.131832122803</v>
      </c>
      <c r="N1354" s="17" t="inlineStr">
        <is>
          <t>B</t>
        </is>
      </c>
      <c r="O1354" s="19" t="n">
        <v>407.5245307922363</v>
      </c>
      <c r="P1354" s="18" t="inlineStr">
        <is>
          <t>CÂN NHẮC THỬ NGHIỆM</t>
        </is>
      </c>
      <c r="Q1354" s="17" t="inlineStr">
        <is>
          <t>Không</t>
        </is>
      </c>
      <c r="R1354" s="20" t="n"/>
      <c r="S1354" s="20" t="n"/>
      <c r="T1354" s="21" t="n"/>
      <c r="U1354" s="21" t="n"/>
      <c r="V1354" s="22">
        <f>IF(U1354="A",K1354,IF(U1354="B",L1354,IF(U1354="C",M1354,IF(N1354="A",K1354,IF(N1354="B",L1354,M1354)))))</f>
        <v/>
      </c>
      <c r="W1354" s="22">
        <f>IF(R1354="",O1354,MAX(V1354-R1354-N(S1354),0))</f>
        <v/>
      </c>
      <c r="X1354" s="20" t="n"/>
      <c r="Y1354" s="23">
        <f>IF(OR(X1354="",W1354=0),"",X1354/W1354-1)</f>
        <v/>
      </c>
      <c r="Z1354" s="24" t="n"/>
      <c r="AA1354" s="21" t="n"/>
      <c r="AB1354" s="25" t="n"/>
      <c r="AC1354" s="26">
        <f>IF(T1354="","Chưa quyết định",IF(OR(Z1354="",AA1354=""),"⚠ Thiếu lý do/người duyệt",IF(AND(X1354&lt;&gt;"",N(X1354)+N(R1354)+N(S1354)&gt;M1354*1.001,R1354&lt;&gt;""),"⚠ Vượt mục tiêu P90",IF(AND(Y1354&lt;&gt;"",ABS(N(Y1354))&gt;0.3),"⚠ Lệch &gt; 30% so với nhu cầu",IF(Q1354="Có","ℹ Kiểm tra ngoại suy KM","✓ Hợp lệ")))))</f>
        <v/>
      </c>
    </row>
    <row r="1355">
      <c r="A1355" s="16" t="n">
        <v>1351</v>
      </c>
      <c r="B1355" s="17" t="inlineStr">
        <is>
          <t>DEC-S17-LIQUOR_WINE_BEER</t>
        </is>
      </c>
      <c r="C1355" s="16" t="n">
        <v>17</v>
      </c>
      <c r="D1355" s="17" t="inlineStr">
        <is>
          <t>LIQUOR,WINE,BEER</t>
        </is>
      </c>
      <c r="E1355" s="17" t="inlineStr">
        <is>
          <t>HIGH</t>
        </is>
      </c>
      <c r="F1355" s="17" t="inlineStr">
        <is>
          <t>TRUNG BÌNH</t>
        </is>
      </c>
      <c r="G1355" s="18" t="inlineStr">
        <is>
          <t>RISK_HIGH</t>
        </is>
      </c>
      <c r="H1355" s="19" t="n">
        <v>392.0787353515625</v>
      </c>
      <c r="I1355" s="19" t="n">
        <v>701.2939128875732</v>
      </c>
      <c r="J1355" s="19" t="n">
        <v>1125.292632659912</v>
      </c>
      <c r="K1355" s="19" t="n">
        <v>701.2939128875732</v>
      </c>
      <c r="L1355" s="19" t="n">
        <v>966.293112745285</v>
      </c>
      <c r="M1355" s="19" t="n">
        <v>1125.292632659912</v>
      </c>
      <c r="N1355" s="17" t="inlineStr">
        <is>
          <t>B</t>
        </is>
      </c>
      <c r="O1355" s="19" t="n">
        <v>405.2579824352264</v>
      </c>
      <c r="P1355" s="18" t="inlineStr">
        <is>
          <t>CÂN NHẮC THỬ NGHIỆM</t>
        </is>
      </c>
      <c r="Q1355" s="17" t="inlineStr">
        <is>
          <t>Không</t>
        </is>
      </c>
      <c r="R1355" s="20" t="n"/>
      <c r="S1355" s="20" t="n"/>
      <c r="T1355" s="21" t="n"/>
      <c r="U1355" s="21" t="n"/>
      <c r="V1355" s="22">
        <f>IF(U1355="A",K1355,IF(U1355="B",L1355,IF(U1355="C",M1355,IF(N1355="A",K1355,IF(N1355="B",L1355,M1355)))))</f>
        <v/>
      </c>
      <c r="W1355" s="22">
        <f>IF(R1355="",O1355,MAX(V1355-R1355-N(S1355),0))</f>
        <v/>
      </c>
      <c r="X1355" s="20" t="n"/>
      <c r="Y1355" s="23">
        <f>IF(OR(X1355="",W1355=0),"",X1355/W1355-1)</f>
        <v/>
      </c>
      <c r="Z1355" s="24" t="n"/>
      <c r="AA1355" s="21" t="n"/>
      <c r="AB1355" s="25" t="n"/>
      <c r="AC1355" s="26">
        <f>IF(T1355="","Chưa quyết định",IF(OR(Z1355="",AA1355=""),"⚠ Thiếu lý do/người duyệt",IF(AND(X1355&lt;&gt;"",N(X1355)+N(R1355)+N(S1355)&gt;M1355*1.001,R1355&lt;&gt;""),"⚠ Vượt mục tiêu P90",IF(AND(Y1355&lt;&gt;"",ABS(N(Y1355))&gt;0.3),"⚠ Lệch &gt; 30% so với nhu cầu",IF(Q1355="Có","ℹ Kiểm tra ngoại suy KM","✓ Hợp lệ")))))</f>
        <v/>
      </c>
    </row>
    <row r="1356">
      <c r="A1356" s="16" t="n">
        <v>1352</v>
      </c>
      <c r="B1356" s="17" t="inlineStr">
        <is>
          <t>DEC-S30-FROZEN_FOODS</t>
        </is>
      </c>
      <c r="C1356" s="16" t="n">
        <v>30</v>
      </c>
      <c r="D1356" s="17" t="inlineStr">
        <is>
          <t>FROZEN FOODS</t>
        </is>
      </c>
      <c r="E1356" s="17" t="inlineStr">
        <is>
          <t>HIGH</t>
        </is>
      </c>
      <c r="F1356" s="17" t="inlineStr">
        <is>
          <t>TRUNG BÌNH</t>
        </is>
      </c>
      <c r="G1356" s="18" t="inlineStr">
        <is>
          <t>RISK_HIGH</t>
        </is>
      </c>
      <c r="H1356" s="19" t="n">
        <v>395.9719543457031</v>
      </c>
      <c r="I1356" s="19" t="n">
        <v>700.4112243652344</v>
      </c>
      <c r="J1356" s="19" t="n">
        <v>1127.465728759766</v>
      </c>
      <c r="K1356" s="19" t="n">
        <v>700.4112243652344</v>
      </c>
      <c r="L1356" s="19" t="n">
        <v>967.3202896118164</v>
      </c>
      <c r="M1356" s="19" t="n">
        <v>1127.465728759766</v>
      </c>
      <c r="N1356" s="17" t="inlineStr">
        <is>
          <t>B</t>
        </is>
      </c>
      <c r="O1356" s="19" t="n">
        <v>406.9913101196289</v>
      </c>
      <c r="P1356" s="18" t="inlineStr">
        <is>
          <t>CÂN NHẮC THỬ NGHIỆM</t>
        </is>
      </c>
      <c r="Q1356" s="17" t="inlineStr">
        <is>
          <t>Không</t>
        </is>
      </c>
      <c r="R1356" s="20" t="n"/>
      <c r="S1356" s="20" t="n"/>
      <c r="T1356" s="21" t="n"/>
      <c r="U1356" s="21" t="n"/>
      <c r="V1356" s="22">
        <f>IF(U1356="A",K1356,IF(U1356="B",L1356,IF(U1356="C",M1356,IF(N1356="A",K1356,IF(N1356="B",L1356,M1356)))))</f>
        <v/>
      </c>
      <c r="W1356" s="22">
        <f>IF(R1356="",O1356,MAX(V1356-R1356-N(S1356),0))</f>
        <v/>
      </c>
      <c r="X1356" s="20" t="n"/>
      <c r="Y1356" s="23">
        <f>IF(OR(X1356="",W1356=0),"",X1356/W1356-1)</f>
        <v/>
      </c>
      <c r="Z1356" s="24" t="n"/>
      <c r="AA1356" s="21" t="n"/>
      <c r="AB1356" s="25" t="n"/>
      <c r="AC1356" s="26">
        <f>IF(T1356="","Chưa quyết định",IF(OR(Z1356="",AA1356=""),"⚠ Thiếu lý do/người duyệt",IF(AND(X1356&lt;&gt;"",N(X1356)+N(R1356)+N(S1356)&gt;M1356*1.001,R1356&lt;&gt;""),"⚠ Vượt mục tiêu P90",IF(AND(Y1356&lt;&gt;"",ABS(N(Y1356))&gt;0.3),"⚠ Lệch &gt; 30% so với nhu cầu",IF(Q1356="Có","ℹ Kiểm tra ngoại suy KM","✓ Hợp lệ")))))</f>
        <v/>
      </c>
    </row>
    <row r="1357">
      <c r="A1357" s="16" t="n">
        <v>1353</v>
      </c>
      <c r="B1357" s="17" t="inlineStr">
        <is>
          <t>DEC-S14-FROZEN_FOODS</t>
        </is>
      </c>
      <c r="C1357" s="16" t="n">
        <v>14</v>
      </c>
      <c r="D1357" s="17" t="inlineStr">
        <is>
          <t>FROZEN FOODS</t>
        </is>
      </c>
      <c r="E1357" s="17" t="inlineStr">
        <is>
          <t>HIGH</t>
        </is>
      </c>
      <c r="F1357" s="17" t="inlineStr">
        <is>
          <t>TRUNG BÌNH</t>
        </is>
      </c>
      <c r="G1357" s="18" t="inlineStr">
        <is>
          <t>RISK_HIGH</t>
        </is>
      </c>
      <c r="H1357" s="19" t="n">
        <v>397.9667282104492</v>
      </c>
      <c r="I1357" s="19" t="n">
        <v>695.6725511550903</v>
      </c>
      <c r="J1357" s="19" t="n">
        <v>1112.727876663208</v>
      </c>
      <c r="K1357" s="19" t="n">
        <v>695.6725511550903</v>
      </c>
      <c r="L1357" s="19" t="n">
        <v>956.3321295976639</v>
      </c>
      <c r="M1357" s="19" t="n">
        <v>1112.727876663208</v>
      </c>
      <c r="N1357" s="17" t="inlineStr">
        <is>
          <t>B</t>
        </is>
      </c>
      <c r="O1357" s="19" t="n">
        <v>399.7940886735916</v>
      </c>
      <c r="P1357" s="18" t="inlineStr">
        <is>
          <t>CÂN NHẮC THỬ NGHIỆM</t>
        </is>
      </c>
      <c r="Q1357" s="17" t="inlineStr">
        <is>
          <t>Không</t>
        </is>
      </c>
      <c r="R1357" s="20" t="n"/>
      <c r="S1357" s="20" t="n"/>
      <c r="T1357" s="21" t="n"/>
      <c r="U1357" s="21" t="n"/>
      <c r="V1357" s="22">
        <f>IF(U1357="A",K1357,IF(U1357="B",L1357,IF(U1357="C",M1357,IF(N1357="A",K1357,IF(N1357="B",L1357,M1357)))))</f>
        <v/>
      </c>
      <c r="W1357" s="22">
        <f>IF(R1357="",O1357,MAX(V1357-R1357-N(S1357),0))</f>
        <v/>
      </c>
      <c r="X1357" s="20" t="n"/>
      <c r="Y1357" s="23">
        <f>IF(OR(X1357="",W1357=0),"",X1357/W1357-1)</f>
        <v/>
      </c>
      <c r="Z1357" s="24" t="n"/>
      <c r="AA1357" s="21" t="n"/>
      <c r="AB1357" s="25" t="n"/>
      <c r="AC1357" s="26">
        <f>IF(T1357="","Chưa quyết định",IF(OR(Z1357="",AA1357=""),"⚠ Thiếu lý do/người duyệt",IF(AND(X1357&lt;&gt;"",N(X1357)+N(R1357)+N(S1357)&gt;M1357*1.001,R1357&lt;&gt;""),"⚠ Vượt mục tiêu P90",IF(AND(Y1357&lt;&gt;"",ABS(N(Y1357))&gt;0.3),"⚠ Lệch &gt; 30% so với nhu cầu",IF(Q1357="Có","ℹ Kiểm tra ngoại suy KM","✓ Hợp lệ")))))</f>
        <v/>
      </c>
    </row>
    <row r="1358">
      <c r="A1358" s="16" t="n">
        <v>1354</v>
      </c>
      <c r="B1358" s="17" t="inlineStr">
        <is>
          <t>DEC-S08-HOME_AND_KITCHEN_II</t>
        </is>
      </c>
      <c r="C1358" s="16" t="n">
        <v>8</v>
      </c>
      <c r="D1358" s="17" t="inlineStr">
        <is>
          <t>HOME AND KITCHEN II</t>
        </is>
      </c>
      <c r="E1358" s="17" t="inlineStr">
        <is>
          <t>HIGH</t>
        </is>
      </c>
      <c r="F1358" s="17" t="inlineStr">
        <is>
          <t>TRUNG BÌNH</t>
        </is>
      </c>
      <c r="G1358" s="18" t="inlineStr">
        <is>
          <t>RISK_HIGH</t>
        </is>
      </c>
      <c r="H1358" s="19" t="n">
        <v>397.1623134613037</v>
      </c>
      <c r="I1358" s="19" t="n">
        <v>694.8681364059448</v>
      </c>
      <c r="J1358" s="19" t="n">
        <v>1111.923461914062</v>
      </c>
      <c r="K1358" s="19" t="n">
        <v>694.8681364059448</v>
      </c>
      <c r="L1358" s="19" t="n">
        <v>955.5277148485184</v>
      </c>
      <c r="M1358" s="19" t="n">
        <v>1111.923461914062</v>
      </c>
      <c r="N1358" s="17" t="inlineStr">
        <is>
          <t>B</t>
        </is>
      </c>
      <c r="O1358" s="19" t="n">
        <v>399.6332057237624</v>
      </c>
      <c r="P1358" s="18" t="inlineStr">
        <is>
          <t>CÂN NHẮC THỬ NGHIỆM</t>
        </is>
      </c>
      <c r="Q1358" s="17" t="inlineStr">
        <is>
          <t>Không</t>
        </is>
      </c>
      <c r="R1358" s="20" t="n"/>
      <c r="S1358" s="20" t="n"/>
      <c r="T1358" s="21" t="n"/>
      <c r="U1358" s="21" t="n"/>
      <c r="V1358" s="22">
        <f>IF(U1358="A",K1358,IF(U1358="B",L1358,IF(U1358="C",M1358,IF(N1358="A",K1358,IF(N1358="B",L1358,M1358)))))</f>
        <v/>
      </c>
      <c r="W1358" s="22">
        <f>IF(R1358="",O1358,MAX(V1358-R1358-N(S1358),0))</f>
        <v/>
      </c>
      <c r="X1358" s="20" t="n"/>
      <c r="Y1358" s="23">
        <f>IF(OR(X1358="",W1358=0),"",X1358/W1358-1)</f>
        <v/>
      </c>
      <c r="Z1358" s="24" t="n"/>
      <c r="AA1358" s="21" t="n"/>
      <c r="AB1358" s="25" t="n"/>
      <c r="AC1358" s="26">
        <f>IF(T1358="","Chưa quyết định",IF(OR(Z1358="",AA1358=""),"⚠ Thiếu lý do/người duyệt",IF(AND(X1358&lt;&gt;"",N(X1358)+N(R1358)+N(S1358)&gt;M1358*1.001,R1358&lt;&gt;""),"⚠ Vượt mục tiêu P90",IF(AND(Y1358&lt;&gt;"",ABS(N(Y1358))&gt;0.3),"⚠ Lệch &gt; 30% so với nhu cầu",IF(Q1358="Có","ℹ Kiểm tra ngoại suy KM","✓ Hợp lệ")))))</f>
        <v/>
      </c>
    </row>
    <row r="1359">
      <c r="A1359" s="16" t="n">
        <v>1355</v>
      </c>
      <c r="B1359" s="17" t="inlineStr">
        <is>
          <t>DEC-S12-LIQUOR_WINE_BEER</t>
        </is>
      </c>
      <c r="C1359" s="16" t="n">
        <v>12</v>
      </c>
      <c r="D1359" s="17" t="inlineStr">
        <is>
          <t>LIQUOR,WINE,BEER</t>
        </is>
      </c>
      <c r="E1359" s="17" t="inlineStr">
        <is>
          <t>HIGH</t>
        </is>
      </c>
      <c r="F1359" s="17" t="inlineStr">
        <is>
          <t>TRUNG BÌNH</t>
        </is>
      </c>
      <c r="G1359" s="18" t="inlineStr">
        <is>
          <t>RISK_HIGH</t>
        </is>
      </c>
      <c r="H1359" s="19" t="n">
        <v>405.5168914794922</v>
      </c>
      <c r="I1359" s="19" t="n">
        <v>689.755820274353</v>
      </c>
      <c r="J1359" s="19" t="n">
        <v>1086.812788009644</v>
      </c>
      <c r="K1359" s="19" t="n">
        <v>689.755820274353</v>
      </c>
      <c r="L1359" s="19" t="n">
        <v>937.9164251089096</v>
      </c>
      <c r="M1359" s="19" t="n">
        <v>1086.812788009644</v>
      </c>
      <c r="N1359" s="17" t="inlineStr">
        <is>
          <t>B</t>
        </is>
      </c>
      <c r="O1359" s="19" t="n">
        <v>386.1117688894272</v>
      </c>
      <c r="P1359" s="18" t="inlineStr">
        <is>
          <t>CÂN NHẮC THỬ NGHIỆM</t>
        </is>
      </c>
      <c r="Q1359" s="17" t="inlineStr">
        <is>
          <t>Không</t>
        </is>
      </c>
      <c r="R1359" s="20" t="n"/>
      <c r="S1359" s="20" t="n"/>
      <c r="T1359" s="21" t="n"/>
      <c r="U1359" s="21" t="n"/>
      <c r="V1359" s="22">
        <f>IF(U1359="A",K1359,IF(U1359="B",L1359,IF(U1359="C",M1359,IF(N1359="A",K1359,IF(N1359="B",L1359,M1359)))))</f>
        <v/>
      </c>
      <c r="W1359" s="22">
        <f>IF(R1359="",O1359,MAX(V1359-R1359-N(S1359),0))</f>
        <v/>
      </c>
      <c r="X1359" s="20" t="n"/>
      <c r="Y1359" s="23">
        <f>IF(OR(X1359="",W1359=0),"",X1359/W1359-1)</f>
        <v/>
      </c>
      <c r="Z1359" s="24" t="n"/>
      <c r="AA1359" s="21" t="n"/>
      <c r="AB1359" s="25" t="n"/>
      <c r="AC1359" s="26">
        <f>IF(T1359="","Chưa quyết định",IF(OR(Z1359="",AA1359=""),"⚠ Thiếu lý do/người duyệt",IF(AND(X1359&lt;&gt;"",N(X1359)+N(R1359)+N(S1359)&gt;M1359*1.001,R1359&lt;&gt;""),"⚠ Vượt mục tiêu P90",IF(AND(Y1359&lt;&gt;"",ABS(N(Y1359))&gt;0.3),"⚠ Lệch &gt; 30% so với nhu cầu",IF(Q1359="Có","ℹ Kiểm tra ngoại suy KM","✓ Hợp lệ")))))</f>
        <v/>
      </c>
    </row>
    <row r="1360">
      <c r="A1360" s="16" t="n">
        <v>1356</v>
      </c>
      <c r="B1360" s="17" t="inlineStr">
        <is>
          <t>DEC-S07-HOME_AND_KITCHEN_I</t>
        </is>
      </c>
      <c r="C1360" s="16" t="n">
        <v>7</v>
      </c>
      <c r="D1360" s="17" t="inlineStr">
        <is>
          <t>HOME AND KITCHEN I</t>
        </is>
      </c>
      <c r="E1360" s="17" t="inlineStr">
        <is>
          <t>HIGH</t>
        </is>
      </c>
      <c r="F1360" s="17" t="inlineStr">
        <is>
          <t>TRUNG BÌNH</t>
        </is>
      </c>
      <c r="G1360" s="18" t="inlineStr">
        <is>
          <t>RISK_HIGH</t>
        </is>
      </c>
      <c r="H1360" s="19" t="n">
        <v>387.2604503631592</v>
      </c>
      <c r="I1360" s="19" t="n">
        <v>689.7421808242798</v>
      </c>
      <c r="J1360" s="19" t="n">
        <v>1103.741721710205</v>
      </c>
      <c r="K1360" s="19" t="n">
        <v>689.7421808242798</v>
      </c>
      <c r="L1360" s="19" t="n">
        <v>948.4918938779831</v>
      </c>
      <c r="M1360" s="19" t="n">
        <v>1103.741721710205</v>
      </c>
      <c r="N1360" s="17" t="inlineStr">
        <is>
          <t>B</t>
        </is>
      </c>
      <c r="O1360" s="19" t="n">
        <v>396.6981492185593</v>
      </c>
      <c r="P1360" s="18" t="inlineStr">
        <is>
          <t>CÂN NHẮC THỬ NGHIỆM</t>
        </is>
      </c>
      <c r="Q1360" s="17" t="inlineStr">
        <is>
          <t>Không</t>
        </is>
      </c>
      <c r="R1360" s="20" t="n"/>
      <c r="S1360" s="20" t="n"/>
      <c r="T1360" s="21" t="n"/>
      <c r="U1360" s="21" t="n"/>
      <c r="V1360" s="22">
        <f>IF(U1360="A",K1360,IF(U1360="B",L1360,IF(U1360="C",M1360,IF(N1360="A",K1360,IF(N1360="B",L1360,M1360)))))</f>
        <v/>
      </c>
      <c r="W1360" s="22">
        <f>IF(R1360="",O1360,MAX(V1360-R1360-N(S1360),0))</f>
        <v/>
      </c>
      <c r="X1360" s="20" t="n"/>
      <c r="Y1360" s="23">
        <f>IF(OR(X1360="",W1360=0),"",X1360/W1360-1)</f>
        <v/>
      </c>
      <c r="Z1360" s="24" t="n"/>
      <c r="AA1360" s="21" t="n"/>
      <c r="AB1360" s="25" t="n"/>
      <c r="AC1360" s="26">
        <f>IF(T1360="","Chưa quyết định",IF(OR(Z1360="",AA1360=""),"⚠ Thiếu lý do/người duyệt",IF(AND(X1360&lt;&gt;"",N(X1360)+N(R1360)+N(S1360)&gt;M1360*1.001,R1360&lt;&gt;""),"⚠ Vượt mục tiêu P90",IF(AND(Y1360&lt;&gt;"",ABS(N(Y1360))&gt;0.3),"⚠ Lệch &gt; 30% so với nhu cầu",IF(Q1360="Có","ℹ Kiểm tra ngoại suy KM","✓ Hợp lệ")))))</f>
        <v/>
      </c>
    </row>
    <row r="1361">
      <c r="A1361" s="16" t="n">
        <v>1357</v>
      </c>
      <c r="B1361" s="17" t="inlineStr">
        <is>
          <t>DEC-S51-SEAFOOD</t>
        </is>
      </c>
      <c r="C1361" s="16" t="n">
        <v>51</v>
      </c>
      <c r="D1361" s="17" t="inlineStr">
        <is>
          <t>SEAFOOD</t>
        </is>
      </c>
      <c r="E1361" s="17" t="inlineStr">
        <is>
          <t>HIGH</t>
        </is>
      </c>
      <c r="F1361" s="17" t="inlineStr">
        <is>
          <t>TRUNG BÌNH</t>
        </is>
      </c>
      <c r="G1361" s="18" t="inlineStr">
        <is>
          <t>RISK_HIGH</t>
        </is>
      </c>
      <c r="H1361" s="19" t="n">
        <v>383.1175308227539</v>
      </c>
      <c r="I1361" s="19" t="n">
        <v>687.5568008422852</v>
      </c>
      <c r="J1361" s="19" t="n">
        <v>1114.611305236816</v>
      </c>
      <c r="K1361" s="19" t="n">
        <v>687.5568008422852</v>
      </c>
      <c r="L1361" s="19" t="n">
        <v>954.4658660888672</v>
      </c>
      <c r="M1361" s="19" t="n">
        <v>1114.611305236816</v>
      </c>
      <c r="N1361" s="17" t="inlineStr">
        <is>
          <t>B</t>
        </is>
      </c>
      <c r="O1361" s="19" t="n">
        <v>404.4204254150391</v>
      </c>
      <c r="P1361" s="18" t="inlineStr">
        <is>
          <t>CÂN NHẮC THỬ NGHIỆM</t>
        </is>
      </c>
      <c r="Q1361" s="17" t="inlineStr">
        <is>
          <t>Không</t>
        </is>
      </c>
      <c r="R1361" s="20" t="n"/>
      <c r="S1361" s="20" t="n"/>
      <c r="T1361" s="21" t="n"/>
      <c r="U1361" s="21" t="n"/>
      <c r="V1361" s="22">
        <f>IF(U1361="A",K1361,IF(U1361="B",L1361,IF(U1361="C",M1361,IF(N1361="A",K1361,IF(N1361="B",L1361,M1361)))))</f>
        <v/>
      </c>
      <c r="W1361" s="22">
        <f>IF(R1361="",O1361,MAX(V1361-R1361-N(S1361),0))</f>
        <v/>
      </c>
      <c r="X1361" s="20" t="n"/>
      <c r="Y1361" s="23">
        <f>IF(OR(X1361="",W1361=0),"",X1361/W1361-1)</f>
        <v/>
      </c>
      <c r="Z1361" s="24" t="n"/>
      <c r="AA1361" s="21" t="n"/>
      <c r="AB1361" s="25" t="n"/>
      <c r="AC1361" s="26">
        <f>IF(T1361="","Chưa quyết định",IF(OR(Z1361="",AA1361=""),"⚠ Thiếu lý do/người duyệt",IF(AND(X1361&lt;&gt;"",N(X1361)+N(R1361)+N(S1361)&gt;M1361*1.001,R1361&lt;&gt;""),"⚠ Vượt mục tiêu P90",IF(AND(Y1361&lt;&gt;"",ABS(N(Y1361))&gt;0.3),"⚠ Lệch &gt; 30% so với nhu cầu",IF(Q1361="Có","ℹ Kiểm tra ngoại suy KM","✓ Hợp lệ")))))</f>
        <v/>
      </c>
    </row>
    <row r="1362">
      <c r="A1362" s="16" t="n">
        <v>1358</v>
      </c>
      <c r="B1362" s="17" t="inlineStr">
        <is>
          <t>DEC-S54-LIQUOR_WINE_BEER</t>
        </is>
      </c>
      <c r="C1362" s="16" t="n">
        <v>54</v>
      </c>
      <c r="D1362" s="17" t="inlineStr">
        <is>
          <t>LIQUOR,WINE,BEER</t>
        </is>
      </c>
      <c r="E1362" s="17" t="inlineStr">
        <is>
          <t>HIGH</t>
        </is>
      </c>
      <c r="F1362" s="17" t="inlineStr">
        <is>
          <t>TRUNG BÌNH</t>
        </is>
      </c>
      <c r="G1362" s="18" t="inlineStr">
        <is>
          <t>RISK_HIGH</t>
        </is>
      </c>
      <c r="H1362" s="19" t="n">
        <v>380.9455871582031</v>
      </c>
      <c r="I1362" s="19" t="n">
        <v>685.3848571777344</v>
      </c>
      <c r="J1362" s="19" t="n">
        <v>1112.439361572266</v>
      </c>
      <c r="K1362" s="19" t="n">
        <v>685.3848571777344</v>
      </c>
      <c r="L1362" s="19" t="n">
        <v>952.2939224243164</v>
      </c>
      <c r="M1362" s="19" t="n">
        <v>1112.439361572266</v>
      </c>
      <c r="N1362" s="17" t="inlineStr">
        <is>
          <t>B</t>
        </is>
      </c>
      <c r="O1362" s="19" t="n">
        <v>403.9860366821289</v>
      </c>
      <c r="P1362" s="18" t="inlineStr">
        <is>
          <t>CÂN NHẮC THỬ NGHIỆM</t>
        </is>
      </c>
      <c r="Q1362" s="17" t="inlineStr">
        <is>
          <t>Không</t>
        </is>
      </c>
      <c r="R1362" s="20" t="n"/>
      <c r="S1362" s="20" t="n"/>
      <c r="T1362" s="21" t="n"/>
      <c r="U1362" s="21" t="n"/>
      <c r="V1362" s="22">
        <f>IF(U1362="A",K1362,IF(U1362="B",L1362,IF(U1362="C",M1362,IF(N1362="A",K1362,IF(N1362="B",L1362,M1362)))))</f>
        <v/>
      </c>
      <c r="W1362" s="22">
        <f>IF(R1362="",O1362,MAX(V1362-R1362-N(S1362),0))</f>
        <v/>
      </c>
      <c r="X1362" s="20" t="n"/>
      <c r="Y1362" s="23">
        <f>IF(OR(X1362="",W1362=0),"",X1362/W1362-1)</f>
        <v/>
      </c>
      <c r="Z1362" s="24" t="n"/>
      <c r="AA1362" s="21" t="n"/>
      <c r="AB1362" s="25" t="n"/>
      <c r="AC1362" s="26">
        <f>IF(T1362="","Chưa quyết định",IF(OR(Z1362="",AA1362=""),"⚠ Thiếu lý do/người duyệt",IF(AND(X1362&lt;&gt;"",N(X1362)+N(R1362)+N(S1362)&gt;M1362*1.001,R1362&lt;&gt;""),"⚠ Vượt mục tiêu P90",IF(AND(Y1362&lt;&gt;"",ABS(N(Y1362))&gt;0.3),"⚠ Lệch &gt; 30% so với nhu cầu",IF(Q1362="Có","ℹ Kiểm tra ngoại suy KM","✓ Hợp lệ")))))</f>
        <v/>
      </c>
    </row>
    <row r="1363">
      <c r="A1363" s="16" t="n">
        <v>1359</v>
      </c>
      <c r="B1363" s="17" t="inlineStr">
        <is>
          <t>DEC-S51-HOME_AND_KITCHEN_II</t>
        </is>
      </c>
      <c r="C1363" s="16" t="n">
        <v>51</v>
      </c>
      <c r="D1363" s="17" t="inlineStr">
        <is>
          <t>HOME AND KITCHEN II</t>
        </is>
      </c>
      <c r="E1363" s="17" t="inlineStr">
        <is>
          <t>HIGH</t>
        </is>
      </c>
      <c r="F1363" s="17" t="inlineStr">
        <is>
          <t>TRUNG BÌNH</t>
        </is>
      </c>
      <c r="G1363" s="18" t="inlineStr">
        <is>
          <t>RISK_HIGH</t>
        </is>
      </c>
      <c r="H1363" s="19" t="n">
        <v>379.4762001037598</v>
      </c>
      <c r="I1363" s="19" t="n">
        <v>683.915470123291</v>
      </c>
      <c r="J1363" s="19" t="n">
        <v>1110.969974517822</v>
      </c>
      <c r="K1363" s="19" t="n">
        <v>683.915470123291</v>
      </c>
      <c r="L1363" s="19" t="n">
        <v>950.8245353698732</v>
      </c>
      <c r="M1363" s="19" t="n">
        <v>1110.969974517822</v>
      </c>
      <c r="N1363" s="17" t="inlineStr">
        <is>
          <t>B</t>
        </is>
      </c>
      <c r="O1363" s="19" t="n">
        <v>403.6921592712404</v>
      </c>
      <c r="P1363" s="18" t="inlineStr">
        <is>
          <t>CÂN NHẮC THỬ NGHIỆM</t>
        </is>
      </c>
      <c r="Q1363" s="17" t="inlineStr">
        <is>
          <t>Không</t>
        </is>
      </c>
      <c r="R1363" s="20" t="n"/>
      <c r="S1363" s="20" t="n"/>
      <c r="T1363" s="21" t="n"/>
      <c r="U1363" s="21" t="n"/>
      <c r="V1363" s="22">
        <f>IF(U1363="A",K1363,IF(U1363="B",L1363,IF(U1363="C",M1363,IF(N1363="A",K1363,IF(N1363="B",L1363,M1363)))))</f>
        <v/>
      </c>
      <c r="W1363" s="22">
        <f>IF(R1363="",O1363,MAX(V1363-R1363-N(S1363),0))</f>
        <v/>
      </c>
      <c r="X1363" s="20" t="n"/>
      <c r="Y1363" s="23">
        <f>IF(OR(X1363="",W1363=0),"",X1363/W1363-1)</f>
        <v/>
      </c>
      <c r="Z1363" s="24" t="n"/>
      <c r="AA1363" s="21" t="n"/>
      <c r="AB1363" s="25" t="n"/>
      <c r="AC1363" s="26">
        <f>IF(T1363="","Chưa quyết định",IF(OR(Z1363="",AA1363=""),"⚠ Thiếu lý do/người duyệt",IF(AND(X1363&lt;&gt;"",N(X1363)+N(R1363)+N(S1363)&gt;M1363*1.001,R1363&lt;&gt;""),"⚠ Vượt mục tiêu P90",IF(AND(Y1363&lt;&gt;"",ABS(N(Y1363))&gt;0.3),"⚠ Lệch &gt; 30% so với nhu cầu",IF(Q1363="Có","ℹ Kiểm tra ngoại suy KM","✓ Hợp lệ")))))</f>
        <v/>
      </c>
    </row>
    <row r="1364">
      <c r="A1364" s="16" t="n">
        <v>1360</v>
      </c>
      <c r="B1364" s="17" t="inlineStr">
        <is>
          <t>DEC-S47-LADIESWEAR</t>
        </is>
      </c>
      <c r="C1364" s="16" t="n">
        <v>47</v>
      </c>
      <c r="D1364" s="17" t="inlineStr">
        <is>
          <t>LADIESWEAR</t>
        </is>
      </c>
      <c r="E1364" s="17" t="inlineStr">
        <is>
          <t>HIGH</t>
        </is>
      </c>
      <c r="F1364" s="17" t="inlineStr">
        <is>
          <t>TRUNG BÌNH</t>
        </is>
      </c>
      <c r="G1364" s="18" t="inlineStr">
        <is>
          <t>RISK_HIGH</t>
        </is>
      </c>
      <c r="H1364" s="19" t="n">
        <v>396.2547149658203</v>
      </c>
      <c r="I1364" s="19" t="n">
        <v>680.4936437606812</v>
      </c>
      <c r="J1364" s="19" t="n">
        <v>1077.550611495972</v>
      </c>
      <c r="K1364" s="19" t="n">
        <v>680.4936437606812</v>
      </c>
      <c r="L1364" s="19" t="n">
        <v>928.6542485952377</v>
      </c>
      <c r="M1364" s="19" t="n">
        <v>1077.550611495972</v>
      </c>
      <c r="N1364" s="17" t="inlineStr">
        <is>
          <t>B</t>
        </is>
      </c>
      <c r="O1364" s="19" t="n">
        <v>384.2593335866928</v>
      </c>
      <c r="P1364" s="18" t="inlineStr">
        <is>
          <t>CÂN NHẮC THỬ NGHIỆM</t>
        </is>
      </c>
      <c r="Q1364" s="17" t="inlineStr">
        <is>
          <t>Không</t>
        </is>
      </c>
      <c r="R1364" s="20" t="n"/>
      <c r="S1364" s="20" t="n"/>
      <c r="T1364" s="21" t="n"/>
      <c r="U1364" s="21" t="n"/>
      <c r="V1364" s="22">
        <f>IF(U1364="A",K1364,IF(U1364="B",L1364,IF(U1364="C",M1364,IF(N1364="A",K1364,IF(N1364="B",L1364,M1364)))))</f>
        <v/>
      </c>
      <c r="W1364" s="22">
        <f>IF(R1364="",O1364,MAX(V1364-R1364-N(S1364),0))</f>
        <v/>
      </c>
      <c r="X1364" s="20" t="n"/>
      <c r="Y1364" s="23">
        <f>IF(OR(X1364="",W1364=0),"",X1364/W1364-1)</f>
        <v/>
      </c>
      <c r="Z1364" s="24" t="n"/>
      <c r="AA1364" s="21" t="n"/>
      <c r="AB1364" s="25" t="n"/>
      <c r="AC1364" s="26">
        <f>IF(T1364="","Chưa quyết định",IF(OR(Z1364="",AA1364=""),"⚠ Thiếu lý do/người duyệt",IF(AND(X1364&lt;&gt;"",N(X1364)+N(R1364)+N(S1364)&gt;M1364*1.001,R1364&lt;&gt;""),"⚠ Vượt mục tiêu P90",IF(AND(Y1364&lt;&gt;"",ABS(N(Y1364))&gt;0.3),"⚠ Lệch &gt; 30% so với nhu cầu",IF(Q1364="Có","ℹ Kiểm tra ngoại suy KM","✓ Hợp lệ")))))</f>
        <v/>
      </c>
    </row>
    <row r="1365">
      <c r="A1365" s="16" t="n">
        <v>1361</v>
      </c>
      <c r="B1365" s="17" t="inlineStr">
        <is>
          <t>DEC-S42-PREPARED_FOODS</t>
        </is>
      </c>
      <c r="C1365" s="16" t="n">
        <v>42</v>
      </c>
      <c r="D1365" s="17" t="inlineStr">
        <is>
          <t>PREPARED FOODS</t>
        </is>
      </c>
      <c r="E1365" s="17" t="inlineStr">
        <is>
          <t>HIGH</t>
        </is>
      </c>
      <c r="F1365" s="17" t="inlineStr">
        <is>
          <t>TRUNG BÌNH</t>
        </is>
      </c>
      <c r="G1365" s="18" t="inlineStr">
        <is>
          <t>RISK_HIGH</t>
        </is>
      </c>
      <c r="H1365" s="19" t="n">
        <v>375.5996704101562</v>
      </c>
      <c r="I1365" s="19" t="n">
        <v>680.0389404296875</v>
      </c>
      <c r="J1365" s="19" t="n">
        <v>1107.093444824219</v>
      </c>
      <c r="K1365" s="19" t="n">
        <v>680.0389404296875</v>
      </c>
      <c r="L1365" s="19" t="n">
        <v>946.9480056762695</v>
      </c>
      <c r="M1365" s="19" t="n">
        <v>1107.093444824219</v>
      </c>
      <c r="N1365" s="17" t="inlineStr">
        <is>
          <t>B</t>
        </is>
      </c>
      <c r="O1365" s="19" t="n">
        <v>402.9168533325195</v>
      </c>
      <c r="P1365" s="18" t="inlineStr">
        <is>
          <t>CÂN NHẮC THỬ NGHIỆM</t>
        </is>
      </c>
      <c r="Q1365" s="17" t="inlineStr">
        <is>
          <t>Không</t>
        </is>
      </c>
      <c r="R1365" s="20" t="n"/>
      <c r="S1365" s="20" t="n"/>
      <c r="T1365" s="21" t="n"/>
      <c r="U1365" s="21" t="n"/>
      <c r="V1365" s="22">
        <f>IF(U1365="A",K1365,IF(U1365="B",L1365,IF(U1365="C",M1365,IF(N1365="A",K1365,IF(N1365="B",L1365,M1365)))))</f>
        <v/>
      </c>
      <c r="W1365" s="22">
        <f>IF(R1365="",O1365,MAX(V1365-R1365-N(S1365),0))</f>
        <v/>
      </c>
      <c r="X1365" s="20" t="n"/>
      <c r="Y1365" s="23">
        <f>IF(OR(X1365="",W1365=0),"",X1365/W1365-1)</f>
        <v/>
      </c>
      <c r="Z1365" s="24" t="n"/>
      <c r="AA1365" s="21" t="n"/>
      <c r="AB1365" s="25" t="n"/>
      <c r="AC1365" s="26">
        <f>IF(T1365="","Chưa quyết định",IF(OR(Z1365="",AA1365=""),"⚠ Thiếu lý do/người duyệt",IF(AND(X1365&lt;&gt;"",N(X1365)+N(R1365)+N(S1365)&gt;M1365*1.001,R1365&lt;&gt;""),"⚠ Vượt mục tiêu P90",IF(AND(Y1365&lt;&gt;"",ABS(N(Y1365))&gt;0.3),"⚠ Lệch &gt; 30% so với nhu cầu",IF(Q1365="Có","ℹ Kiểm tra ngoại suy KM","✓ Hợp lệ")))))</f>
        <v/>
      </c>
    </row>
    <row r="1366">
      <c r="A1366" s="16" t="n">
        <v>1362</v>
      </c>
      <c r="B1366" s="17" t="inlineStr">
        <is>
          <t>DEC-S46-LADIESWEAR</t>
        </is>
      </c>
      <c r="C1366" s="16" t="n">
        <v>46</v>
      </c>
      <c r="D1366" s="17" t="inlineStr">
        <is>
          <t>LADIESWEAR</t>
        </is>
      </c>
      <c r="E1366" s="17" t="inlineStr">
        <is>
          <t>HIGH</t>
        </is>
      </c>
      <c r="F1366" s="17" t="inlineStr">
        <is>
          <t>TRUNG BÌNH</t>
        </is>
      </c>
      <c r="G1366" s="18" t="inlineStr">
        <is>
          <t>RISK_HIGH</t>
        </is>
      </c>
      <c r="H1366" s="19" t="n">
        <v>394.2577705383301</v>
      </c>
      <c r="I1366" s="19" t="n">
        <v>678.4966993331909</v>
      </c>
      <c r="J1366" s="19" t="n">
        <v>1075.553667068481</v>
      </c>
      <c r="K1366" s="19" t="n">
        <v>678.4966993331909</v>
      </c>
      <c r="L1366" s="19" t="n">
        <v>926.6573041677475</v>
      </c>
      <c r="M1366" s="19" t="n">
        <v>1075.553667068481</v>
      </c>
      <c r="N1366" s="17" t="inlineStr">
        <is>
          <t>B</t>
        </is>
      </c>
      <c r="O1366" s="19" t="n">
        <v>383.8599447011948</v>
      </c>
      <c r="P1366" s="18" t="inlineStr">
        <is>
          <t>CÂN NHẮC THỬ NGHIỆM</t>
        </is>
      </c>
      <c r="Q1366" s="17" t="inlineStr">
        <is>
          <t>Không</t>
        </is>
      </c>
      <c r="R1366" s="20" t="n"/>
      <c r="S1366" s="20" t="n"/>
      <c r="T1366" s="21" t="n"/>
      <c r="U1366" s="21" t="n"/>
      <c r="V1366" s="22">
        <f>IF(U1366="A",K1366,IF(U1366="B",L1366,IF(U1366="C",M1366,IF(N1366="A",K1366,IF(N1366="B",L1366,M1366)))))</f>
        <v/>
      </c>
      <c r="W1366" s="22">
        <f>IF(R1366="",O1366,MAX(V1366-R1366-N(S1366),0))</f>
        <v/>
      </c>
      <c r="X1366" s="20" t="n"/>
      <c r="Y1366" s="23">
        <f>IF(OR(X1366="",W1366=0),"",X1366/W1366-1)</f>
        <v/>
      </c>
      <c r="Z1366" s="24" t="n"/>
      <c r="AA1366" s="21" t="n"/>
      <c r="AB1366" s="25" t="n"/>
      <c r="AC1366" s="26">
        <f>IF(T1366="","Chưa quyết định",IF(OR(Z1366="",AA1366=""),"⚠ Thiếu lý do/người duyệt",IF(AND(X1366&lt;&gt;"",N(X1366)+N(R1366)+N(S1366)&gt;M1366*1.001,R1366&lt;&gt;""),"⚠ Vượt mục tiêu P90",IF(AND(Y1366&lt;&gt;"",ABS(N(Y1366))&gt;0.3),"⚠ Lệch &gt; 30% so với nhu cầu",IF(Q1366="Có","ℹ Kiểm tra ngoại suy KM","✓ Hợp lệ")))))</f>
        <v/>
      </c>
    </row>
    <row r="1367">
      <c r="A1367" s="16" t="n">
        <v>1363</v>
      </c>
      <c r="B1367" s="17" t="inlineStr">
        <is>
          <t>DEC-S46-GROCERY_II</t>
        </is>
      </c>
      <c r="C1367" s="16" t="n">
        <v>46</v>
      </c>
      <c r="D1367" s="17" t="inlineStr">
        <is>
          <t>GROCERY II</t>
        </is>
      </c>
      <c r="E1367" s="17" t="inlineStr">
        <is>
          <t>HIGH</t>
        </is>
      </c>
      <c r="F1367" s="17" t="inlineStr">
        <is>
          <t>TRUNG BÌNH</t>
        </is>
      </c>
      <c r="G1367" s="18" t="inlineStr">
        <is>
          <t>RISK_HIGH</t>
        </is>
      </c>
      <c r="H1367" s="19" t="n">
        <v>370.9612045288086</v>
      </c>
      <c r="I1367" s="19" t="n">
        <v>675.4004745483398</v>
      </c>
      <c r="J1367" s="19" t="n">
        <v>1102.454978942871</v>
      </c>
      <c r="K1367" s="19" t="n">
        <v>675.4004745483398</v>
      </c>
      <c r="L1367" s="19" t="n">
        <v>942.3095397949219</v>
      </c>
      <c r="M1367" s="19" t="n">
        <v>1102.454978942871</v>
      </c>
      <c r="N1367" s="17" t="inlineStr">
        <is>
          <t>B</t>
        </is>
      </c>
      <c r="O1367" s="19" t="n">
        <v>401.98916015625</v>
      </c>
      <c r="P1367" s="18" t="inlineStr">
        <is>
          <t>CÂN NHẮC THỬ NGHIỆM</t>
        </is>
      </c>
      <c r="Q1367" s="17" t="inlineStr">
        <is>
          <t>Không</t>
        </is>
      </c>
      <c r="R1367" s="20" t="n"/>
      <c r="S1367" s="20" t="n"/>
      <c r="T1367" s="21" t="n"/>
      <c r="U1367" s="21" t="n"/>
      <c r="V1367" s="22">
        <f>IF(U1367="A",K1367,IF(U1367="B",L1367,IF(U1367="C",M1367,IF(N1367="A",K1367,IF(N1367="B",L1367,M1367)))))</f>
        <v/>
      </c>
      <c r="W1367" s="22">
        <f>IF(R1367="",O1367,MAX(V1367-R1367-N(S1367),0))</f>
        <v/>
      </c>
      <c r="X1367" s="20" t="n"/>
      <c r="Y1367" s="23">
        <f>IF(OR(X1367="",W1367=0),"",X1367/W1367-1)</f>
        <v/>
      </c>
      <c r="Z1367" s="24" t="n"/>
      <c r="AA1367" s="21" t="n"/>
      <c r="AB1367" s="25" t="n"/>
      <c r="AC1367" s="26">
        <f>IF(T1367="","Chưa quyết định",IF(OR(Z1367="",AA1367=""),"⚠ Thiếu lý do/người duyệt",IF(AND(X1367&lt;&gt;"",N(X1367)+N(R1367)+N(S1367)&gt;M1367*1.001,R1367&lt;&gt;""),"⚠ Vượt mục tiêu P90",IF(AND(Y1367&lt;&gt;"",ABS(N(Y1367))&gt;0.3),"⚠ Lệch &gt; 30% so với nhu cầu",IF(Q1367="Có","ℹ Kiểm tra ngoại suy KM","✓ Hợp lệ")))))</f>
        <v/>
      </c>
    </row>
    <row r="1368">
      <c r="A1368" s="16" t="n">
        <v>1364</v>
      </c>
      <c r="B1368" s="17" t="inlineStr">
        <is>
          <t>DEC-S41-PREPARED_FOODS</t>
        </is>
      </c>
      <c r="C1368" s="16" t="n">
        <v>41</v>
      </c>
      <c r="D1368" s="17" t="inlineStr">
        <is>
          <t>PREPARED FOODS</t>
        </is>
      </c>
      <c r="E1368" s="17" t="inlineStr">
        <is>
          <t>HIGH</t>
        </is>
      </c>
      <c r="F1368" s="17" t="inlineStr">
        <is>
          <t>TRUNG BÌNH</t>
        </is>
      </c>
      <c r="G1368" s="18" t="inlineStr">
        <is>
          <t>RISK_HIGH</t>
        </is>
      </c>
      <c r="H1368" s="19" t="n">
        <v>367.8815803527832</v>
      </c>
      <c r="I1368" s="19" t="n">
        <v>672.3208503723145</v>
      </c>
      <c r="J1368" s="19" t="n">
        <v>1099.375354766846</v>
      </c>
      <c r="K1368" s="19" t="n">
        <v>672.3208503723145</v>
      </c>
      <c r="L1368" s="19" t="n">
        <v>939.2299156188965</v>
      </c>
      <c r="M1368" s="19" t="n">
        <v>1099.375354766846</v>
      </c>
      <c r="N1368" s="17" t="inlineStr">
        <is>
          <t>B</t>
        </is>
      </c>
      <c r="O1368" s="19" t="n">
        <v>401.3732353210449</v>
      </c>
      <c r="P1368" s="18" t="inlineStr">
        <is>
          <t>CÂN NHẮC THỬ NGHIỆM</t>
        </is>
      </c>
      <c r="Q1368" s="17" t="inlineStr">
        <is>
          <t>Không</t>
        </is>
      </c>
      <c r="R1368" s="20" t="n"/>
      <c r="S1368" s="20" t="n"/>
      <c r="T1368" s="21" t="n"/>
      <c r="U1368" s="21" t="n"/>
      <c r="V1368" s="22">
        <f>IF(U1368="A",K1368,IF(U1368="B",L1368,IF(U1368="C",M1368,IF(N1368="A",K1368,IF(N1368="B",L1368,M1368)))))</f>
        <v/>
      </c>
      <c r="W1368" s="22">
        <f>IF(R1368="",O1368,MAX(V1368-R1368-N(S1368),0))</f>
        <v/>
      </c>
      <c r="X1368" s="20" t="n"/>
      <c r="Y1368" s="23">
        <f>IF(OR(X1368="",W1368=0),"",X1368/W1368-1)</f>
        <v/>
      </c>
      <c r="Z1368" s="24" t="n"/>
      <c r="AA1368" s="21" t="n"/>
      <c r="AB1368" s="25" t="n"/>
      <c r="AC1368" s="26">
        <f>IF(T1368="","Chưa quyết định",IF(OR(Z1368="",AA1368=""),"⚠ Thiếu lý do/người duyệt",IF(AND(X1368&lt;&gt;"",N(X1368)+N(R1368)+N(S1368)&gt;M1368*1.001,R1368&lt;&gt;""),"⚠ Vượt mục tiêu P90",IF(AND(Y1368&lt;&gt;"",ABS(N(Y1368))&gt;0.3),"⚠ Lệch &gt; 30% so với nhu cầu",IF(Q1368="Có","ℹ Kiểm tra ngoại suy KM","✓ Hợp lệ")))))</f>
        <v/>
      </c>
    </row>
    <row r="1369">
      <c r="A1369" s="16" t="n">
        <v>1365</v>
      </c>
      <c r="B1369" s="17" t="inlineStr">
        <is>
          <t>DEC-S48-GROCERY_II</t>
        </is>
      </c>
      <c r="C1369" s="16" t="n">
        <v>48</v>
      </c>
      <c r="D1369" s="17" t="inlineStr">
        <is>
          <t>GROCERY II</t>
        </is>
      </c>
      <c r="E1369" s="17" t="inlineStr">
        <is>
          <t>HIGH</t>
        </is>
      </c>
      <c r="F1369" s="17" t="inlineStr">
        <is>
          <t>TRUNG BÌNH</t>
        </is>
      </c>
      <c r="G1369" s="18" t="inlineStr">
        <is>
          <t>RISK_HIGH</t>
        </is>
      </c>
      <c r="H1369" s="19" t="n">
        <v>366.867431640625</v>
      </c>
      <c r="I1369" s="19" t="n">
        <v>671.3067016601562</v>
      </c>
      <c r="J1369" s="19" t="n">
        <v>1098.361206054688</v>
      </c>
      <c r="K1369" s="19" t="n">
        <v>671.3067016601562</v>
      </c>
      <c r="L1369" s="19" t="n">
        <v>938.2157669067383</v>
      </c>
      <c r="M1369" s="19" t="n">
        <v>1098.361206054688</v>
      </c>
      <c r="N1369" s="17" t="inlineStr">
        <is>
          <t>B</t>
        </is>
      </c>
      <c r="O1369" s="19" t="n">
        <v>401.1704055786132</v>
      </c>
      <c r="P1369" s="18" t="inlineStr">
        <is>
          <t>CÂN NHẮC THỬ NGHIỆM</t>
        </is>
      </c>
      <c r="Q1369" s="17" t="inlineStr">
        <is>
          <t>Không</t>
        </is>
      </c>
      <c r="R1369" s="20" t="n"/>
      <c r="S1369" s="20" t="n"/>
      <c r="T1369" s="21" t="n"/>
      <c r="U1369" s="21" t="n"/>
      <c r="V1369" s="22">
        <f>IF(U1369="A",K1369,IF(U1369="B",L1369,IF(U1369="C",M1369,IF(N1369="A",K1369,IF(N1369="B",L1369,M1369)))))</f>
        <v/>
      </c>
      <c r="W1369" s="22">
        <f>IF(R1369="",O1369,MAX(V1369-R1369-N(S1369),0))</f>
        <v/>
      </c>
      <c r="X1369" s="20" t="n"/>
      <c r="Y1369" s="23">
        <f>IF(OR(X1369="",W1369=0),"",X1369/W1369-1)</f>
        <v/>
      </c>
      <c r="Z1369" s="24" t="n"/>
      <c r="AA1369" s="21" t="n"/>
      <c r="AB1369" s="25" t="n"/>
      <c r="AC1369" s="26">
        <f>IF(T1369="","Chưa quyết định",IF(OR(Z1369="",AA1369=""),"⚠ Thiếu lý do/người duyệt",IF(AND(X1369&lt;&gt;"",N(X1369)+N(R1369)+N(S1369)&gt;M1369*1.001,R1369&lt;&gt;""),"⚠ Vượt mục tiêu P90",IF(AND(Y1369&lt;&gt;"",ABS(N(Y1369))&gt;0.3),"⚠ Lệch &gt; 30% so với nhu cầu",IF(Q1369="Có","ℹ Kiểm tra ngoại suy KM","✓ Hợp lệ")))))</f>
        <v/>
      </c>
    </row>
    <row r="1370">
      <c r="A1370" s="16" t="n">
        <v>1366</v>
      </c>
      <c r="B1370" s="17" t="inlineStr">
        <is>
          <t>DEC-S48-LADIESWEAR</t>
        </is>
      </c>
      <c r="C1370" s="16" t="n">
        <v>48</v>
      </c>
      <c r="D1370" s="17" t="inlineStr">
        <is>
          <t>LADIESWEAR</t>
        </is>
      </c>
      <c r="E1370" s="17" t="inlineStr">
        <is>
          <t>HIGH</t>
        </is>
      </c>
      <c r="F1370" s="17" t="inlineStr">
        <is>
          <t>TRUNG BÌNH</t>
        </is>
      </c>
      <c r="G1370" s="18" t="inlineStr">
        <is>
          <t>RISK_HIGH</t>
        </is>
      </c>
      <c r="H1370" s="19" t="n">
        <v>382.2783355712891</v>
      </c>
      <c r="I1370" s="19" t="n">
        <v>666.5172643661499</v>
      </c>
      <c r="J1370" s="19" t="n">
        <v>1063.57423210144</v>
      </c>
      <c r="K1370" s="19" t="n">
        <v>666.5172643661499</v>
      </c>
      <c r="L1370" s="19" t="n">
        <v>914.6778692007065</v>
      </c>
      <c r="M1370" s="19" t="n">
        <v>1063.57423210144</v>
      </c>
      <c r="N1370" s="17" t="inlineStr">
        <is>
          <t>B</t>
        </is>
      </c>
      <c r="O1370" s="19" t="n">
        <v>381.4640577077865</v>
      </c>
      <c r="P1370" s="18" t="inlineStr">
        <is>
          <t>CÂN NHẮC THỬ NGHIỆM</t>
        </is>
      </c>
      <c r="Q1370" s="17" t="inlineStr">
        <is>
          <t>Không</t>
        </is>
      </c>
      <c r="R1370" s="20" t="n"/>
      <c r="S1370" s="20" t="n"/>
      <c r="T1370" s="21" t="n"/>
      <c r="U1370" s="21" t="n"/>
      <c r="V1370" s="22">
        <f>IF(U1370="A",K1370,IF(U1370="B",L1370,IF(U1370="C",M1370,IF(N1370="A",K1370,IF(N1370="B",L1370,M1370)))))</f>
        <v/>
      </c>
      <c r="W1370" s="22">
        <f>IF(R1370="",O1370,MAX(V1370-R1370-N(S1370),0))</f>
        <v/>
      </c>
      <c r="X1370" s="20" t="n"/>
      <c r="Y1370" s="23">
        <f>IF(OR(X1370="",W1370=0),"",X1370/W1370-1)</f>
        <v/>
      </c>
      <c r="Z1370" s="24" t="n"/>
      <c r="AA1370" s="21" t="n"/>
      <c r="AB1370" s="25" t="n"/>
      <c r="AC1370" s="26">
        <f>IF(T1370="","Chưa quyết định",IF(OR(Z1370="",AA1370=""),"⚠ Thiếu lý do/người duyệt",IF(AND(X1370&lt;&gt;"",N(X1370)+N(R1370)+N(S1370)&gt;M1370*1.001,R1370&lt;&gt;""),"⚠ Vượt mục tiêu P90",IF(AND(Y1370&lt;&gt;"",ABS(N(Y1370))&gt;0.3),"⚠ Lệch &gt; 30% so với nhu cầu",IF(Q1370="Có","ℹ Kiểm tra ngoại suy KM","✓ Hợp lệ")))))</f>
        <v/>
      </c>
    </row>
    <row r="1371">
      <c r="A1371" s="16" t="n">
        <v>1367</v>
      </c>
      <c r="B1371" s="17" t="inlineStr">
        <is>
          <t>DEC-S10-EGGS</t>
        </is>
      </c>
      <c r="C1371" s="16" t="n">
        <v>10</v>
      </c>
      <c r="D1371" s="17" t="inlineStr">
        <is>
          <t>EGGS</t>
        </is>
      </c>
      <c r="E1371" s="17" t="inlineStr">
        <is>
          <t>HIGH</t>
        </is>
      </c>
      <c r="F1371" s="17" t="inlineStr">
        <is>
          <t>TRUNG BÌNH</t>
        </is>
      </c>
      <c r="G1371" s="18" t="inlineStr">
        <is>
          <t>RISK_HIGH</t>
        </is>
      </c>
      <c r="H1371" s="19" t="n">
        <v>375.2862873077393</v>
      </c>
      <c r="I1371" s="19" t="n">
        <v>666.2586631774902</v>
      </c>
      <c r="J1371" s="19" t="n">
        <v>1073.314809799194</v>
      </c>
      <c r="K1371" s="19" t="n">
        <v>666.2586631774902</v>
      </c>
      <c r="L1371" s="19" t="n">
        <v>920.6687548160553</v>
      </c>
      <c r="M1371" s="19" t="n">
        <v>1073.314809799194</v>
      </c>
      <c r="N1371" s="17" t="inlineStr">
        <is>
          <t>B</t>
        </is>
      </c>
      <c r="O1371" s="19" t="n">
        <v>387.6618242740631</v>
      </c>
      <c r="P1371" s="18" t="inlineStr">
        <is>
          <t>CÂN NHẮC THỬ NGHIỆM</t>
        </is>
      </c>
      <c r="Q1371" s="17" t="inlineStr">
        <is>
          <t>Không</t>
        </is>
      </c>
      <c r="R1371" s="20" t="n"/>
      <c r="S1371" s="20" t="n"/>
      <c r="T1371" s="21" t="n"/>
      <c r="U1371" s="21" t="n"/>
      <c r="V1371" s="22">
        <f>IF(U1371="A",K1371,IF(U1371="B",L1371,IF(U1371="C",M1371,IF(N1371="A",K1371,IF(N1371="B",L1371,M1371)))))</f>
        <v/>
      </c>
      <c r="W1371" s="22">
        <f>IF(R1371="",O1371,MAX(V1371-R1371-N(S1371),0))</f>
        <v/>
      </c>
      <c r="X1371" s="20" t="n"/>
      <c r="Y1371" s="23">
        <f>IF(OR(X1371="",W1371=0),"",X1371/W1371-1)</f>
        <v/>
      </c>
      <c r="Z1371" s="24" t="n"/>
      <c r="AA1371" s="21" t="n"/>
      <c r="AB1371" s="25" t="n"/>
      <c r="AC1371" s="26">
        <f>IF(T1371="","Chưa quyết định",IF(OR(Z1371="",AA1371=""),"⚠ Thiếu lý do/người duyệt",IF(AND(X1371&lt;&gt;"",N(X1371)+N(R1371)+N(S1371)&gt;M1371*1.001,R1371&lt;&gt;""),"⚠ Vượt mục tiêu P90",IF(AND(Y1371&lt;&gt;"",ABS(N(Y1371))&gt;0.3),"⚠ Lệch &gt; 30% so với nhu cầu",IF(Q1371="Có","ℹ Kiểm tra ngoại suy KM","✓ Hợp lệ")))))</f>
        <v/>
      </c>
    </row>
    <row r="1372">
      <c r="A1372" s="16" t="n">
        <v>1368</v>
      </c>
      <c r="B1372" s="17" t="inlineStr">
        <is>
          <t>DEC-S19-LIQUOR_WINE_BEER</t>
        </is>
      </c>
      <c r="C1372" s="16" t="n">
        <v>19</v>
      </c>
      <c r="D1372" s="17" t="inlineStr">
        <is>
          <t>LIQUOR,WINE,BEER</t>
        </is>
      </c>
      <c r="E1372" s="17" t="inlineStr">
        <is>
          <t>HIGH</t>
        </is>
      </c>
      <c r="F1372" s="17" t="inlineStr">
        <is>
          <t>TRUNG BÌNH</t>
        </is>
      </c>
      <c r="G1372" s="18" t="inlineStr">
        <is>
          <t>RISK_HIGH</t>
        </is>
      </c>
      <c r="H1372" s="19" t="n">
        <v>390.1555976867676</v>
      </c>
      <c r="I1372" s="19" t="n">
        <v>660.9276323318481</v>
      </c>
      <c r="J1372" s="19" t="n">
        <v>1037.986242294312</v>
      </c>
      <c r="K1372" s="19" t="n">
        <v>660.9276323318481</v>
      </c>
      <c r="L1372" s="19" t="n">
        <v>896.5892635583878</v>
      </c>
      <c r="M1372" s="19" t="n">
        <v>1037.986242294312</v>
      </c>
      <c r="N1372" s="17" t="inlineStr">
        <is>
          <t>B</t>
        </is>
      </c>
      <c r="O1372" s="19" t="n">
        <v>367.8471576929093</v>
      </c>
      <c r="P1372" s="18" t="inlineStr">
        <is>
          <t>CÂN NHẮC THỬ NGHIỆM</t>
        </is>
      </c>
      <c r="Q1372" s="17" t="inlineStr">
        <is>
          <t>Không</t>
        </is>
      </c>
      <c r="R1372" s="20" t="n"/>
      <c r="S1372" s="20" t="n"/>
      <c r="T1372" s="21" t="n"/>
      <c r="U1372" s="21" t="n"/>
      <c r="V1372" s="22">
        <f>IF(U1372="A",K1372,IF(U1372="B",L1372,IF(U1372="C",M1372,IF(N1372="A",K1372,IF(N1372="B",L1372,M1372)))))</f>
        <v/>
      </c>
      <c r="W1372" s="22">
        <f>IF(R1372="",O1372,MAX(V1372-R1372-N(S1372),0))</f>
        <v/>
      </c>
      <c r="X1372" s="20" t="n"/>
      <c r="Y1372" s="23">
        <f>IF(OR(X1372="",W1372=0),"",X1372/W1372-1)</f>
        <v/>
      </c>
      <c r="Z1372" s="24" t="n"/>
      <c r="AA1372" s="21" t="n"/>
      <c r="AB1372" s="25" t="n"/>
      <c r="AC1372" s="26">
        <f>IF(T1372="","Chưa quyết định",IF(OR(Z1372="",AA1372=""),"⚠ Thiếu lý do/người duyệt",IF(AND(X1372&lt;&gt;"",N(X1372)+N(R1372)+N(S1372)&gt;M1372*1.001,R1372&lt;&gt;""),"⚠ Vượt mục tiêu P90",IF(AND(Y1372&lt;&gt;"",ABS(N(Y1372))&gt;0.3),"⚠ Lệch &gt; 30% so với nhu cầu",IF(Q1372="Có","ℹ Kiểm tra ngoại suy KM","✓ Hợp lệ")))))</f>
        <v/>
      </c>
    </row>
    <row r="1373">
      <c r="A1373" s="16" t="n">
        <v>1369</v>
      </c>
      <c r="B1373" s="17" t="inlineStr">
        <is>
          <t>DEC-S03-CELEBRATION</t>
        </is>
      </c>
      <c r="C1373" s="16" t="n">
        <v>3</v>
      </c>
      <c r="D1373" s="17" t="inlineStr">
        <is>
          <t>CELEBRATION</t>
        </is>
      </c>
      <c r="E1373" s="17" t="inlineStr">
        <is>
          <t>HIGH</t>
        </is>
      </c>
      <c r="F1373" s="17" t="inlineStr">
        <is>
          <t>TRUNG BÌNH</t>
        </is>
      </c>
      <c r="G1373" s="18" t="inlineStr">
        <is>
          <t>RISK_HIGH</t>
        </is>
      </c>
      <c r="H1373" s="19" t="n">
        <v>372.8075370788574</v>
      </c>
      <c r="I1373" s="19" t="n">
        <v>650.3130187988281</v>
      </c>
      <c r="J1373" s="19" t="n">
        <v>1037.370807647705</v>
      </c>
      <c r="K1373" s="19" t="n">
        <v>650.3130187988281</v>
      </c>
      <c r="L1373" s="19" t="n">
        <v>892.2241368293762</v>
      </c>
      <c r="M1373" s="19" t="n">
        <v>1037.370807647705</v>
      </c>
      <c r="N1373" s="17" t="inlineStr">
        <is>
          <t>B</t>
        </is>
      </c>
      <c r="O1373" s="19" t="n">
        <v>371.9737217903137</v>
      </c>
      <c r="P1373" s="18" t="inlineStr">
        <is>
          <t>CÂN NHẮC THỬ NGHIỆM</t>
        </is>
      </c>
      <c r="Q1373" s="17" t="inlineStr">
        <is>
          <t>Không</t>
        </is>
      </c>
      <c r="R1373" s="20" t="n"/>
      <c r="S1373" s="20" t="n"/>
      <c r="T1373" s="21" t="n"/>
      <c r="U1373" s="21" t="n"/>
      <c r="V1373" s="22">
        <f>IF(U1373="A",K1373,IF(U1373="B",L1373,IF(U1373="C",M1373,IF(N1373="A",K1373,IF(N1373="B",L1373,M1373)))))</f>
        <v/>
      </c>
      <c r="W1373" s="22">
        <f>IF(R1373="",O1373,MAX(V1373-R1373-N(S1373),0))</f>
        <v/>
      </c>
      <c r="X1373" s="20" t="n"/>
      <c r="Y1373" s="23">
        <f>IF(OR(X1373="",W1373=0),"",X1373/W1373-1)</f>
        <v/>
      </c>
      <c r="Z1373" s="24" t="n"/>
      <c r="AA1373" s="21" t="n"/>
      <c r="AB1373" s="25" t="n"/>
      <c r="AC1373" s="26">
        <f>IF(T1373="","Chưa quyết định",IF(OR(Z1373="",AA1373=""),"⚠ Thiếu lý do/người duyệt",IF(AND(X1373&lt;&gt;"",N(X1373)+N(R1373)+N(S1373)&gt;M1373*1.001,R1373&lt;&gt;""),"⚠ Vượt mục tiêu P90",IF(AND(Y1373&lt;&gt;"",ABS(N(Y1373))&gt;0.3),"⚠ Lệch &gt; 30% so với nhu cầu",IF(Q1373="Có","ℹ Kiểm tra ngoại suy KM","✓ Hợp lệ")))))</f>
        <v/>
      </c>
    </row>
    <row r="1374">
      <c r="A1374" s="16" t="n">
        <v>1370</v>
      </c>
      <c r="B1374" s="17" t="inlineStr">
        <is>
          <t>DEC-S45-LADIESWEAR</t>
        </is>
      </c>
      <c r="C1374" s="16" t="n">
        <v>45</v>
      </c>
      <c r="D1374" s="17" t="inlineStr">
        <is>
          <t>LADIESWEAR</t>
        </is>
      </c>
      <c r="E1374" s="17" t="inlineStr">
        <is>
          <t>HIGH</t>
        </is>
      </c>
      <c r="F1374" s="17" t="inlineStr">
        <is>
          <t>TRUNG BÌNH</t>
        </is>
      </c>
      <c r="G1374" s="18" t="inlineStr">
        <is>
          <t>RISK_HIGH</t>
        </is>
      </c>
      <c r="H1374" s="19" t="n">
        <v>371.6946983337402</v>
      </c>
      <c r="I1374" s="19" t="n">
        <v>649.2001800537109</v>
      </c>
      <c r="J1374" s="19" t="n">
        <v>1036.257968902588</v>
      </c>
      <c r="K1374" s="19" t="n">
        <v>649.2001800537109</v>
      </c>
      <c r="L1374" s="19" t="n">
        <v>891.111298084259</v>
      </c>
      <c r="M1374" s="19" t="n">
        <v>1036.257968902588</v>
      </c>
      <c r="N1374" s="17" t="inlineStr">
        <is>
          <t>B</t>
        </is>
      </c>
      <c r="O1374" s="19" t="n">
        <v>371.7511540412903</v>
      </c>
      <c r="P1374" s="18" t="inlineStr">
        <is>
          <t>CÂN NHẮC THỬ NGHIỆM</t>
        </is>
      </c>
      <c r="Q1374" s="17" t="inlineStr">
        <is>
          <t>Không</t>
        </is>
      </c>
      <c r="R1374" s="20" t="n"/>
      <c r="S1374" s="20" t="n"/>
      <c r="T1374" s="21" t="n"/>
      <c r="U1374" s="21" t="n"/>
      <c r="V1374" s="22">
        <f>IF(U1374="A",K1374,IF(U1374="B",L1374,IF(U1374="C",M1374,IF(N1374="A",K1374,IF(N1374="B",L1374,M1374)))))</f>
        <v/>
      </c>
      <c r="W1374" s="22">
        <f>IF(R1374="",O1374,MAX(V1374-R1374-N(S1374),0))</f>
        <v/>
      </c>
      <c r="X1374" s="20" t="n"/>
      <c r="Y1374" s="23">
        <f>IF(OR(X1374="",W1374=0),"",X1374/W1374-1)</f>
        <v/>
      </c>
      <c r="Z1374" s="24" t="n"/>
      <c r="AA1374" s="21" t="n"/>
      <c r="AB1374" s="25" t="n"/>
      <c r="AC1374" s="26">
        <f>IF(T1374="","Chưa quyết định",IF(OR(Z1374="",AA1374=""),"⚠ Thiếu lý do/người duyệt",IF(AND(X1374&lt;&gt;"",N(X1374)+N(R1374)+N(S1374)&gt;M1374*1.001,R1374&lt;&gt;""),"⚠ Vượt mục tiêu P90",IF(AND(Y1374&lt;&gt;"",ABS(N(Y1374))&gt;0.3),"⚠ Lệch &gt; 30% so với nhu cầu",IF(Q1374="Có","ℹ Kiểm tra ngoại suy KM","✓ Hợp lệ")))))</f>
        <v/>
      </c>
    </row>
    <row r="1375">
      <c r="A1375" s="16" t="n">
        <v>1371</v>
      </c>
      <c r="B1375" s="17" t="inlineStr">
        <is>
          <t>DEC-S19-FROZEN_FOODS</t>
        </is>
      </c>
      <c r="C1375" s="16" t="n">
        <v>19</v>
      </c>
      <c r="D1375" s="17" t="inlineStr">
        <is>
          <t>FROZEN FOODS</t>
        </is>
      </c>
      <c r="E1375" s="17" t="inlineStr">
        <is>
          <t>HIGH</t>
        </is>
      </c>
      <c r="F1375" s="17" t="inlineStr">
        <is>
          <t>TRUNG BÌNH</t>
        </is>
      </c>
      <c r="G1375" s="18" t="inlineStr">
        <is>
          <t>RISK_HIGH</t>
        </is>
      </c>
      <c r="H1375" s="19" t="n">
        <v>344.5935134887696</v>
      </c>
      <c r="I1375" s="19" t="n">
        <v>649.0327835083008</v>
      </c>
      <c r="J1375" s="19" t="n">
        <v>1076.087287902832</v>
      </c>
      <c r="K1375" s="19" t="n">
        <v>649.0327835083008</v>
      </c>
      <c r="L1375" s="19" t="n">
        <v>915.9418487548828</v>
      </c>
      <c r="M1375" s="19" t="n">
        <v>1076.087287902832</v>
      </c>
      <c r="N1375" s="17" t="inlineStr">
        <is>
          <t>B</t>
        </is>
      </c>
      <c r="O1375" s="19" t="n">
        <v>396.7156219482422</v>
      </c>
      <c r="P1375" s="18" t="inlineStr">
        <is>
          <t>CÂN NHẮC THỬ NGHIỆM</t>
        </is>
      </c>
      <c r="Q1375" s="17" t="inlineStr">
        <is>
          <t>Không</t>
        </is>
      </c>
      <c r="R1375" s="20" t="n"/>
      <c r="S1375" s="20" t="n"/>
      <c r="T1375" s="21" t="n"/>
      <c r="U1375" s="21" t="n"/>
      <c r="V1375" s="22">
        <f>IF(U1375="A",K1375,IF(U1375="B",L1375,IF(U1375="C",M1375,IF(N1375="A",K1375,IF(N1375="B",L1375,M1375)))))</f>
        <v/>
      </c>
      <c r="W1375" s="22">
        <f>IF(R1375="",O1375,MAX(V1375-R1375-N(S1375),0))</f>
        <v/>
      </c>
      <c r="X1375" s="20" t="n"/>
      <c r="Y1375" s="23">
        <f>IF(OR(X1375="",W1375=0),"",X1375/W1375-1)</f>
        <v/>
      </c>
      <c r="Z1375" s="24" t="n"/>
      <c r="AA1375" s="21" t="n"/>
      <c r="AB1375" s="25" t="n"/>
      <c r="AC1375" s="26">
        <f>IF(T1375="","Chưa quyết định",IF(OR(Z1375="",AA1375=""),"⚠ Thiếu lý do/người duyệt",IF(AND(X1375&lt;&gt;"",N(X1375)+N(R1375)+N(S1375)&gt;M1375*1.001,R1375&lt;&gt;""),"⚠ Vượt mục tiêu P90",IF(AND(Y1375&lt;&gt;"",ABS(N(Y1375))&gt;0.3),"⚠ Lệch &gt; 30% so với nhu cầu",IF(Q1375="Có","ℹ Kiểm tra ngoại suy KM","✓ Hợp lệ")))))</f>
        <v/>
      </c>
    </row>
    <row r="1376">
      <c r="A1376" s="16" t="n">
        <v>1372</v>
      </c>
      <c r="B1376" s="17" t="inlineStr">
        <is>
          <t>DEC-S33-LIQUOR_WINE_BEER</t>
        </is>
      </c>
      <c r="C1376" s="16" t="n">
        <v>33</v>
      </c>
      <c r="D1376" s="17" t="inlineStr">
        <is>
          <t>LIQUOR,WINE,BEER</t>
        </is>
      </c>
      <c r="E1376" s="17" t="inlineStr">
        <is>
          <t>HIGH</t>
        </is>
      </c>
      <c r="F1376" s="17" t="inlineStr">
        <is>
          <t>TRUNG BÌNH</t>
        </is>
      </c>
      <c r="G1376" s="18" t="inlineStr">
        <is>
          <t>RISK_HIGH</t>
        </is>
      </c>
      <c r="H1376" s="19" t="n">
        <v>337.2952213287353</v>
      </c>
      <c r="I1376" s="19" t="n">
        <v>646.5103988647461</v>
      </c>
      <c r="J1376" s="19" t="n">
        <v>1070.509118637085</v>
      </c>
      <c r="K1376" s="19" t="n">
        <v>646.5103988647461</v>
      </c>
      <c r="L1376" s="19" t="n">
        <v>911.5095987224579</v>
      </c>
      <c r="M1376" s="19" t="n">
        <v>1070.509118637085</v>
      </c>
      <c r="N1376" s="17" t="inlineStr">
        <is>
          <t>B</t>
        </is>
      </c>
      <c r="O1376" s="19" t="n">
        <v>394.301279630661</v>
      </c>
      <c r="P1376" s="18" t="inlineStr">
        <is>
          <t>CÂN NHẮC THỬ NGHIỆM</t>
        </is>
      </c>
      <c r="Q1376" s="17" t="inlineStr">
        <is>
          <t>Không</t>
        </is>
      </c>
      <c r="R1376" s="20" t="n"/>
      <c r="S1376" s="20" t="n"/>
      <c r="T1376" s="21" t="n"/>
      <c r="U1376" s="21" t="n"/>
      <c r="V1376" s="22">
        <f>IF(U1376="A",K1376,IF(U1376="B",L1376,IF(U1376="C",M1376,IF(N1376="A",K1376,IF(N1376="B",L1376,M1376)))))</f>
        <v/>
      </c>
      <c r="W1376" s="22">
        <f>IF(R1376="",O1376,MAX(V1376-R1376-N(S1376),0))</f>
        <v/>
      </c>
      <c r="X1376" s="20" t="n"/>
      <c r="Y1376" s="23">
        <f>IF(OR(X1376="",W1376=0),"",X1376/W1376-1)</f>
        <v/>
      </c>
      <c r="Z1376" s="24" t="n"/>
      <c r="AA1376" s="21" t="n"/>
      <c r="AB1376" s="25" t="n"/>
      <c r="AC1376" s="26">
        <f>IF(T1376="","Chưa quyết định",IF(OR(Z1376="",AA1376=""),"⚠ Thiếu lý do/người duyệt",IF(AND(X1376&lt;&gt;"",N(X1376)+N(R1376)+N(S1376)&gt;M1376*1.001,R1376&lt;&gt;""),"⚠ Vượt mục tiêu P90",IF(AND(Y1376&lt;&gt;"",ABS(N(Y1376))&gt;0.3),"⚠ Lệch &gt; 30% so với nhu cầu",IF(Q1376="Có","ℹ Kiểm tra ngoại suy KM","✓ Hợp lệ")))))</f>
        <v/>
      </c>
    </row>
    <row r="1377">
      <c r="A1377" s="16" t="n">
        <v>1373</v>
      </c>
      <c r="B1377" s="17" t="inlineStr">
        <is>
          <t>DEC-S08-SEAFOOD</t>
        </is>
      </c>
      <c r="C1377" s="16" t="n">
        <v>8</v>
      </c>
      <c r="D1377" s="17" t="inlineStr">
        <is>
          <t>SEAFOOD</t>
        </is>
      </c>
      <c r="E1377" s="17" t="inlineStr">
        <is>
          <t>HIGH</t>
        </is>
      </c>
      <c r="F1377" s="17" t="inlineStr">
        <is>
          <t>TRUNG BÌNH</t>
        </is>
      </c>
      <c r="G1377" s="18" t="inlineStr">
        <is>
          <t>RISK_HIGH</t>
        </is>
      </c>
      <c r="H1377" s="19" t="n">
        <v>341.9597587585449</v>
      </c>
      <c r="I1377" s="19" t="n">
        <v>639.665581703186</v>
      </c>
      <c r="J1377" s="19" t="n">
        <v>1056.720907211304</v>
      </c>
      <c r="K1377" s="19" t="n">
        <v>639.665581703186</v>
      </c>
      <c r="L1377" s="19" t="n">
        <v>900.3251601457596</v>
      </c>
      <c r="M1377" s="19" t="n">
        <v>1056.720907211304</v>
      </c>
      <c r="N1377" s="17" t="inlineStr">
        <is>
          <t>B</t>
        </is>
      </c>
      <c r="O1377" s="19" t="n">
        <v>388.5926947832107</v>
      </c>
      <c r="P1377" s="18" t="inlineStr">
        <is>
          <t>CÂN NHẮC THỬ NGHIỆM</t>
        </is>
      </c>
      <c r="Q1377" s="17" t="inlineStr">
        <is>
          <t>Không</t>
        </is>
      </c>
      <c r="R1377" s="20" t="n"/>
      <c r="S1377" s="20" t="n"/>
      <c r="T1377" s="21" t="n"/>
      <c r="U1377" s="21" t="n"/>
      <c r="V1377" s="22">
        <f>IF(U1377="A",K1377,IF(U1377="B",L1377,IF(U1377="C",M1377,IF(N1377="A",K1377,IF(N1377="B",L1377,M1377)))))</f>
        <v/>
      </c>
      <c r="W1377" s="22">
        <f>IF(R1377="",O1377,MAX(V1377-R1377-N(S1377),0))</f>
        <v/>
      </c>
      <c r="X1377" s="20" t="n"/>
      <c r="Y1377" s="23">
        <f>IF(OR(X1377="",W1377=0),"",X1377/W1377-1)</f>
        <v/>
      </c>
      <c r="Z1377" s="24" t="n"/>
      <c r="AA1377" s="21" t="n"/>
      <c r="AB1377" s="25" t="n"/>
      <c r="AC1377" s="26">
        <f>IF(T1377="","Chưa quyết định",IF(OR(Z1377="",AA1377=""),"⚠ Thiếu lý do/người duyệt",IF(AND(X1377&lt;&gt;"",N(X1377)+N(R1377)+N(S1377)&gt;M1377*1.001,R1377&lt;&gt;""),"⚠ Vượt mục tiêu P90",IF(AND(Y1377&lt;&gt;"",ABS(N(Y1377))&gt;0.3),"⚠ Lệch &gt; 30% so với nhu cầu",IF(Q1377="Có","ℹ Kiểm tra ngoại suy KM","✓ Hợp lệ")))))</f>
        <v/>
      </c>
    </row>
    <row r="1378">
      <c r="A1378" s="16" t="n">
        <v>1374</v>
      </c>
      <c r="B1378" s="17" t="inlineStr">
        <is>
          <t>DEC-S14-EGGS</t>
        </is>
      </c>
      <c r="C1378" s="16" t="n">
        <v>14</v>
      </c>
      <c r="D1378" s="17" t="inlineStr">
        <is>
          <t>EGGS</t>
        </is>
      </c>
      <c r="E1378" s="17" t="inlineStr">
        <is>
          <t>HIGH</t>
        </is>
      </c>
      <c r="F1378" s="17" t="inlineStr">
        <is>
          <t>TRUNG BÌNH</t>
        </is>
      </c>
      <c r="G1378" s="18" t="inlineStr">
        <is>
          <t>RISK_HIGH</t>
        </is>
      </c>
      <c r="H1378" s="19" t="n">
        <v>334.8736171722412</v>
      </c>
      <c r="I1378" s="19" t="n">
        <v>632.5794401168823</v>
      </c>
      <c r="J1378" s="19" t="n">
        <v>1049.634765625</v>
      </c>
      <c r="K1378" s="19" t="n">
        <v>632.5794401168823</v>
      </c>
      <c r="L1378" s="19" t="n">
        <v>893.2390185594559</v>
      </c>
      <c r="M1378" s="19" t="n">
        <v>1049.634765625</v>
      </c>
      <c r="N1378" s="17" t="inlineStr">
        <is>
          <t>B</t>
        </is>
      </c>
      <c r="O1378" s="19" t="n">
        <v>387.17546646595</v>
      </c>
      <c r="P1378" s="18" t="inlineStr">
        <is>
          <t>CÂN NHẮC THỬ NGHIỆM</t>
        </is>
      </c>
      <c r="Q1378" s="17" t="inlineStr">
        <is>
          <t>Không</t>
        </is>
      </c>
      <c r="R1378" s="20" t="n"/>
      <c r="S1378" s="20" t="n"/>
      <c r="T1378" s="21" t="n"/>
      <c r="U1378" s="21" t="n"/>
      <c r="V1378" s="22">
        <f>IF(U1378="A",K1378,IF(U1378="B",L1378,IF(U1378="C",M1378,IF(N1378="A",K1378,IF(N1378="B",L1378,M1378)))))</f>
        <v/>
      </c>
      <c r="W1378" s="22">
        <f>IF(R1378="",O1378,MAX(V1378-R1378-N(S1378),0))</f>
        <v/>
      </c>
      <c r="X1378" s="20" t="n"/>
      <c r="Y1378" s="23">
        <f>IF(OR(X1378="",W1378=0),"",X1378/W1378-1)</f>
        <v/>
      </c>
      <c r="Z1378" s="24" t="n"/>
      <c r="AA1378" s="21" t="n"/>
      <c r="AB1378" s="25" t="n"/>
      <c r="AC1378" s="26">
        <f>IF(T1378="","Chưa quyết định",IF(OR(Z1378="",AA1378=""),"⚠ Thiếu lý do/người duyệt",IF(AND(X1378&lt;&gt;"",N(X1378)+N(R1378)+N(S1378)&gt;M1378*1.001,R1378&lt;&gt;""),"⚠ Vượt mục tiêu P90",IF(AND(Y1378&lt;&gt;"",ABS(N(Y1378))&gt;0.3),"⚠ Lệch &gt; 30% so với nhu cầu",IF(Q1378="Có","ℹ Kiểm tra ngoại suy KM","✓ Hợp lệ")))))</f>
        <v/>
      </c>
    </row>
    <row r="1379">
      <c r="A1379" s="16" t="n">
        <v>1375</v>
      </c>
      <c r="B1379" s="17" t="inlineStr">
        <is>
          <t>DEC-S02-HOME_AND_KITCHEN_II</t>
        </is>
      </c>
      <c r="C1379" s="16" t="n">
        <v>2</v>
      </c>
      <c r="D1379" s="17" t="inlineStr">
        <is>
          <t>HOME AND KITCHEN II</t>
        </is>
      </c>
      <c r="E1379" s="17" t="inlineStr">
        <is>
          <t>HIGH</t>
        </is>
      </c>
      <c r="F1379" s="17" t="inlineStr">
        <is>
          <t>TRUNG BÌNH</t>
        </is>
      </c>
      <c r="G1379" s="18" t="inlineStr">
        <is>
          <t>RISK_HIGH</t>
        </is>
      </c>
      <c r="H1379" s="19" t="n">
        <v>323.2300491333008</v>
      </c>
      <c r="I1379" s="19" t="n">
        <v>632.4452266693115</v>
      </c>
      <c r="J1379" s="19" t="n">
        <v>1056.44394644165</v>
      </c>
      <c r="K1379" s="19" t="n">
        <v>632.4452266693115</v>
      </c>
      <c r="L1379" s="19" t="n">
        <v>897.4444265270233</v>
      </c>
      <c r="M1379" s="19" t="n">
        <v>1056.44394644165</v>
      </c>
      <c r="N1379" s="17" t="inlineStr">
        <is>
          <t>B</t>
        </is>
      </c>
      <c r="O1379" s="19" t="n">
        <v>391.4882451915742</v>
      </c>
      <c r="P1379" s="18" t="inlineStr">
        <is>
          <t>CÂN NHẮC THỬ NGHIỆM</t>
        </is>
      </c>
      <c r="Q1379" s="17" t="inlineStr">
        <is>
          <t>Không</t>
        </is>
      </c>
      <c r="R1379" s="20" t="n"/>
      <c r="S1379" s="20" t="n"/>
      <c r="T1379" s="21" t="n"/>
      <c r="U1379" s="21" t="n"/>
      <c r="V1379" s="22">
        <f>IF(U1379="A",K1379,IF(U1379="B",L1379,IF(U1379="C",M1379,IF(N1379="A",K1379,IF(N1379="B",L1379,M1379)))))</f>
        <v/>
      </c>
      <c r="W1379" s="22">
        <f>IF(R1379="",O1379,MAX(V1379-R1379-N(S1379),0))</f>
        <v/>
      </c>
      <c r="X1379" s="20" t="n"/>
      <c r="Y1379" s="23">
        <f>IF(OR(X1379="",W1379=0),"",X1379/W1379-1)</f>
        <v/>
      </c>
      <c r="Z1379" s="24" t="n"/>
      <c r="AA1379" s="21" t="n"/>
      <c r="AB1379" s="25" t="n"/>
      <c r="AC1379" s="26">
        <f>IF(T1379="","Chưa quyết định",IF(OR(Z1379="",AA1379=""),"⚠ Thiếu lý do/người duyệt",IF(AND(X1379&lt;&gt;"",N(X1379)+N(R1379)+N(S1379)&gt;M1379*1.001,R1379&lt;&gt;""),"⚠ Vượt mục tiêu P90",IF(AND(Y1379&lt;&gt;"",ABS(N(Y1379))&gt;0.3),"⚠ Lệch &gt; 30% so với nhu cầu",IF(Q1379="Có","ℹ Kiểm tra ngoại suy KM","✓ Hợp lệ")))))</f>
        <v/>
      </c>
    </row>
    <row r="1380">
      <c r="A1380" s="16" t="n">
        <v>1376</v>
      </c>
      <c r="B1380" s="17" t="inlineStr">
        <is>
          <t>DEC-S32-LIQUOR_WINE_BEER</t>
        </is>
      </c>
      <c r="C1380" s="16" t="n">
        <v>32</v>
      </c>
      <c r="D1380" s="17" t="inlineStr">
        <is>
          <t>LIQUOR,WINE,BEER</t>
        </is>
      </c>
      <c r="E1380" s="17" t="inlineStr">
        <is>
          <t>HIGH</t>
        </is>
      </c>
      <c r="F1380" s="17" t="inlineStr">
        <is>
          <t>TRUNG BÌNH</t>
        </is>
      </c>
      <c r="G1380" s="18" t="inlineStr">
        <is>
          <t>RISK_HIGH</t>
        </is>
      </c>
      <c r="H1380" s="19" t="n">
        <v>373.7273731231689</v>
      </c>
      <c r="I1380" s="19" t="n">
        <v>631.0325136184692</v>
      </c>
      <c r="J1380" s="19" t="n">
        <v>988.0927658081056</v>
      </c>
      <c r="K1380" s="19" t="n">
        <v>631.0325136184692</v>
      </c>
      <c r="L1380" s="19" t="n">
        <v>854.1951712369919</v>
      </c>
      <c r="M1380" s="19" t="n">
        <v>988.0927658081056</v>
      </c>
      <c r="N1380" s="17" t="inlineStr">
        <is>
          <t>B</t>
        </is>
      </c>
      <c r="O1380" s="19" t="n">
        <v>349.3691603422165</v>
      </c>
      <c r="P1380" s="18" t="inlineStr">
        <is>
          <t>CÂN NHẮC THỬ NGHIỆM</t>
        </is>
      </c>
      <c r="Q1380" s="17" t="inlineStr">
        <is>
          <t>Không</t>
        </is>
      </c>
      <c r="R1380" s="20" t="n"/>
      <c r="S1380" s="20" t="n"/>
      <c r="T1380" s="21" t="n"/>
      <c r="U1380" s="21" t="n"/>
      <c r="V1380" s="22">
        <f>IF(U1380="A",K1380,IF(U1380="B",L1380,IF(U1380="C",M1380,IF(N1380="A",K1380,IF(N1380="B",L1380,M1380)))))</f>
        <v/>
      </c>
      <c r="W1380" s="22">
        <f>IF(R1380="",O1380,MAX(V1380-R1380-N(S1380),0))</f>
        <v/>
      </c>
      <c r="X1380" s="20" t="n"/>
      <c r="Y1380" s="23">
        <f>IF(OR(X1380="",W1380=0),"",X1380/W1380-1)</f>
        <v/>
      </c>
      <c r="Z1380" s="24" t="n"/>
      <c r="AA1380" s="21" t="n"/>
      <c r="AB1380" s="25" t="n"/>
      <c r="AC1380" s="26">
        <f>IF(T1380="","Chưa quyết định",IF(OR(Z1380="",AA1380=""),"⚠ Thiếu lý do/người duyệt",IF(AND(X1380&lt;&gt;"",N(X1380)+N(R1380)+N(S1380)&gt;M1380*1.001,R1380&lt;&gt;""),"⚠ Vượt mục tiêu P90",IF(AND(Y1380&lt;&gt;"",ABS(N(Y1380))&gt;0.3),"⚠ Lệch &gt; 30% so với nhu cầu",IF(Q1380="Có","ℹ Kiểm tra ngoại suy KM","✓ Hợp lệ")))))</f>
        <v/>
      </c>
    </row>
    <row r="1381">
      <c r="A1381" s="16" t="n">
        <v>1377</v>
      </c>
      <c r="B1381" s="17" t="inlineStr">
        <is>
          <t>DEC-S51-GROCERY_II</t>
        </is>
      </c>
      <c r="C1381" s="16" t="n">
        <v>51</v>
      </c>
      <c r="D1381" s="17" t="inlineStr">
        <is>
          <t>GROCERY II</t>
        </is>
      </c>
      <c r="E1381" s="17" t="inlineStr">
        <is>
          <t>HIGH</t>
        </is>
      </c>
      <c r="F1381" s="17" t="inlineStr">
        <is>
          <t>TRUNG BÌNH</t>
        </is>
      </c>
      <c r="G1381" s="18" t="inlineStr">
        <is>
          <t>RISK_HIGH</t>
        </is>
      </c>
      <c r="H1381" s="19" t="n">
        <v>333.0406837463379</v>
      </c>
      <c r="I1381" s="19" t="n">
        <v>630.746506690979</v>
      </c>
      <c r="J1381" s="19" t="n">
        <v>1047.801832199097</v>
      </c>
      <c r="K1381" s="19" t="n">
        <v>630.746506690979</v>
      </c>
      <c r="L1381" s="19" t="n">
        <v>891.4060851335527</v>
      </c>
      <c r="M1381" s="19" t="n">
        <v>1047.801832199097</v>
      </c>
      <c r="N1381" s="17" t="inlineStr">
        <is>
          <t>B</t>
        </is>
      </c>
      <c r="O1381" s="19" t="n">
        <v>386.8088797807694</v>
      </c>
      <c r="P1381" s="18" t="inlineStr">
        <is>
          <t>CÂN NHẮC THỬ NGHIỆM</t>
        </is>
      </c>
      <c r="Q1381" s="17" t="inlineStr">
        <is>
          <t>Không</t>
        </is>
      </c>
      <c r="R1381" s="20" t="n"/>
      <c r="S1381" s="20" t="n"/>
      <c r="T1381" s="21" t="n"/>
      <c r="U1381" s="21" t="n"/>
      <c r="V1381" s="22">
        <f>IF(U1381="A",K1381,IF(U1381="B",L1381,IF(U1381="C",M1381,IF(N1381="A",K1381,IF(N1381="B",L1381,M1381)))))</f>
        <v/>
      </c>
      <c r="W1381" s="22">
        <f>IF(R1381="",O1381,MAX(V1381-R1381-N(S1381),0))</f>
        <v/>
      </c>
      <c r="X1381" s="20" t="n"/>
      <c r="Y1381" s="23">
        <f>IF(OR(X1381="",W1381=0),"",X1381/W1381-1)</f>
        <v/>
      </c>
      <c r="Z1381" s="24" t="n"/>
      <c r="AA1381" s="21" t="n"/>
      <c r="AB1381" s="25" t="n"/>
      <c r="AC1381" s="26">
        <f>IF(T1381="","Chưa quyết định",IF(OR(Z1381="",AA1381=""),"⚠ Thiếu lý do/người duyệt",IF(AND(X1381&lt;&gt;"",N(X1381)+N(R1381)+N(S1381)&gt;M1381*1.001,R1381&lt;&gt;""),"⚠ Vượt mục tiêu P90",IF(AND(Y1381&lt;&gt;"",ABS(N(Y1381))&gt;0.3),"⚠ Lệch &gt; 30% so với nhu cầu",IF(Q1381="Có","ℹ Kiểm tra ngoại suy KM","✓ Hợp lệ")))))</f>
        <v/>
      </c>
    </row>
    <row r="1382">
      <c r="A1382" s="16" t="n">
        <v>1378</v>
      </c>
      <c r="B1382" s="17" t="inlineStr">
        <is>
          <t>DEC-S54-FROZEN_FOODS</t>
        </is>
      </c>
      <c r="C1382" s="16" t="n">
        <v>54</v>
      </c>
      <c r="D1382" s="17" t="inlineStr">
        <is>
          <t>FROZEN FOODS</t>
        </is>
      </c>
      <c r="E1382" s="17" t="inlineStr">
        <is>
          <t>HIGH</t>
        </is>
      </c>
      <c r="F1382" s="17" t="inlineStr">
        <is>
          <t>TRUNG BÌNH</t>
        </is>
      </c>
      <c r="G1382" s="18" t="inlineStr">
        <is>
          <t>RISK_HIGH</t>
        </is>
      </c>
      <c r="H1382" s="19" t="n">
        <v>344.9761047363281</v>
      </c>
      <c r="I1382" s="19" t="n">
        <v>629.215033531189</v>
      </c>
      <c r="J1382" s="19" t="n">
        <v>1026.272001266479</v>
      </c>
      <c r="K1382" s="19" t="n">
        <v>629.215033531189</v>
      </c>
      <c r="L1382" s="19" t="n">
        <v>877.3756383657455</v>
      </c>
      <c r="M1382" s="19" t="n">
        <v>1026.272001266479</v>
      </c>
      <c r="N1382" s="17" t="inlineStr">
        <is>
          <t>B</t>
        </is>
      </c>
      <c r="O1382" s="19" t="n">
        <v>374.0036115407944</v>
      </c>
      <c r="P1382" s="18" t="inlineStr">
        <is>
          <t>CÂN NHẮC THỬ NGHIỆM</t>
        </is>
      </c>
      <c r="Q1382" s="17" t="inlineStr">
        <is>
          <t>Không</t>
        </is>
      </c>
      <c r="R1382" s="20" t="n"/>
      <c r="S1382" s="20" t="n"/>
      <c r="T1382" s="21" t="n"/>
      <c r="U1382" s="21" t="n"/>
      <c r="V1382" s="22">
        <f>IF(U1382="A",K1382,IF(U1382="B",L1382,IF(U1382="C",M1382,IF(N1382="A",K1382,IF(N1382="B",L1382,M1382)))))</f>
        <v/>
      </c>
      <c r="W1382" s="22">
        <f>IF(R1382="",O1382,MAX(V1382-R1382-N(S1382),0))</f>
        <v/>
      </c>
      <c r="X1382" s="20" t="n"/>
      <c r="Y1382" s="23">
        <f>IF(OR(X1382="",W1382=0),"",X1382/W1382-1)</f>
        <v/>
      </c>
      <c r="Z1382" s="24" t="n"/>
      <c r="AA1382" s="21" t="n"/>
      <c r="AB1382" s="25" t="n"/>
      <c r="AC1382" s="26">
        <f>IF(T1382="","Chưa quyết định",IF(OR(Z1382="",AA1382=""),"⚠ Thiếu lý do/người duyệt",IF(AND(X1382&lt;&gt;"",N(X1382)+N(R1382)+N(S1382)&gt;M1382*1.001,R1382&lt;&gt;""),"⚠ Vượt mục tiêu P90",IF(AND(Y1382&lt;&gt;"",ABS(N(Y1382))&gt;0.3),"⚠ Lệch &gt; 30% so với nhu cầu",IF(Q1382="Có","ℹ Kiểm tra ngoại suy KM","✓ Hợp lệ")))))</f>
        <v/>
      </c>
    </row>
    <row r="1383">
      <c r="A1383" s="16" t="n">
        <v>1379</v>
      </c>
      <c r="B1383" s="17" t="inlineStr">
        <is>
          <t>DEC-S03-LADIESWEAR</t>
        </is>
      </c>
      <c r="C1383" s="16" t="n">
        <v>3</v>
      </c>
      <c r="D1383" s="17" t="inlineStr">
        <is>
          <t>LADIESWEAR</t>
        </is>
      </c>
      <c r="E1383" s="17" t="inlineStr">
        <is>
          <t>HIGH</t>
        </is>
      </c>
      <c r="F1383" s="17" t="inlineStr">
        <is>
          <t>TRUNG BÌNH</t>
        </is>
      </c>
      <c r="G1383" s="18" t="inlineStr">
        <is>
          <t>RISK_HIGH</t>
        </is>
      </c>
      <c r="H1383" s="19" t="n">
        <v>344.2626876831055</v>
      </c>
      <c r="I1383" s="19" t="n">
        <v>628.5016164779663</v>
      </c>
      <c r="J1383" s="19" t="n">
        <v>1025.558584213257</v>
      </c>
      <c r="K1383" s="19" t="n">
        <v>628.5016164779663</v>
      </c>
      <c r="L1383" s="19" t="n">
        <v>876.6622213125229</v>
      </c>
      <c r="M1383" s="19" t="n">
        <v>1025.558584213257</v>
      </c>
      <c r="N1383" s="17" t="inlineStr">
        <is>
          <t>B</t>
        </is>
      </c>
      <c r="O1383" s="19" t="n">
        <v>373.8609281301498</v>
      </c>
      <c r="P1383" s="18" t="inlineStr">
        <is>
          <t>CÂN NHẮC THỬ NGHIỆM</t>
        </is>
      </c>
      <c r="Q1383" s="17" t="inlineStr">
        <is>
          <t>Không</t>
        </is>
      </c>
      <c r="R1383" s="20" t="n"/>
      <c r="S1383" s="20" t="n"/>
      <c r="T1383" s="21" t="n"/>
      <c r="U1383" s="21" t="n"/>
      <c r="V1383" s="22">
        <f>IF(U1383="A",K1383,IF(U1383="B",L1383,IF(U1383="C",M1383,IF(N1383="A",K1383,IF(N1383="B",L1383,M1383)))))</f>
        <v/>
      </c>
      <c r="W1383" s="22">
        <f>IF(R1383="",O1383,MAX(V1383-R1383-N(S1383),0))</f>
        <v/>
      </c>
      <c r="X1383" s="20" t="n"/>
      <c r="Y1383" s="23">
        <f>IF(OR(X1383="",W1383=0),"",X1383/W1383-1)</f>
        <v/>
      </c>
      <c r="Z1383" s="24" t="n"/>
      <c r="AA1383" s="21" t="n"/>
      <c r="AB1383" s="25" t="n"/>
      <c r="AC1383" s="26">
        <f>IF(T1383="","Chưa quyết định",IF(OR(Z1383="",AA1383=""),"⚠ Thiếu lý do/người duyệt",IF(AND(X1383&lt;&gt;"",N(X1383)+N(R1383)+N(S1383)&gt;M1383*1.001,R1383&lt;&gt;""),"⚠ Vượt mục tiêu P90",IF(AND(Y1383&lt;&gt;"",ABS(N(Y1383))&gt;0.3),"⚠ Lệch &gt; 30% so với nhu cầu",IF(Q1383="Có","ℹ Kiểm tra ngoại suy KM","✓ Hợp lệ")))))</f>
        <v/>
      </c>
    </row>
    <row r="1384">
      <c r="A1384" s="16" t="n">
        <v>1380</v>
      </c>
      <c r="B1384" s="17" t="inlineStr">
        <is>
          <t>DEC-S21-HOME_AND_KITCHEN_I</t>
        </is>
      </c>
      <c r="C1384" s="16" t="n">
        <v>21</v>
      </c>
      <c r="D1384" s="17" t="inlineStr">
        <is>
          <t>HOME AND KITCHEN I</t>
        </is>
      </c>
      <c r="E1384" s="17" t="inlineStr">
        <is>
          <t>HIGH</t>
        </is>
      </c>
      <c r="F1384" s="17" t="inlineStr">
        <is>
          <t>TRUNG BÌNH</t>
        </is>
      </c>
      <c r="G1384" s="18" t="inlineStr">
        <is>
          <t>RISK_HIGH</t>
        </is>
      </c>
      <c r="H1384" s="19" t="n">
        <v>334.5692443847656</v>
      </c>
      <c r="I1384" s="19" t="n">
        <v>618.8081731796265</v>
      </c>
      <c r="J1384" s="19" t="n">
        <v>1015.865140914917</v>
      </c>
      <c r="K1384" s="19" t="n">
        <v>618.8081731796265</v>
      </c>
      <c r="L1384" s="19" t="n">
        <v>866.968778014183</v>
      </c>
      <c r="M1384" s="19" t="n">
        <v>1015.865140914917</v>
      </c>
      <c r="N1384" s="17" t="inlineStr">
        <is>
          <t>B</t>
        </is>
      </c>
      <c r="O1384" s="19" t="n">
        <v>371.9222394704818</v>
      </c>
      <c r="P1384" s="18" t="inlineStr">
        <is>
          <t>CÂN NHẮC THỬ NGHIỆM</t>
        </is>
      </c>
      <c r="Q1384" s="17" t="inlineStr">
        <is>
          <t>Không</t>
        </is>
      </c>
      <c r="R1384" s="20" t="n"/>
      <c r="S1384" s="20" t="n"/>
      <c r="T1384" s="21" t="n"/>
      <c r="U1384" s="21" t="n"/>
      <c r="V1384" s="22">
        <f>IF(U1384="A",K1384,IF(U1384="B",L1384,IF(U1384="C",M1384,IF(N1384="A",K1384,IF(N1384="B",L1384,M1384)))))</f>
        <v/>
      </c>
      <c r="W1384" s="22">
        <f>IF(R1384="",O1384,MAX(V1384-R1384-N(S1384),0))</f>
        <v/>
      </c>
      <c r="X1384" s="20" t="n"/>
      <c r="Y1384" s="23">
        <f>IF(OR(X1384="",W1384=0),"",X1384/W1384-1)</f>
        <v/>
      </c>
      <c r="Z1384" s="24" t="n"/>
      <c r="AA1384" s="21" t="n"/>
      <c r="AB1384" s="25" t="n"/>
      <c r="AC1384" s="26">
        <f>IF(T1384="","Chưa quyết định",IF(OR(Z1384="",AA1384=""),"⚠ Thiếu lý do/người duyệt",IF(AND(X1384&lt;&gt;"",N(X1384)+N(R1384)+N(S1384)&gt;M1384*1.001,R1384&lt;&gt;""),"⚠ Vượt mục tiêu P90",IF(AND(Y1384&lt;&gt;"",ABS(N(Y1384))&gt;0.3),"⚠ Lệch &gt; 30% so với nhu cầu",IF(Q1384="Có","ℹ Kiểm tra ngoại suy KM","✓ Hợp lệ")))))</f>
        <v/>
      </c>
    </row>
    <row r="1385">
      <c r="A1385" s="16" t="n">
        <v>1381</v>
      </c>
      <c r="B1385" s="17" t="inlineStr">
        <is>
          <t>DEC-S28-HOME_AND_KITCHEN_I</t>
        </is>
      </c>
      <c r="C1385" s="16" t="n">
        <v>28</v>
      </c>
      <c r="D1385" s="17" t="inlineStr">
        <is>
          <t>HOME AND KITCHEN I</t>
        </is>
      </c>
      <c r="E1385" s="17" t="inlineStr">
        <is>
          <t>HIGH</t>
        </is>
      </c>
      <c r="F1385" s="17" t="inlineStr">
        <is>
          <t>TRUNG BÌNH</t>
        </is>
      </c>
      <c r="G1385" s="18" t="inlineStr">
        <is>
          <t>RISK_HIGH</t>
        </is>
      </c>
      <c r="H1385" s="19" t="n">
        <v>334.4316635131836</v>
      </c>
      <c r="I1385" s="19" t="n">
        <v>618.6705923080444</v>
      </c>
      <c r="J1385" s="19" t="n">
        <v>1015.727560043335</v>
      </c>
      <c r="K1385" s="19" t="n">
        <v>618.6705923080444</v>
      </c>
      <c r="L1385" s="19" t="n">
        <v>866.831197142601</v>
      </c>
      <c r="M1385" s="19" t="n">
        <v>1015.727560043335</v>
      </c>
      <c r="N1385" s="17" t="inlineStr">
        <is>
          <t>B</t>
        </is>
      </c>
      <c r="O1385" s="19" t="n">
        <v>371.8947232961654</v>
      </c>
      <c r="P1385" s="18" t="inlineStr">
        <is>
          <t>CÂN NHẮC THỬ NGHIỆM</t>
        </is>
      </c>
      <c r="Q1385" s="17" t="inlineStr">
        <is>
          <t>Không</t>
        </is>
      </c>
      <c r="R1385" s="20" t="n"/>
      <c r="S1385" s="20" t="n"/>
      <c r="T1385" s="21" t="n"/>
      <c r="U1385" s="21" t="n"/>
      <c r="V1385" s="22">
        <f>IF(U1385="A",K1385,IF(U1385="B",L1385,IF(U1385="C",M1385,IF(N1385="A",K1385,IF(N1385="B",L1385,M1385)))))</f>
        <v/>
      </c>
      <c r="W1385" s="22">
        <f>IF(R1385="",O1385,MAX(V1385-R1385-N(S1385),0))</f>
        <v/>
      </c>
      <c r="X1385" s="20" t="n"/>
      <c r="Y1385" s="23">
        <f>IF(OR(X1385="",W1385=0),"",X1385/W1385-1)</f>
        <v/>
      </c>
      <c r="Z1385" s="24" t="n"/>
      <c r="AA1385" s="21" t="n"/>
      <c r="AB1385" s="25" t="n"/>
      <c r="AC1385" s="26">
        <f>IF(T1385="","Chưa quyết định",IF(OR(Z1385="",AA1385=""),"⚠ Thiếu lý do/người duyệt",IF(AND(X1385&lt;&gt;"",N(X1385)+N(R1385)+N(S1385)&gt;M1385*1.001,R1385&lt;&gt;""),"⚠ Vượt mục tiêu P90",IF(AND(Y1385&lt;&gt;"",ABS(N(Y1385))&gt;0.3),"⚠ Lệch &gt; 30% so với nhu cầu",IF(Q1385="Có","ℹ Kiểm tra ngoại suy KM","✓ Hợp lệ")))))</f>
        <v/>
      </c>
    </row>
    <row r="1386">
      <c r="A1386" s="16" t="n">
        <v>1382</v>
      </c>
      <c r="B1386" s="17" t="inlineStr">
        <is>
          <t>DEC-S51-HOME_AND_KITCHEN_I</t>
        </is>
      </c>
      <c r="C1386" s="16" t="n">
        <v>51</v>
      </c>
      <c r="D1386" s="17" t="inlineStr">
        <is>
          <t>HOME AND KITCHEN I</t>
        </is>
      </c>
      <c r="E1386" s="17" t="inlineStr">
        <is>
          <t>HIGH</t>
        </is>
      </c>
      <c r="F1386" s="17" t="inlineStr">
        <is>
          <t>TRUNG BÌNH</t>
        </is>
      </c>
      <c r="G1386" s="18" t="inlineStr">
        <is>
          <t>RISK_HIGH</t>
        </is>
      </c>
      <c r="H1386" s="19" t="n">
        <v>347.1716613769531</v>
      </c>
      <c r="I1386" s="19" t="n">
        <v>617.9436960220337</v>
      </c>
      <c r="J1386" s="19" t="n">
        <v>995.0023059844972</v>
      </c>
      <c r="K1386" s="19" t="n">
        <v>617.9436960220337</v>
      </c>
      <c r="L1386" s="19" t="n">
        <v>853.6053272485733</v>
      </c>
      <c r="M1386" s="19" t="n">
        <v>995.0023059844972</v>
      </c>
      <c r="N1386" s="17" t="inlineStr">
        <is>
          <t>B</t>
        </is>
      </c>
      <c r="O1386" s="19" t="n">
        <v>359.2503704309463</v>
      </c>
      <c r="P1386" s="18" t="inlineStr">
        <is>
          <t>CÂN NHẮC THỬ NGHIỆM</t>
        </is>
      </c>
      <c r="Q1386" s="17" t="inlineStr">
        <is>
          <t>Không</t>
        </is>
      </c>
      <c r="R1386" s="20" t="n"/>
      <c r="S1386" s="20" t="n"/>
      <c r="T1386" s="21" t="n"/>
      <c r="U1386" s="21" t="n"/>
      <c r="V1386" s="22">
        <f>IF(U1386="A",K1386,IF(U1386="B",L1386,IF(U1386="C",M1386,IF(N1386="A",K1386,IF(N1386="B",L1386,M1386)))))</f>
        <v/>
      </c>
      <c r="W1386" s="22">
        <f>IF(R1386="",O1386,MAX(V1386-R1386-N(S1386),0))</f>
        <v/>
      </c>
      <c r="X1386" s="20" t="n"/>
      <c r="Y1386" s="23">
        <f>IF(OR(X1386="",W1386=0),"",X1386/W1386-1)</f>
        <v/>
      </c>
      <c r="Z1386" s="24" t="n"/>
      <c r="AA1386" s="21" t="n"/>
      <c r="AB1386" s="25" t="n"/>
      <c r="AC1386" s="26">
        <f>IF(T1386="","Chưa quyết định",IF(OR(Z1386="",AA1386=""),"⚠ Thiếu lý do/người duyệt",IF(AND(X1386&lt;&gt;"",N(X1386)+N(R1386)+N(S1386)&gt;M1386*1.001,R1386&lt;&gt;""),"⚠ Vượt mục tiêu P90",IF(AND(Y1386&lt;&gt;"",ABS(N(Y1386))&gt;0.3),"⚠ Lệch &gt; 30% so với nhu cầu",IF(Q1386="Có","ℹ Kiểm tra ngoại suy KM","✓ Hợp lệ")))))</f>
        <v/>
      </c>
    </row>
    <row r="1387">
      <c r="A1387" s="16" t="n">
        <v>1383</v>
      </c>
      <c r="B1387" s="17" t="inlineStr">
        <is>
          <t>DEC-S45-LAWN_AND_GARDEN</t>
        </is>
      </c>
      <c r="C1387" s="16" t="n">
        <v>45</v>
      </c>
      <c r="D1387" s="17" t="inlineStr">
        <is>
          <t>LAWN AND GARDEN</t>
        </is>
      </c>
      <c r="E1387" s="17" t="inlineStr">
        <is>
          <t>HIGH</t>
        </is>
      </c>
      <c r="F1387" s="17" t="inlineStr">
        <is>
          <t>TRUNG BÌNH</t>
        </is>
      </c>
      <c r="G1387" s="18" t="inlineStr">
        <is>
          <t>RISK_HIGH</t>
        </is>
      </c>
      <c r="H1387" s="19" t="n">
        <v>349.5697021484375</v>
      </c>
      <c r="I1387" s="19" t="n">
        <v>613.6082897186279</v>
      </c>
      <c r="J1387" s="19" t="n">
        <v>980.6677207946776</v>
      </c>
      <c r="K1387" s="19" t="n">
        <v>613.6082897186279</v>
      </c>
      <c r="L1387" s="19" t="n">
        <v>843.0204341411589</v>
      </c>
      <c r="M1387" s="19" t="n">
        <v>980.6677207946776</v>
      </c>
      <c r="N1387" s="17" t="inlineStr">
        <is>
          <t>B</t>
        </is>
      </c>
      <c r="O1387" s="19" t="n">
        <v>352.1338023662565</v>
      </c>
      <c r="P1387" s="18" t="inlineStr">
        <is>
          <t>CÂN NHẮC THỬ NGHIỆM</t>
        </is>
      </c>
      <c r="Q1387" s="17" t="inlineStr">
        <is>
          <t>Không</t>
        </is>
      </c>
      <c r="R1387" s="20" t="n"/>
      <c r="S1387" s="20" t="n"/>
      <c r="T1387" s="21" t="n"/>
      <c r="U1387" s="21" t="n"/>
      <c r="V1387" s="22">
        <f>IF(U1387="A",K1387,IF(U1387="B",L1387,IF(U1387="C",M1387,IF(N1387="A",K1387,IF(N1387="B",L1387,M1387)))))</f>
        <v/>
      </c>
      <c r="W1387" s="22">
        <f>IF(R1387="",O1387,MAX(V1387-R1387-N(S1387),0))</f>
        <v/>
      </c>
      <c r="X1387" s="20" t="n"/>
      <c r="Y1387" s="23">
        <f>IF(OR(X1387="",W1387=0),"",X1387/W1387-1)</f>
        <v/>
      </c>
      <c r="Z1387" s="24" t="n"/>
      <c r="AA1387" s="21" t="n"/>
      <c r="AB1387" s="25" t="n"/>
      <c r="AC1387" s="26">
        <f>IF(T1387="","Chưa quyết định",IF(OR(Z1387="",AA1387=""),"⚠ Thiếu lý do/người duyệt",IF(AND(X1387&lt;&gt;"",N(X1387)+N(R1387)+N(S1387)&gt;M1387*1.001,R1387&lt;&gt;""),"⚠ Vượt mục tiêu P90",IF(AND(Y1387&lt;&gt;"",ABS(N(Y1387))&gt;0.3),"⚠ Lệch &gt; 30% so với nhu cầu",IF(Q1387="Có","ℹ Kiểm tra ngoại suy KM","✓ Hợp lệ")))))</f>
        <v/>
      </c>
    </row>
    <row r="1388">
      <c r="A1388" s="16" t="n">
        <v>1384</v>
      </c>
      <c r="B1388" s="17" t="inlineStr">
        <is>
          <t>DEC-S05-PREPARED_FOODS</t>
        </is>
      </c>
      <c r="C1388" s="16" t="n">
        <v>5</v>
      </c>
      <c r="D1388" s="17" t="inlineStr">
        <is>
          <t>PREPARED FOODS</t>
        </is>
      </c>
      <c r="E1388" s="17" t="inlineStr">
        <is>
          <t>HIGH</t>
        </is>
      </c>
      <c r="F1388" s="17" t="inlineStr">
        <is>
          <t>TRUNG BÌNH</t>
        </is>
      </c>
      <c r="G1388" s="18" t="inlineStr">
        <is>
          <t>RISK_HIGH</t>
        </is>
      </c>
      <c r="H1388" s="19" t="n">
        <v>303.7269020080566</v>
      </c>
      <c r="I1388" s="19" t="n">
        <v>601.4327249526978</v>
      </c>
      <c r="J1388" s="19" t="n">
        <v>1018.488050460815</v>
      </c>
      <c r="K1388" s="19" t="n">
        <v>601.4327249526978</v>
      </c>
      <c r="L1388" s="19" t="n">
        <v>862.0923033952713</v>
      </c>
      <c r="M1388" s="19" t="n">
        <v>1018.488050460815</v>
      </c>
      <c r="N1388" s="17" t="inlineStr">
        <is>
          <t>B</t>
        </is>
      </c>
      <c r="O1388" s="19" t="n">
        <v>380.9461234331131</v>
      </c>
      <c r="P1388" s="18" t="inlineStr">
        <is>
          <t>CÂN NHẮC THỬ NGHIỆM</t>
        </is>
      </c>
      <c r="Q1388" s="17" t="inlineStr">
        <is>
          <t>Không</t>
        </is>
      </c>
      <c r="R1388" s="20" t="n"/>
      <c r="S1388" s="20" t="n"/>
      <c r="T1388" s="21" t="n"/>
      <c r="U1388" s="21" t="n"/>
      <c r="V1388" s="22">
        <f>IF(U1388="A",K1388,IF(U1388="B",L1388,IF(U1388="C",M1388,IF(N1388="A",K1388,IF(N1388="B",L1388,M1388)))))</f>
        <v/>
      </c>
      <c r="W1388" s="22">
        <f>IF(R1388="",O1388,MAX(V1388-R1388-N(S1388),0))</f>
        <v/>
      </c>
      <c r="X1388" s="20" t="n"/>
      <c r="Y1388" s="23">
        <f>IF(OR(X1388="",W1388=0),"",X1388/W1388-1)</f>
        <v/>
      </c>
      <c r="Z1388" s="24" t="n"/>
      <c r="AA1388" s="21" t="n"/>
      <c r="AB1388" s="25" t="n"/>
      <c r="AC1388" s="26">
        <f>IF(T1388="","Chưa quyết định",IF(OR(Z1388="",AA1388=""),"⚠ Thiếu lý do/người duyệt",IF(AND(X1388&lt;&gt;"",N(X1388)+N(R1388)+N(S1388)&gt;M1388*1.001,R1388&lt;&gt;""),"⚠ Vượt mục tiêu P90",IF(AND(Y1388&lt;&gt;"",ABS(N(Y1388))&gt;0.3),"⚠ Lệch &gt; 30% so với nhu cầu",IF(Q1388="Có","ℹ Kiểm tra ngoại suy KM","✓ Hợp lệ")))))</f>
        <v/>
      </c>
    </row>
    <row r="1389">
      <c r="A1389" s="16" t="n">
        <v>1385</v>
      </c>
      <c r="B1389" s="17" t="inlineStr">
        <is>
          <t>DEC-S16-FROZEN_FOODS</t>
        </is>
      </c>
      <c r="C1389" s="16" t="n">
        <v>16</v>
      </c>
      <c r="D1389" s="17" t="inlineStr">
        <is>
          <t>FROZEN FOODS</t>
        </is>
      </c>
      <c r="E1389" s="17" t="inlineStr">
        <is>
          <t>HIGH</t>
        </is>
      </c>
      <c r="F1389" s="17" t="inlineStr">
        <is>
          <t>TRUNG BÌNH</t>
        </is>
      </c>
      <c r="G1389" s="18" t="inlineStr">
        <is>
          <t>RISK_HIGH</t>
        </is>
      </c>
      <c r="H1389" s="19" t="n">
        <v>307.6618194580078</v>
      </c>
      <c r="I1389" s="19" t="n">
        <v>596.6766557693481</v>
      </c>
      <c r="J1389" s="19" t="n">
        <v>990.6778388824464</v>
      </c>
      <c r="K1389" s="19" t="n">
        <v>596.6766557693481</v>
      </c>
      <c r="L1389" s="19" t="n">
        <v>842.9273952150345</v>
      </c>
      <c r="M1389" s="19" t="n">
        <v>990.6778388824464</v>
      </c>
      <c r="N1389" s="17" t="inlineStr">
        <is>
          <t>B</t>
        </is>
      </c>
      <c r="O1389" s="19" t="n">
        <v>365.586070599556</v>
      </c>
      <c r="P1389" s="18" t="inlineStr">
        <is>
          <t>CÂN NHẮC THỬ NGHIỆM</t>
        </is>
      </c>
      <c r="Q1389" s="17" t="inlineStr">
        <is>
          <t>Không</t>
        </is>
      </c>
      <c r="R1389" s="20" t="n"/>
      <c r="S1389" s="20" t="n"/>
      <c r="T1389" s="21" t="n"/>
      <c r="U1389" s="21" t="n"/>
      <c r="V1389" s="22">
        <f>IF(U1389="A",K1389,IF(U1389="B",L1389,IF(U1389="C",M1389,IF(N1389="A",K1389,IF(N1389="B",L1389,M1389)))))</f>
        <v/>
      </c>
      <c r="W1389" s="22">
        <f>IF(R1389="",O1389,MAX(V1389-R1389-N(S1389),0))</f>
        <v/>
      </c>
      <c r="X1389" s="20" t="n"/>
      <c r="Y1389" s="23">
        <f>IF(OR(X1389="",W1389=0),"",X1389/W1389-1)</f>
        <v/>
      </c>
      <c r="Z1389" s="24" t="n"/>
      <c r="AA1389" s="21" t="n"/>
      <c r="AB1389" s="25" t="n"/>
      <c r="AC1389" s="26">
        <f>IF(T1389="","Chưa quyết định",IF(OR(Z1389="",AA1389=""),"⚠ Thiếu lý do/người duyệt",IF(AND(X1389&lt;&gt;"",N(X1389)+N(R1389)+N(S1389)&gt;M1389*1.001,R1389&lt;&gt;""),"⚠ Vượt mục tiêu P90",IF(AND(Y1389&lt;&gt;"",ABS(N(Y1389))&gt;0.3),"⚠ Lệch &gt; 30% so với nhu cầu",IF(Q1389="Có","ℹ Kiểm tra ngoại suy KM","✓ Hợp lệ")))))</f>
        <v/>
      </c>
    </row>
    <row r="1390">
      <c r="A1390" s="16" t="n">
        <v>1386</v>
      </c>
      <c r="B1390" s="17" t="inlineStr">
        <is>
          <t>DEC-S46-HOME_AND_KITCHEN_I</t>
        </is>
      </c>
      <c r="C1390" s="16" t="n">
        <v>46</v>
      </c>
      <c r="D1390" s="17" t="inlineStr">
        <is>
          <t>HOME AND KITCHEN I</t>
        </is>
      </c>
      <c r="E1390" s="17" t="inlineStr">
        <is>
          <t>HIGH</t>
        </is>
      </c>
      <c r="F1390" s="17" t="inlineStr">
        <is>
          <t>TRUNG BÌNH</t>
        </is>
      </c>
      <c r="G1390" s="18" t="inlineStr">
        <is>
          <t>RISK_HIGH</t>
        </is>
      </c>
      <c r="H1390" s="19" t="n">
        <v>318.085054397583</v>
      </c>
      <c r="I1390" s="19" t="n">
        <v>588.8570890426636</v>
      </c>
      <c r="J1390" s="19" t="n">
        <v>965.915699005127</v>
      </c>
      <c r="K1390" s="19" t="n">
        <v>588.8570890426636</v>
      </c>
      <c r="L1390" s="19" t="n">
        <v>824.5187202692032</v>
      </c>
      <c r="M1390" s="19" t="n">
        <v>965.915699005127</v>
      </c>
      <c r="N1390" s="17" t="inlineStr">
        <is>
          <t>B</t>
        </is>
      </c>
      <c r="O1390" s="19" t="n">
        <v>353.4330490350723</v>
      </c>
      <c r="P1390" s="18" t="inlineStr">
        <is>
          <t>CÂN NHẮC THỬ NGHIỆM</t>
        </is>
      </c>
      <c r="Q1390" s="17" t="inlineStr">
        <is>
          <t>Không</t>
        </is>
      </c>
      <c r="R1390" s="20" t="n"/>
      <c r="S1390" s="20" t="n"/>
      <c r="T1390" s="21" t="n"/>
      <c r="U1390" s="21" t="n"/>
      <c r="V1390" s="22">
        <f>IF(U1390="A",K1390,IF(U1390="B",L1390,IF(U1390="C",M1390,IF(N1390="A",K1390,IF(N1390="B",L1390,M1390)))))</f>
        <v/>
      </c>
      <c r="W1390" s="22">
        <f>IF(R1390="",O1390,MAX(V1390-R1390-N(S1390),0))</f>
        <v/>
      </c>
      <c r="X1390" s="20" t="n"/>
      <c r="Y1390" s="23">
        <f>IF(OR(X1390="",W1390=0),"",X1390/W1390-1)</f>
        <v/>
      </c>
      <c r="Z1390" s="24" t="n"/>
      <c r="AA1390" s="21" t="n"/>
      <c r="AB1390" s="25" t="n"/>
      <c r="AC1390" s="26">
        <f>IF(T1390="","Chưa quyết định",IF(OR(Z1390="",AA1390=""),"⚠ Thiếu lý do/người duyệt",IF(AND(X1390&lt;&gt;"",N(X1390)+N(R1390)+N(S1390)&gt;M1390*1.001,R1390&lt;&gt;""),"⚠ Vượt mục tiêu P90",IF(AND(Y1390&lt;&gt;"",ABS(N(Y1390))&gt;0.3),"⚠ Lệch &gt; 30% so với nhu cầu",IF(Q1390="Có","ℹ Kiểm tra ngoại suy KM","✓ Hợp lệ")))))</f>
        <v/>
      </c>
    </row>
    <row r="1391">
      <c r="A1391" s="16" t="n">
        <v>1387</v>
      </c>
      <c r="B1391" s="17" t="inlineStr">
        <is>
          <t>DEC-S04-PREPARED_FOODS</t>
        </is>
      </c>
      <c r="C1391" s="16" t="n">
        <v>4</v>
      </c>
      <c r="D1391" s="17" t="inlineStr">
        <is>
          <t>PREPARED FOODS</t>
        </is>
      </c>
      <c r="E1391" s="17" t="inlineStr">
        <is>
          <t>HIGH</t>
        </is>
      </c>
      <c r="F1391" s="17" t="inlineStr">
        <is>
          <t>TRUNG BÌNH</t>
        </is>
      </c>
      <c r="G1391" s="18" t="inlineStr">
        <is>
          <t>RISK_HIGH</t>
        </is>
      </c>
      <c r="H1391" s="19" t="n">
        <v>284.1117858886719</v>
      </c>
      <c r="I1391" s="19" t="n">
        <v>588.5510559082031</v>
      </c>
      <c r="J1391" s="19" t="n">
        <v>1015.605560302734</v>
      </c>
      <c r="K1391" s="19" t="n">
        <v>588.5510559082031</v>
      </c>
      <c r="L1391" s="19" t="n">
        <v>855.4601211547852</v>
      </c>
      <c r="M1391" s="19" t="n">
        <v>1015.605560302734</v>
      </c>
      <c r="N1391" s="17" t="inlineStr">
        <is>
          <t>B</t>
        </is>
      </c>
      <c r="O1391" s="19" t="n">
        <v>384.6192764282226</v>
      </c>
      <c r="P1391" s="18" t="inlineStr">
        <is>
          <t>CÂN NHẮC THỬ NGHIỆM</t>
        </is>
      </c>
      <c r="Q1391" s="17" t="inlineStr">
        <is>
          <t>Không</t>
        </is>
      </c>
      <c r="R1391" s="20" t="n"/>
      <c r="S1391" s="20" t="n"/>
      <c r="T1391" s="21" t="n"/>
      <c r="U1391" s="21" t="n"/>
      <c r="V1391" s="22">
        <f>IF(U1391="A",K1391,IF(U1391="B",L1391,IF(U1391="C",M1391,IF(N1391="A",K1391,IF(N1391="B",L1391,M1391)))))</f>
        <v/>
      </c>
      <c r="W1391" s="22">
        <f>IF(R1391="",O1391,MAX(V1391-R1391-N(S1391),0))</f>
        <v/>
      </c>
      <c r="X1391" s="20" t="n"/>
      <c r="Y1391" s="23">
        <f>IF(OR(X1391="",W1391=0),"",X1391/W1391-1)</f>
        <v/>
      </c>
      <c r="Z1391" s="24" t="n"/>
      <c r="AA1391" s="21" t="n"/>
      <c r="AB1391" s="25" t="n"/>
      <c r="AC1391" s="26">
        <f>IF(T1391="","Chưa quyết định",IF(OR(Z1391="",AA1391=""),"⚠ Thiếu lý do/người duyệt",IF(AND(X1391&lt;&gt;"",N(X1391)+N(R1391)+N(S1391)&gt;M1391*1.001,R1391&lt;&gt;""),"⚠ Vượt mục tiêu P90",IF(AND(Y1391&lt;&gt;"",ABS(N(Y1391))&gt;0.3),"⚠ Lệch &gt; 30% so với nhu cầu",IF(Q1391="Có","ℹ Kiểm tra ngoại suy KM","✓ Hợp lệ")))))</f>
        <v/>
      </c>
    </row>
    <row r="1392">
      <c r="A1392" s="16" t="n">
        <v>1388</v>
      </c>
      <c r="B1392" s="17" t="inlineStr">
        <is>
          <t>DEC-S50-LADIESWEAR</t>
        </is>
      </c>
      <c r="C1392" s="16" t="n">
        <v>50</v>
      </c>
      <c r="D1392" s="17" t="inlineStr">
        <is>
          <t>LADIESWEAR</t>
        </is>
      </c>
      <c r="E1392" s="17" t="inlineStr">
        <is>
          <t>HIGH</t>
        </is>
      </c>
      <c r="F1392" s="17" t="inlineStr">
        <is>
          <t>TRUNG BÌNH</t>
        </is>
      </c>
      <c r="G1392" s="18" t="inlineStr">
        <is>
          <t>RISK_HIGH</t>
        </is>
      </c>
      <c r="H1392" s="19" t="n">
        <v>290.6614723205566</v>
      </c>
      <c r="I1392" s="19" t="n">
        <v>586.4097557067871</v>
      </c>
      <c r="J1392" s="19" t="n">
        <v>990.4101177062988</v>
      </c>
      <c r="K1392" s="19" t="n">
        <v>586.4097557067871</v>
      </c>
      <c r="L1392" s="19" t="n">
        <v>838.9099819564819</v>
      </c>
      <c r="M1392" s="19" t="n">
        <v>990.4101177062988</v>
      </c>
      <c r="N1392" s="17" t="inlineStr">
        <is>
          <t>B</t>
        </is>
      </c>
      <c r="O1392" s="19" t="n">
        <v>369.7821773910522</v>
      </c>
      <c r="P1392" s="18" t="inlineStr">
        <is>
          <t>CÂN NHẮC THỬ NGHIỆM</t>
        </is>
      </c>
      <c r="Q1392" s="17" t="inlineStr">
        <is>
          <t>Không</t>
        </is>
      </c>
      <c r="R1392" s="20" t="n"/>
      <c r="S1392" s="20" t="n"/>
      <c r="T1392" s="21" t="n"/>
      <c r="U1392" s="21" t="n"/>
      <c r="V1392" s="22">
        <f>IF(U1392="A",K1392,IF(U1392="B",L1392,IF(U1392="C",M1392,IF(N1392="A",K1392,IF(N1392="B",L1392,M1392)))))</f>
        <v/>
      </c>
      <c r="W1392" s="22">
        <f>IF(R1392="",O1392,MAX(V1392-R1392-N(S1392),0))</f>
        <v/>
      </c>
      <c r="X1392" s="20" t="n"/>
      <c r="Y1392" s="23">
        <f>IF(OR(X1392="",W1392=0),"",X1392/W1392-1)</f>
        <v/>
      </c>
      <c r="Z1392" s="24" t="n"/>
      <c r="AA1392" s="21" t="n"/>
      <c r="AB1392" s="25" t="n"/>
      <c r="AC1392" s="26">
        <f>IF(T1392="","Chưa quyết định",IF(OR(Z1392="",AA1392=""),"⚠ Thiếu lý do/người duyệt",IF(AND(X1392&lt;&gt;"",N(X1392)+N(R1392)+N(S1392)&gt;M1392*1.001,R1392&lt;&gt;""),"⚠ Vượt mục tiêu P90",IF(AND(Y1392&lt;&gt;"",ABS(N(Y1392))&gt;0.3),"⚠ Lệch &gt; 30% so với nhu cầu",IF(Q1392="Có","ℹ Kiểm tra ngoại suy KM","✓ Hợp lệ")))))</f>
        <v/>
      </c>
    </row>
    <row r="1393">
      <c r="A1393" s="16" t="n">
        <v>1389</v>
      </c>
      <c r="B1393" s="17" t="inlineStr">
        <is>
          <t>DEC-S46-PLAYERS_AND_ELECTRONICS</t>
        </is>
      </c>
      <c r="C1393" s="16" t="n">
        <v>46</v>
      </c>
      <c r="D1393" s="17" t="inlineStr">
        <is>
          <t>PLAYERS AND ELECTRONICS</t>
        </is>
      </c>
      <c r="E1393" s="17" t="inlineStr">
        <is>
          <t>HIGH</t>
        </is>
      </c>
      <c r="F1393" s="17" t="inlineStr">
        <is>
          <t>TRUNG BÌNH</t>
        </is>
      </c>
      <c r="G1393" s="18" t="inlineStr">
        <is>
          <t>RISK_HIGH</t>
        </is>
      </c>
      <c r="H1393" s="19" t="n">
        <v>311.2971153259277</v>
      </c>
      <c r="I1393" s="19" t="n">
        <v>582.0691499710083</v>
      </c>
      <c r="J1393" s="19" t="n">
        <v>959.1277599334716</v>
      </c>
      <c r="K1393" s="19" t="n">
        <v>582.0691499710083</v>
      </c>
      <c r="L1393" s="19" t="n">
        <v>817.7307811975478</v>
      </c>
      <c r="M1393" s="19" t="n">
        <v>959.1277599334716</v>
      </c>
      <c r="N1393" s="17" t="inlineStr">
        <is>
          <t>B</t>
        </is>
      </c>
      <c r="O1393" s="19" t="n">
        <v>352.0754612207411</v>
      </c>
      <c r="P1393" s="18" t="inlineStr">
        <is>
          <t>CÂN NHẮC THỬ NGHIỆM</t>
        </is>
      </c>
      <c r="Q1393" s="17" t="inlineStr">
        <is>
          <t>Không</t>
        </is>
      </c>
      <c r="R1393" s="20" t="n"/>
      <c r="S1393" s="20" t="n"/>
      <c r="T1393" s="21" t="n"/>
      <c r="U1393" s="21" t="n"/>
      <c r="V1393" s="22">
        <f>IF(U1393="A",K1393,IF(U1393="B",L1393,IF(U1393="C",M1393,IF(N1393="A",K1393,IF(N1393="B",L1393,M1393)))))</f>
        <v/>
      </c>
      <c r="W1393" s="22">
        <f>IF(R1393="",O1393,MAX(V1393-R1393-N(S1393),0))</f>
        <v/>
      </c>
      <c r="X1393" s="20" t="n"/>
      <c r="Y1393" s="23">
        <f>IF(OR(X1393="",W1393=0),"",X1393/W1393-1)</f>
        <v/>
      </c>
      <c r="Z1393" s="24" t="n"/>
      <c r="AA1393" s="21" t="n"/>
      <c r="AB1393" s="25" t="n"/>
      <c r="AC1393" s="26">
        <f>IF(T1393="","Chưa quyết định",IF(OR(Z1393="",AA1393=""),"⚠ Thiếu lý do/người duyệt",IF(AND(X1393&lt;&gt;"",N(X1393)+N(R1393)+N(S1393)&gt;M1393*1.001,R1393&lt;&gt;""),"⚠ Vượt mục tiêu P90",IF(AND(Y1393&lt;&gt;"",ABS(N(Y1393))&gt;0.3),"⚠ Lệch &gt; 30% so với nhu cầu",IF(Q1393="Có","ℹ Kiểm tra ngoại suy KM","✓ Hợp lệ")))))</f>
        <v/>
      </c>
    </row>
    <row r="1394">
      <c r="A1394" s="16" t="n">
        <v>1390</v>
      </c>
      <c r="B1394" s="17" t="inlineStr">
        <is>
          <t>DEC-S40-HOME_AND_KITCHEN_I</t>
        </is>
      </c>
      <c r="C1394" s="16" t="n">
        <v>40</v>
      </c>
      <c r="D1394" s="17" t="inlineStr">
        <is>
          <t>HOME AND KITCHEN I</t>
        </is>
      </c>
      <c r="E1394" s="17" t="inlineStr">
        <is>
          <t>HIGH</t>
        </is>
      </c>
      <c r="F1394" s="17" t="inlineStr">
        <is>
          <t>TRUNG BÌNH</t>
        </is>
      </c>
      <c r="G1394" s="18" t="inlineStr">
        <is>
          <t>RISK_HIGH</t>
        </is>
      </c>
      <c r="H1394" s="19" t="n">
        <v>313.7734794616699</v>
      </c>
      <c r="I1394" s="19" t="n">
        <v>577.8120670318604</v>
      </c>
      <c r="J1394" s="19" t="n">
        <v>944.8714981079102</v>
      </c>
      <c r="K1394" s="19" t="n">
        <v>577.8120670318604</v>
      </c>
      <c r="L1394" s="19" t="n">
        <v>807.2242114543915</v>
      </c>
      <c r="M1394" s="19" t="n">
        <v>944.8714981079102</v>
      </c>
      <c r="N1394" s="17" t="inlineStr">
        <is>
          <t>B</t>
        </is>
      </c>
      <c r="O1394" s="19" t="n">
        <v>344.9745578289032</v>
      </c>
      <c r="P1394" s="18" t="inlineStr">
        <is>
          <t>CÂN NHẮC THỬ NGHIỆM</t>
        </is>
      </c>
      <c r="Q1394" s="17" t="inlineStr">
        <is>
          <t>Không</t>
        </is>
      </c>
      <c r="R1394" s="20" t="n"/>
      <c r="S1394" s="20" t="n"/>
      <c r="T1394" s="21" t="n"/>
      <c r="U1394" s="21" t="n"/>
      <c r="V1394" s="22">
        <f>IF(U1394="A",K1394,IF(U1394="B",L1394,IF(U1394="C",M1394,IF(N1394="A",K1394,IF(N1394="B",L1394,M1394)))))</f>
        <v/>
      </c>
      <c r="W1394" s="22">
        <f>IF(R1394="",O1394,MAX(V1394-R1394-N(S1394),0))</f>
        <v/>
      </c>
      <c r="X1394" s="20" t="n"/>
      <c r="Y1394" s="23">
        <f>IF(OR(X1394="",W1394=0),"",X1394/W1394-1)</f>
        <v/>
      </c>
      <c r="Z1394" s="24" t="n"/>
      <c r="AA1394" s="21" t="n"/>
      <c r="AB1394" s="25" t="n"/>
      <c r="AC1394" s="26">
        <f>IF(T1394="","Chưa quyết định",IF(OR(Z1394="",AA1394=""),"⚠ Thiếu lý do/người duyệt",IF(AND(X1394&lt;&gt;"",N(X1394)+N(R1394)+N(S1394)&gt;M1394*1.001,R1394&lt;&gt;""),"⚠ Vượt mục tiêu P90",IF(AND(Y1394&lt;&gt;"",ABS(N(Y1394))&gt;0.3),"⚠ Lệch &gt; 30% so với nhu cầu",IF(Q1394="Có","ℹ Kiểm tra ngoại suy KM","✓ Hợp lệ")))))</f>
        <v/>
      </c>
    </row>
    <row r="1395">
      <c r="A1395" s="16" t="n">
        <v>1391</v>
      </c>
      <c r="B1395" s="17" t="inlineStr">
        <is>
          <t>DEC-S36-PREPARED_FOODS</t>
        </is>
      </c>
      <c r="C1395" s="16" t="n">
        <v>36</v>
      </c>
      <c r="D1395" s="17" t="inlineStr">
        <is>
          <t>PREPARED FOODS</t>
        </is>
      </c>
      <c r="E1395" s="17" t="inlineStr">
        <is>
          <t>HIGH</t>
        </is>
      </c>
      <c r="F1395" s="17" t="inlineStr">
        <is>
          <t>TRUNG BÌNH</t>
        </is>
      </c>
      <c r="G1395" s="18" t="inlineStr">
        <is>
          <t>RISK_HIGH</t>
        </is>
      </c>
      <c r="H1395" s="19" t="n">
        <v>278.9902362823486</v>
      </c>
      <c r="I1395" s="19" t="n">
        <v>576.6960592269897</v>
      </c>
      <c r="J1395" s="19" t="n">
        <v>993.7513847351074</v>
      </c>
      <c r="K1395" s="19" t="n">
        <v>576.6960592269897</v>
      </c>
      <c r="L1395" s="19" t="n">
        <v>837.3556376695633</v>
      </c>
      <c r="M1395" s="19" t="n">
        <v>993.7513847351074</v>
      </c>
      <c r="N1395" s="17" t="inlineStr">
        <is>
          <t>B</t>
        </is>
      </c>
      <c r="O1395" s="19" t="n">
        <v>375.9987902879715</v>
      </c>
      <c r="P1395" s="18" t="inlineStr">
        <is>
          <t>CÂN NHẮC THỬ NGHIỆM</t>
        </is>
      </c>
      <c r="Q1395" s="17" t="inlineStr">
        <is>
          <t>Không</t>
        </is>
      </c>
      <c r="R1395" s="20" t="n"/>
      <c r="S1395" s="20" t="n"/>
      <c r="T1395" s="21" t="n"/>
      <c r="U1395" s="21" t="n"/>
      <c r="V1395" s="22">
        <f>IF(U1395="A",K1395,IF(U1395="B",L1395,IF(U1395="C",M1395,IF(N1395="A",K1395,IF(N1395="B",L1395,M1395)))))</f>
        <v/>
      </c>
      <c r="W1395" s="22">
        <f>IF(R1395="",O1395,MAX(V1395-R1395-N(S1395),0))</f>
        <v/>
      </c>
      <c r="X1395" s="20" t="n"/>
      <c r="Y1395" s="23">
        <f>IF(OR(X1395="",W1395=0),"",X1395/W1395-1)</f>
        <v/>
      </c>
      <c r="Z1395" s="24" t="n"/>
      <c r="AA1395" s="21" t="n"/>
      <c r="AB1395" s="25" t="n"/>
      <c r="AC1395" s="26">
        <f>IF(T1395="","Chưa quyết định",IF(OR(Z1395="",AA1395=""),"⚠ Thiếu lý do/người duyệt",IF(AND(X1395&lt;&gt;"",N(X1395)+N(R1395)+N(S1395)&gt;M1395*1.001,R1395&lt;&gt;""),"⚠ Vượt mục tiêu P90",IF(AND(Y1395&lt;&gt;"",ABS(N(Y1395))&gt;0.3),"⚠ Lệch &gt; 30% so với nhu cầu",IF(Q1395="Có","ℹ Kiểm tra ngoại suy KM","✓ Hợp lệ")))))</f>
        <v/>
      </c>
    </row>
    <row r="1396">
      <c r="A1396" s="16" t="n">
        <v>1392</v>
      </c>
      <c r="B1396" s="17" t="inlineStr">
        <is>
          <t>DEC-S26-LIQUOR_WINE_BEER</t>
        </is>
      </c>
      <c r="C1396" s="16" t="n">
        <v>26</v>
      </c>
      <c r="D1396" s="17" t="inlineStr">
        <is>
          <t>LIQUOR,WINE,BEER</t>
        </is>
      </c>
      <c r="E1396" s="17" t="inlineStr">
        <is>
          <t>HIGH</t>
        </is>
      </c>
      <c r="F1396" s="17" t="inlineStr">
        <is>
          <t>TRUNG BÌNH</t>
        </is>
      </c>
      <c r="G1396" s="18" t="inlineStr">
        <is>
          <t>RISK_HIGH</t>
        </is>
      </c>
      <c r="H1396" s="19" t="n">
        <v>291.9183235168457</v>
      </c>
      <c r="I1396" s="19" t="n">
        <v>576.1572523117065</v>
      </c>
      <c r="J1396" s="19" t="n">
        <v>973.2142200469972</v>
      </c>
      <c r="K1396" s="19" t="n">
        <v>576.1572523117065</v>
      </c>
      <c r="L1396" s="19" t="n">
        <v>824.3178571462631</v>
      </c>
      <c r="M1396" s="19" t="n">
        <v>973.2142200469972</v>
      </c>
      <c r="N1396" s="17" t="inlineStr">
        <is>
          <t>B</t>
        </is>
      </c>
      <c r="O1396" s="19" t="n">
        <v>363.3920552968979</v>
      </c>
      <c r="P1396" s="18" t="inlineStr">
        <is>
          <t>CÂN NHẮC THỬ NGHIỆM</t>
        </is>
      </c>
      <c r="Q1396" s="17" t="inlineStr">
        <is>
          <t>Không</t>
        </is>
      </c>
      <c r="R1396" s="20" t="n"/>
      <c r="S1396" s="20" t="n"/>
      <c r="T1396" s="21" t="n"/>
      <c r="U1396" s="21" t="n"/>
      <c r="V1396" s="22">
        <f>IF(U1396="A",K1396,IF(U1396="B",L1396,IF(U1396="C",M1396,IF(N1396="A",K1396,IF(N1396="B",L1396,M1396)))))</f>
        <v/>
      </c>
      <c r="W1396" s="22">
        <f>IF(R1396="",O1396,MAX(V1396-R1396-N(S1396),0))</f>
        <v/>
      </c>
      <c r="X1396" s="20" t="n"/>
      <c r="Y1396" s="23">
        <f>IF(OR(X1396="",W1396=0),"",X1396/W1396-1)</f>
        <v/>
      </c>
      <c r="Z1396" s="24" t="n"/>
      <c r="AA1396" s="21" t="n"/>
      <c r="AB1396" s="25" t="n"/>
      <c r="AC1396" s="26">
        <f>IF(T1396="","Chưa quyết định",IF(OR(Z1396="",AA1396=""),"⚠ Thiếu lý do/người duyệt",IF(AND(X1396&lt;&gt;"",N(X1396)+N(R1396)+N(S1396)&gt;M1396*1.001,R1396&lt;&gt;""),"⚠ Vượt mục tiêu P90",IF(AND(Y1396&lt;&gt;"",ABS(N(Y1396))&gt;0.3),"⚠ Lệch &gt; 30% so với nhu cầu",IF(Q1396="Có","ℹ Kiểm tra ngoại suy KM","✓ Hợp lệ")))))</f>
        <v/>
      </c>
    </row>
    <row r="1397">
      <c r="A1397" s="16" t="n">
        <v>1393</v>
      </c>
      <c r="B1397" s="17" t="inlineStr">
        <is>
          <t>DEC-S13-LIQUOR_WINE_BEER</t>
        </is>
      </c>
      <c r="C1397" s="16" t="n">
        <v>13</v>
      </c>
      <c r="D1397" s="17" t="inlineStr">
        <is>
          <t>LIQUOR,WINE,BEER</t>
        </is>
      </c>
      <c r="E1397" s="17" t="inlineStr">
        <is>
          <t>HIGH</t>
        </is>
      </c>
      <c r="F1397" s="17" t="inlineStr">
        <is>
          <t>TRUNG BÌNH</t>
        </is>
      </c>
      <c r="G1397" s="18" t="inlineStr">
        <is>
          <t>RISK_HIGH</t>
        </is>
      </c>
      <c r="H1397" s="19" t="n">
        <v>310.4792060852051</v>
      </c>
      <c r="I1397" s="19" t="n">
        <v>574.5177936553955</v>
      </c>
      <c r="J1397" s="19" t="n">
        <v>941.5772247314452</v>
      </c>
      <c r="K1397" s="19" t="n">
        <v>574.5177936553955</v>
      </c>
      <c r="L1397" s="19" t="n">
        <v>803.9299380779265</v>
      </c>
      <c r="M1397" s="19" t="n">
        <v>941.5772247314452</v>
      </c>
      <c r="N1397" s="17" t="inlineStr">
        <is>
          <t>B</t>
        </is>
      </c>
      <c r="O1397" s="19" t="n">
        <v>344.3157031536101</v>
      </c>
      <c r="P1397" s="18" t="inlineStr">
        <is>
          <t>CÂN NHẮC THỬ NGHIỆM</t>
        </is>
      </c>
      <c r="Q1397" s="17" t="inlineStr">
        <is>
          <t>Không</t>
        </is>
      </c>
      <c r="R1397" s="20" t="n"/>
      <c r="S1397" s="20" t="n"/>
      <c r="T1397" s="21" t="n"/>
      <c r="U1397" s="21" t="n"/>
      <c r="V1397" s="22">
        <f>IF(U1397="A",K1397,IF(U1397="B",L1397,IF(U1397="C",M1397,IF(N1397="A",K1397,IF(N1397="B",L1397,M1397)))))</f>
        <v/>
      </c>
      <c r="W1397" s="22">
        <f>IF(R1397="",O1397,MAX(V1397-R1397-N(S1397),0))</f>
        <v/>
      </c>
      <c r="X1397" s="20" t="n"/>
      <c r="Y1397" s="23">
        <f>IF(OR(X1397="",W1397=0),"",X1397/W1397-1)</f>
        <v/>
      </c>
      <c r="Z1397" s="24" t="n"/>
      <c r="AA1397" s="21" t="n"/>
      <c r="AB1397" s="25" t="n"/>
      <c r="AC1397" s="26">
        <f>IF(T1397="","Chưa quyết định",IF(OR(Z1397="",AA1397=""),"⚠ Thiếu lý do/người duyệt",IF(AND(X1397&lt;&gt;"",N(X1397)+N(R1397)+N(S1397)&gt;M1397*1.001,R1397&lt;&gt;""),"⚠ Vượt mục tiêu P90",IF(AND(Y1397&lt;&gt;"",ABS(N(Y1397))&gt;0.3),"⚠ Lệch &gt; 30% so với nhu cầu",IF(Q1397="Có","ℹ Kiểm tra ngoại suy KM","✓ Hợp lệ")))))</f>
        <v/>
      </c>
    </row>
    <row r="1398">
      <c r="A1398" s="16" t="n">
        <v>1394</v>
      </c>
      <c r="B1398" s="17" t="inlineStr">
        <is>
          <t>DEC-S20-SCHOOL_AND_OFFICE_SUPPLIES</t>
        </is>
      </c>
      <c r="C1398" s="16" t="n">
        <v>20</v>
      </c>
      <c r="D1398" s="17" t="inlineStr">
        <is>
          <t>SCHOOL AND OFFICE SUPPLIES</t>
        </is>
      </c>
      <c r="E1398" s="17" t="inlineStr">
        <is>
          <t>HIGH</t>
        </is>
      </c>
      <c r="F1398" s="17" t="inlineStr">
        <is>
          <t>TRUNG BÌNH</t>
        </is>
      </c>
      <c r="G1398" s="18" t="inlineStr">
        <is>
          <t>RISK_HIGH</t>
        </is>
      </c>
      <c r="H1398" s="19" t="n">
        <v>321.2684817314148</v>
      </c>
      <c r="I1398" s="19" t="n">
        <v>572.5808491706848</v>
      </c>
      <c r="J1398" s="19" t="n">
        <v>921.4672656059264</v>
      </c>
      <c r="K1398" s="19" t="n">
        <v>572.5808491706848</v>
      </c>
      <c r="L1398" s="19" t="n">
        <v>790.6348594427108</v>
      </c>
      <c r="M1398" s="19" t="n">
        <v>921.4672656059264</v>
      </c>
      <c r="N1398" s="17" t="inlineStr">
        <is>
          <t>B</t>
        </is>
      </c>
      <c r="O1398" s="19" t="n">
        <v>332.5701801061629</v>
      </c>
      <c r="P1398" s="18" t="inlineStr">
        <is>
          <t>CÂN NHẮC THỬ NGHIỆM</t>
        </is>
      </c>
      <c r="Q1398" s="17" t="inlineStr">
        <is>
          <t>Không</t>
        </is>
      </c>
      <c r="R1398" s="20" t="n"/>
      <c r="S1398" s="20" t="n"/>
      <c r="T1398" s="21" t="n"/>
      <c r="U1398" s="21" t="n"/>
      <c r="V1398" s="22">
        <f>IF(U1398="A",K1398,IF(U1398="B",L1398,IF(U1398="C",M1398,IF(N1398="A",K1398,IF(N1398="B",L1398,M1398)))))</f>
        <v/>
      </c>
      <c r="W1398" s="22">
        <f>IF(R1398="",O1398,MAX(V1398-R1398-N(S1398),0))</f>
        <v/>
      </c>
      <c r="X1398" s="20" t="n"/>
      <c r="Y1398" s="23">
        <f>IF(OR(X1398="",W1398=0),"",X1398/W1398-1)</f>
        <v/>
      </c>
      <c r="Z1398" s="24" t="n"/>
      <c r="AA1398" s="21" t="n"/>
      <c r="AB1398" s="25" t="n"/>
      <c r="AC1398" s="26">
        <f>IF(T1398="","Chưa quyết định",IF(OR(Z1398="",AA1398=""),"⚠ Thiếu lý do/người duyệt",IF(AND(X1398&lt;&gt;"",N(X1398)+N(R1398)+N(S1398)&gt;M1398*1.001,R1398&lt;&gt;""),"⚠ Vượt mục tiêu P90",IF(AND(Y1398&lt;&gt;"",ABS(N(Y1398))&gt;0.3),"⚠ Lệch &gt; 30% so với nhu cầu",IF(Q1398="Có","ℹ Kiểm tra ngoại suy KM","✓ Hợp lệ")))))</f>
        <v/>
      </c>
    </row>
    <row r="1399">
      <c r="A1399" s="16" t="n">
        <v>1395</v>
      </c>
      <c r="B1399" s="17" t="inlineStr">
        <is>
          <t>DEC-S38-HOME_AND_KITCHEN_I</t>
        </is>
      </c>
      <c r="C1399" s="16" t="n">
        <v>38</v>
      </c>
      <c r="D1399" s="17" t="inlineStr">
        <is>
          <t>HOME AND KITCHEN I</t>
        </is>
      </c>
      <c r="E1399" s="17" t="inlineStr">
        <is>
          <t>HIGH</t>
        </is>
      </c>
      <c r="F1399" s="17" t="inlineStr">
        <is>
          <t>TRUNG BÌNH</t>
        </is>
      </c>
      <c r="G1399" s="18" t="inlineStr">
        <is>
          <t>RISK_HIGH</t>
        </is>
      </c>
      <c r="H1399" s="19" t="n">
        <v>309.7766647338867</v>
      </c>
      <c r="I1399" s="19" t="n">
        <v>571.8577127456665</v>
      </c>
      <c r="J1399" s="19" t="n">
        <v>925.8621803131103</v>
      </c>
      <c r="K1399" s="19" t="n">
        <v>571.8577127456665</v>
      </c>
      <c r="L1399" s="19" t="n">
        <v>793.1105049753189</v>
      </c>
      <c r="M1399" s="19" t="n">
        <v>925.8621803131103</v>
      </c>
      <c r="N1399" s="17" t="inlineStr">
        <is>
          <t>B</t>
        </is>
      </c>
      <c r="O1399" s="19" t="n">
        <v>335.6243347787856</v>
      </c>
      <c r="P1399" s="18" t="inlineStr">
        <is>
          <t>CÂN NHẮC THỬ NGHIỆM</t>
        </is>
      </c>
      <c r="Q1399" s="17" t="inlineStr">
        <is>
          <t>Không</t>
        </is>
      </c>
      <c r="R1399" s="20" t="n"/>
      <c r="S1399" s="20" t="n"/>
      <c r="T1399" s="21" t="n"/>
      <c r="U1399" s="21" t="n"/>
      <c r="V1399" s="22">
        <f>IF(U1399="A",K1399,IF(U1399="B",L1399,IF(U1399="C",M1399,IF(N1399="A",K1399,IF(N1399="B",L1399,M1399)))))</f>
        <v/>
      </c>
      <c r="W1399" s="22">
        <f>IF(R1399="",O1399,MAX(V1399-R1399-N(S1399),0))</f>
        <v/>
      </c>
      <c r="X1399" s="20" t="n"/>
      <c r="Y1399" s="23">
        <f>IF(OR(X1399="",W1399=0),"",X1399/W1399-1)</f>
        <v/>
      </c>
      <c r="Z1399" s="24" t="n"/>
      <c r="AA1399" s="21" t="n"/>
      <c r="AB1399" s="25" t="n"/>
      <c r="AC1399" s="26">
        <f>IF(T1399="","Chưa quyết định",IF(OR(Z1399="",AA1399=""),"⚠ Thiếu lý do/người duyệt",IF(AND(X1399&lt;&gt;"",N(X1399)+N(R1399)+N(S1399)&gt;M1399*1.001,R1399&lt;&gt;""),"⚠ Vượt mục tiêu P90",IF(AND(Y1399&lt;&gt;"",ABS(N(Y1399))&gt;0.3),"⚠ Lệch &gt; 30% so với nhu cầu",IF(Q1399="Có","ℹ Kiểm tra ngoại suy KM","✓ Hợp lệ")))))</f>
        <v/>
      </c>
    </row>
    <row r="1400">
      <c r="A1400" s="16" t="n">
        <v>1396</v>
      </c>
      <c r="B1400" s="17" t="inlineStr">
        <is>
          <t>DEC-S26-FROZEN_FOODS</t>
        </is>
      </c>
      <c r="C1400" s="16" t="n">
        <v>26</v>
      </c>
      <c r="D1400" s="17" t="inlineStr">
        <is>
          <t>FROZEN FOODS</t>
        </is>
      </c>
      <c r="E1400" s="17" t="inlineStr">
        <is>
          <t>HIGH</t>
        </is>
      </c>
      <c r="F1400" s="17" t="inlineStr">
        <is>
          <t>TRUNG BÌNH</t>
        </is>
      </c>
      <c r="G1400" s="18" t="inlineStr">
        <is>
          <t>RISK_HIGH</t>
        </is>
      </c>
      <c r="H1400" s="19" t="n">
        <v>306.1943264007568</v>
      </c>
      <c r="I1400" s="19" t="n">
        <v>570.2329139709473</v>
      </c>
      <c r="J1400" s="19" t="n">
        <v>937.2923450469972</v>
      </c>
      <c r="K1400" s="19" t="n">
        <v>570.2329139709473</v>
      </c>
      <c r="L1400" s="19" t="n">
        <v>799.6450583934784</v>
      </c>
      <c r="M1400" s="19" t="n">
        <v>937.2923450469972</v>
      </c>
      <c r="N1400" s="17" t="inlineStr">
        <is>
          <t>B</t>
        </is>
      </c>
      <c r="O1400" s="19" t="n">
        <v>343.4587272167205</v>
      </c>
      <c r="P1400" s="18" t="inlineStr">
        <is>
          <t>CÂN NHẮC THỬ NGHIỆM</t>
        </is>
      </c>
      <c r="Q1400" s="17" t="inlineStr">
        <is>
          <t>Không</t>
        </is>
      </c>
      <c r="R1400" s="20" t="n"/>
      <c r="S1400" s="20" t="n"/>
      <c r="T1400" s="21" t="n"/>
      <c r="U1400" s="21" t="n"/>
      <c r="V1400" s="22">
        <f>IF(U1400="A",K1400,IF(U1400="B",L1400,IF(U1400="C",M1400,IF(N1400="A",K1400,IF(N1400="B",L1400,M1400)))))</f>
        <v/>
      </c>
      <c r="W1400" s="22">
        <f>IF(R1400="",O1400,MAX(V1400-R1400-N(S1400),0))</f>
        <v/>
      </c>
      <c r="X1400" s="20" t="n"/>
      <c r="Y1400" s="23">
        <f>IF(OR(X1400="",W1400=0),"",X1400/W1400-1)</f>
        <v/>
      </c>
      <c r="Z1400" s="24" t="n"/>
      <c r="AA1400" s="21" t="n"/>
      <c r="AB1400" s="25" t="n"/>
      <c r="AC1400" s="26">
        <f>IF(T1400="","Chưa quyết định",IF(OR(Z1400="",AA1400=""),"⚠ Thiếu lý do/người duyệt",IF(AND(X1400&lt;&gt;"",N(X1400)+N(R1400)+N(S1400)&gt;M1400*1.001,R1400&lt;&gt;""),"⚠ Vượt mục tiêu P90",IF(AND(Y1400&lt;&gt;"",ABS(N(Y1400))&gt;0.3),"⚠ Lệch &gt; 30% so với nhu cầu",IF(Q1400="Có","ℹ Kiểm tra ngoại suy KM","✓ Hợp lệ")))))</f>
        <v/>
      </c>
    </row>
    <row r="1401">
      <c r="A1401" s="16" t="n">
        <v>1397</v>
      </c>
      <c r="B1401" s="17" t="inlineStr">
        <is>
          <t>DEC-S41-GROCERY_II</t>
        </is>
      </c>
      <c r="C1401" s="16" t="n">
        <v>41</v>
      </c>
      <c r="D1401" s="17" t="inlineStr">
        <is>
          <t>GROCERY II</t>
        </is>
      </c>
      <c r="E1401" s="17" t="inlineStr">
        <is>
          <t>HIGH</t>
        </is>
      </c>
      <c r="F1401" s="17" t="inlineStr">
        <is>
          <t>TRUNG BÌNH</t>
        </is>
      </c>
      <c r="G1401" s="18" t="inlineStr">
        <is>
          <t>RISK_HIGH</t>
        </is>
      </c>
      <c r="H1401" s="19" t="n">
        <v>288.8120632171631</v>
      </c>
      <c r="I1401" s="19" t="n">
        <v>566.3175449371338</v>
      </c>
      <c r="J1401" s="19" t="n">
        <v>953.3753337860109</v>
      </c>
      <c r="K1401" s="19" t="n">
        <v>566.3175449371338</v>
      </c>
      <c r="L1401" s="19" t="n">
        <v>808.2286629676819</v>
      </c>
      <c r="M1401" s="19" t="n">
        <v>953.3753337860109</v>
      </c>
      <c r="N1401" s="17" t="inlineStr">
        <is>
          <t>B</t>
        </is>
      </c>
      <c r="O1401" s="19" t="n">
        <v>355.1746270179748</v>
      </c>
      <c r="P1401" s="18" t="inlineStr">
        <is>
          <t>CÂN NHẮC THỬ NGHIỆM</t>
        </is>
      </c>
      <c r="Q1401" s="17" t="inlineStr">
        <is>
          <t>Không</t>
        </is>
      </c>
      <c r="R1401" s="20" t="n"/>
      <c r="S1401" s="20" t="n"/>
      <c r="T1401" s="21" t="n"/>
      <c r="U1401" s="21" t="n"/>
      <c r="V1401" s="22">
        <f>IF(U1401="A",K1401,IF(U1401="B",L1401,IF(U1401="C",M1401,IF(N1401="A",K1401,IF(N1401="B",L1401,M1401)))))</f>
        <v/>
      </c>
      <c r="W1401" s="22">
        <f>IF(R1401="",O1401,MAX(V1401-R1401-N(S1401),0))</f>
        <v/>
      </c>
      <c r="X1401" s="20" t="n"/>
      <c r="Y1401" s="23">
        <f>IF(OR(X1401="",W1401=0),"",X1401/W1401-1)</f>
        <v/>
      </c>
      <c r="Z1401" s="24" t="n"/>
      <c r="AA1401" s="21" t="n"/>
      <c r="AB1401" s="25" t="n"/>
      <c r="AC1401" s="26">
        <f>IF(T1401="","Chưa quyết định",IF(OR(Z1401="",AA1401=""),"⚠ Thiếu lý do/người duyệt",IF(AND(X1401&lt;&gt;"",N(X1401)+N(R1401)+N(S1401)&gt;M1401*1.001,R1401&lt;&gt;""),"⚠ Vượt mục tiêu P90",IF(AND(Y1401&lt;&gt;"",ABS(N(Y1401))&gt;0.3),"⚠ Lệch &gt; 30% so với nhu cầu",IF(Q1401="Có","ℹ Kiểm tra ngoại suy KM","✓ Hợp lệ")))))</f>
        <v/>
      </c>
    </row>
    <row r="1402">
      <c r="A1402" s="16" t="n">
        <v>1398</v>
      </c>
      <c r="B1402" s="17" t="inlineStr">
        <is>
          <t>DEC-S06-HOME_AND_KITCHEN_I</t>
        </is>
      </c>
      <c r="C1402" s="16" t="n">
        <v>6</v>
      </c>
      <c r="D1402" s="17" t="inlineStr">
        <is>
          <t>HOME AND KITCHEN I</t>
        </is>
      </c>
      <c r="E1402" s="17" t="inlineStr">
        <is>
          <t>HIGH</t>
        </is>
      </c>
      <c r="F1402" s="17" t="inlineStr">
        <is>
          <t>TRUNG BÌNH</t>
        </is>
      </c>
      <c r="G1402" s="18" t="inlineStr">
        <is>
          <t>RISK_HIGH</t>
        </is>
      </c>
      <c r="H1402" s="19" t="n">
        <v>304.2896957397461</v>
      </c>
      <c r="I1402" s="19" t="n">
        <v>561.5948362350464</v>
      </c>
      <c r="J1402" s="19" t="n">
        <v>918.6550884246826</v>
      </c>
      <c r="K1402" s="19" t="n">
        <v>561.5948362350464</v>
      </c>
      <c r="L1402" s="19" t="n">
        <v>784.757493853569</v>
      </c>
      <c r="M1402" s="19" t="n">
        <v>918.6550884246826</v>
      </c>
      <c r="N1402" s="17" t="inlineStr">
        <is>
          <t>B</t>
        </is>
      </c>
      <c r="O1402" s="19" t="n">
        <v>335.4816248655319</v>
      </c>
      <c r="P1402" s="18" t="inlineStr">
        <is>
          <t>CÂN NHẮC THỬ NGHIỆM</t>
        </is>
      </c>
      <c r="Q1402" s="17" t="inlineStr">
        <is>
          <t>Không</t>
        </is>
      </c>
      <c r="R1402" s="20" t="n"/>
      <c r="S1402" s="20" t="n"/>
      <c r="T1402" s="21" t="n"/>
      <c r="U1402" s="21" t="n"/>
      <c r="V1402" s="22">
        <f>IF(U1402="A",K1402,IF(U1402="B",L1402,IF(U1402="C",M1402,IF(N1402="A",K1402,IF(N1402="B",L1402,M1402)))))</f>
        <v/>
      </c>
      <c r="W1402" s="22">
        <f>IF(R1402="",O1402,MAX(V1402-R1402-N(S1402),0))</f>
        <v/>
      </c>
      <c r="X1402" s="20" t="n"/>
      <c r="Y1402" s="23">
        <f>IF(OR(X1402="",W1402=0),"",X1402/W1402-1)</f>
        <v/>
      </c>
      <c r="Z1402" s="24" t="n"/>
      <c r="AA1402" s="21" t="n"/>
      <c r="AB1402" s="25" t="n"/>
      <c r="AC1402" s="26">
        <f>IF(T1402="","Chưa quyết định",IF(OR(Z1402="",AA1402=""),"⚠ Thiếu lý do/người duyệt",IF(AND(X1402&lt;&gt;"",N(X1402)+N(R1402)+N(S1402)&gt;M1402*1.001,R1402&lt;&gt;""),"⚠ Vượt mục tiêu P90",IF(AND(Y1402&lt;&gt;"",ABS(N(Y1402))&gt;0.3),"⚠ Lệch &gt; 30% so với nhu cầu",IF(Q1402="Có","ℹ Kiểm tra ngoại suy KM","✓ Hợp lệ")))))</f>
        <v/>
      </c>
    </row>
    <row r="1403">
      <c r="A1403" s="16" t="n">
        <v>1399</v>
      </c>
      <c r="B1403" s="17" t="inlineStr">
        <is>
          <t>DEC-S24-LAWN_AND_GARDEN</t>
        </is>
      </c>
      <c r="C1403" s="16" t="n">
        <v>24</v>
      </c>
      <c r="D1403" s="17" t="inlineStr">
        <is>
          <t>LAWN AND GARDEN</t>
        </is>
      </c>
      <c r="E1403" s="17" t="inlineStr">
        <is>
          <t>HIGH</t>
        </is>
      </c>
      <c r="F1403" s="17" t="inlineStr">
        <is>
          <t>TRUNG BÌNH</t>
        </is>
      </c>
      <c r="G1403" s="18" t="inlineStr">
        <is>
          <t>RISK_HIGH</t>
        </is>
      </c>
      <c r="H1403" s="19" t="n">
        <v>296.8585834503174</v>
      </c>
      <c r="I1403" s="19" t="n">
        <v>560.8971710205078</v>
      </c>
      <c r="J1403" s="19" t="n">
        <v>927.9566020965576</v>
      </c>
      <c r="K1403" s="19" t="n">
        <v>560.8971710205078</v>
      </c>
      <c r="L1403" s="19" t="n">
        <v>790.3093154430389</v>
      </c>
      <c r="M1403" s="19" t="n">
        <v>927.9566020965576</v>
      </c>
      <c r="N1403" s="17" t="inlineStr">
        <is>
          <t>B</t>
        </is>
      </c>
      <c r="O1403" s="19" t="n">
        <v>341.5915786266327</v>
      </c>
      <c r="P1403" s="18" t="inlineStr">
        <is>
          <t>CÂN NHẮC THỬ NGHIỆM</t>
        </is>
      </c>
      <c r="Q1403" s="17" t="inlineStr">
        <is>
          <t>Không</t>
        </is>
      </c>
      <c r="R1403" s="20" t="n"/>
      <c r="S1403" s="20" t="n"/>
      <c r="T1403" s="21" t="n"/>
      <c r="U1403" s="21" t="n"/>
      <c r="V1403" s="22">
        <f>IF(U1403="A",K1403,IF(U1403="B",L1403,IF(U1403="C",M1403,IF(N1403="A",K1403,IF(N1403="B",L1403,M1403)))))</f>
        <v/>
      </c>
      <c r="W1403" s="22">
        <f>IF(R1403="",O1403,MAX(V1403-R1403-N(S1403),0))</f>
        <v/>
      </c>
      <c r="X1403" s="20" t="n"/>
      <c r="Y1403" s="23">
        <f>IF(OR(X1403="",W1403=0),"",X1403/W1403-1)</f>
        <v/>
      </c>
      <c r="Z1403" s="24" t="n"/>
      <c r="AA1403" s="21" t="n"/>
      <c r="AB1403" s="25" t="n"/>
      <c r="AC1403" s="26">
        <f>IF(T1403="","Chưa quyết định",IF(OR(Z1403="",AA1403=""),"⚠ Thiếu lý do/người duyệt",IF(AND(X1403&lt;&gt;"",N(X1403)+N(R1403)+N(S1403)&gt;M1403*1.001,R1403&lt;&gt;""),"⚠ Vượt mục tiêu P90",IF(AND(Y1403&lt;&gt;"",ABS(N(Y1403))&gt;0.3),"⚠ Lệch &gt; 30% so với nhu cầu",IF(Q1403="Có","ℹ Kiểm tra ngoại suy KM","✓ Hợp lệ")))))</f>
        <v/>
      </c>
    </row>
    <row r="1404">
      <c r="A1404" s="16" t="n">
        <v>1400</v>
      </c>
      <c r="B1404" s="17" t="inlineStr">
        <is>
          <t>DEC-S15-PREPARED_FOODS</t>
        </is>
      </c>
      <c r="C1404" s="16" t="n">
        <v>15</v>
      </c>
      <c r="D1404" s="17" t="inlineStr">
        <is>
          <t>PREPARED FOODS</t>
        </is>
      </c>
      <c r="E1404" s="17" t="inlineStr">
        <is>
          <t>HIGH</t>
        </is>
      </c>
      <c r="F1404" s="17" t="inlineStr">
        <is>
          <t>TRUNG BÌNH</t>
        </is>
      </c>
      <c r="G1404" s="18" t="inlineStr">
        <is>
          <t>RISK_HIGH</t>
        </is>
      </c>
      <c r="H1404" s="19" t="n">
        <v>268.077657699585</v>
      </c>
      <c r="I1404" s="19" t="n">
        <v>559.0500335693359</v>
      </c>
      <c r="J1404" s="19" t="n">
        <v>966.10618019104</v>
      </c>
      <c r="K1404" s="19" t="n">
        <v>559.0500335693359</v>
      </c>
      <c r="L1404" s="19" t="n">
        <v>813.460125207901</v>
      </c>
      <c r="M1404" s="19" t="n">
        <v>966.10618019104</v>
      </c>
      <c r="N1404" s="17" t="inlineStr">
        <is>
          <t>B</t>
        </is>
      </c>
      <c r="O1404" s="19" t="n">
        <v>366.2200983524322</v>
      </c>
      <c r="P1404" s="18" t="inlineStr">
        <is>
          <t>CÂN NHẮC THỬ NGHIỆM</t>
        </is>
      </c>
      <c r="Q1404" s="17" t="inlineStr">
        <is>
          <t>Không</t>
        </is>
      </c>
      <c r="R1404" s="20" t="n"/>
      <c r="S1404" s="20" t="n"/>
      <c r="T1404" s="21" t="n"/>
      <c r="U1404" s="21" t="n"/>
      <c r="V1404" s="22">
        <f>IF(U1404="A",K1404,IF(U1404="B",L1404,IF(U1404="C",M1404,IF(N1404="A",K1404,IF(N1404="B",L1404,M1404)))))</f>
        <v/>
      </c>
      <c r="W1404" s="22">
        <f>IF(R1404="",O1404,MAX(V1404-R1404-N(S1404),0))</f>
        <v/>
      </c>
      <c r="X1404" s="20" t="n"/>
      <c r="Y1404" s="23">
        <f>IF(OR(X1404="",W1404=0),"",X1404/W1404-1)</f>
        <v/>
      </c>
      <c r="Z1404" s="24" t="n"/>
      <c r="AA1404" s="21" t="n"/>
      <c r="AB1404" s="25" t="n"/>
      <c r="AC1404" s="26">
        <f>IF(T1404="","Chưa quyết định",IF(OR(Z1404="",AA1404=""),"⚠ Thiếu lý do/người duyệt",IF(AND(X1404&lt;&gt;"",N(X1404)+N(R1404)+N(S1404)&gt;M1404*1.001,R1404&lt;&gt;""),"⚠ Vượt mục tiêu P90",IF(AND(Y1404&lt;&gt;"",ABS(N(Y1404))&gt;0.3),"⚠ Lệch &gt; 30% so với nhu cầu",IF(Q1404="Có","ℹ Kiểm tra ngoại suy KM","✓ Hợp lệ")))))</f>
        <v/>
      </c>
    </row>
    <row r="1405">
      <c r="A1405" s="16" t="n">
        <v>1401</v>
      </c>
      <c r="B1405" s="17" t="inlineStr">
        <is>
          <t>DEC-S21-HOME_AND_KITCHEN_II</t>
        </is>
      </c>
      <c r="C1405" s="16" t="n">
        <v>21</v>
      </c>
      <c r="D1405" s="17" t="inlineStr">
        <is>
          <t>HOME AND KITCHEN II</t>
        </is>
      </c>
      <c r="E1405" s="17" t="inlineStr">
        <is>
          <t>HIGH</t>
        </is>
      </c>
      <c r="F1405" s="17" t="inlineStr">
        <is>
          <t>TRUNG BÌNH</t>
        </is>
      </c>
      <c r="G1405" s="18" t="inlineStr">
        <is>
          <t>RISK_HIGH</t>
        </is>
      </c>
      <c r="H1405" s="19" t="n">
        <v>267.8225021362305</v>
      </c>
      <c r="I1405" s="19" t="n">
        <v>558.7948780059814</v>
      </c>
      <c r="J1405" s="19" t="n">
        <v>965.8510246276855</v>
      </c>
      <c r="K1405" s="19" t="n">
        <v>558.7948780059814</v>
      </c>
      <c r="L1405" s="19" t="n">
        <v>813.2049696445465</v>
      </c>
      <c r="M1405" s="19" t="n">
        <v>965.8510246276855</v>
      </c>
      <c r="N1405" s="17" t="inlineStr">
        <is>
          <t>B</t>
        </is>
      </c>
      <c r="O1405" s="19" t="n">
        <v>366.1690672397613</v>
      </c>
      <c r="P1405" s="18" t="inlineStr">
        <is>
          <t>CÂN NHẮC THỬ NGHIỆM</t>
        </is>
      </c>
      <c r="Q1405" s="17" t="inlineStr">
        <is>
          <t>Không</t>
        </is>
      </c>
      <c r="R1405" s="20" t="n"/>
      <c r="S1405" s="20" t="n"/>
      <c r="T1405" s="21" t="n"/>
      <c r="U1405" s="21" t="n"/>
      <c r="V1405" s="22">
        <f>IF(U1405="A",K1405,IF(U1405="B",L1405,IF(U1405="C",M1405,IF(N1405="A",K1405,IF(N1405="B",L1405,M1405)))))</f>
        <v/>
      </c>
      <c r="W1405" s="22">
        <f>IF(R1405="",O1405,MAX(V1405-R1405-N(S1405),0))</f>
        <v/>
      </c>
      <c r="X1405" s="20" t="n"/>
      <c r="Y1405" s="23">
        <f>IF(OR(X1405="",W1405=0),"",X1405/W1405-1)</f>
        <v/>
      </c>
      <c r="Z1405" s="24" t="n"/>
      <c r="AA1405" s="21" t="n"/>
      <c r="AB1405" s="25" t="n"/>
      <c r="AC1405" s="26">
        <f>IF(T1405="","Chưa quyết định",IF(OR(Z1405="",AA1405=""),"⚠ Thiếu lý do/người duyệt",IF(AND(X1405&lt;&gt;"",N(X1405)+N(R1405)+N(S1405)&gt;M1405*1.001,R1405&lt;&gt;""),"⚠ Vượt mục tiêu P90",IF(AND(Y1405&lt;&gt;"",ABS(N(Y1405))&gt;0.3),"⚠ Lệch &gt; 30% so với nhu cầu",IF(Q1405="Có","ℹ Kiểm tra ngoại suy KM","✓ Hợp lệ")))))</f>
        <v/>
      </c>
    </row>
    <row r="1406">
      <c r="A1406" s="16" t="n">
        <v>1402</v>
      </c>
      <c r="B1406" s="17" t="inlineStr">
        <is>
          <t>DEC-S12-FROZEN_FOODS</t>
        </is>
      </c>
      <c r="C1406" s="16" t="n">
        <v>12</v>
      </c>
      <c r="D1406" s="17" t="inlineStr">
        <is>
          <t>FROZEN FOODS</t>
        </is>
      </c>
      <c r="E1406" s="17" t="inlineStr">
        <is>
          <t>HIGH</t>
        </is>
      </c>
      <c r="F1406" s="17" t="inlineStr">
        <is>
          <t>TRUNG BÌNH</t>
        </is>
      </c>
      <c r="G1406" s="18" t="inlineStr">
        <is>
          <t>RISK_HIGH</t>
        </is>
      </c>
      <c r="H1406" s="19" t="n">
        <v>287.0439033508301</v>
      </c>
      <c r="I1406" s="19" t="n">
        <v>557.8159379959106</v>
      </c>
      <c r="J1406" s="19" t="n">
        <v>934.874547958374</v>
      </c>
      <c r="K1406" s="19" t="n">
        <v>557.8159379959106</v>
      </c>
      <c r="L1406" s="19" t="n">
        <v>793.4775692224503</v>
      </c>
      <c r="M1406" s="19" t="n">
        <v>934.874547958374</v>
      </c>
      <c r="N1406" s="17" t="inlineStr">
        <is>
          <t>B</t>
        </is>
      </c>
      <c r="O1406" s="19" t="n">
        <v>347.2248188257217</v>
      </c>
      <c r="P1406" s="18" t="inlineStr">
        <is>
          <t>CÂN NHẮC THỬ NGHIỆM</t>
        </is>
      </c>
      <c r="Q1406" s="17" t="inlineStr">
        <is>
          <t>Không</t>
        </is>
      </c>
      <c r="R1406" s="20" t="n"/>
      <c r="S1406" s="20" t="n"/>
      <c r="T1406" s="21" t="n"/>
      <c r="U1406" s="21" t="n"/>
      <c r="V1406" s="22">
        <f>IF(U1406="A",K1406,IF(U1406="B",L1406,IF(U1406="C",M1406,IF(N1406="A",K1406,IF(N1406="B",L1406,M1406)))))</f>
        <v/>
      </c>
      <c r="W1406" s="22">
        <f>IF(R1406="",O1406,MAX(V1406-R1406-N(S1406),0))</f>
        <v/>
      </c>
      <c r="X1406" s="20" t="n"/>
      <c r="Y1406" s="23">
        <f>IF(OR(X1406="",W1406=0),"",X1406/W1406-1)</f>
        <v/>
      </c>
      <c r="Z1406" s="24" t="n"/>
      <c r="AA1406" s="21" t="n"/>
      <c r="AB1406" s="25" t="n"/>
      <c r="AC1406" s="26">
        <f>IF(T1406="","Chưa quyết định",IF(OR(Z1406="",AA1406=""),"⚠ Thiếu lý do/người duyệt",IF(AND(X1406&lt;&gt;"",N(X1406)+N(R1406)+N(S1406)&gt;M1406*1.001,R1406&lt;&gt;""),"⚠ Vượt mục tiêu P90",IF(AND(Y1406&lt;&gt;"",ABS(N(Y1406))&gt;0.3),"⚠ Lệch &gt; 30% so với nhu cầu",IF(Q1406="Có","ℹ Kiểm tra ngoại suy KM","✓ Hợp lệ")))))</f>
        <v/>
      </c>
    </row>
    <row r="1407">
      <c r="A1407" s="16" t="n">
        <v>1403</v>
      </c>
      <c r="B1407" s="17" t="inlineStr">
        <is>
          <t>DEC-S06-SEAFOOD</t>
        </is>
      </c>
      <c r="C1407" s="16" t="n">
        <v>6</v>
      </c>
      <c r="D1407" s="17" t="inlineStr">
        <is>
          <t>SEAFOOD</t>
        </is>
      </c>
      <c r="E1407" s="17" t="inlineStr">
        <is>
          <t>HIGH</t>
        </is>
      </c>
      <c r="F1407" s="17" t="inlineStr">
        <is>
          <t>TRUNG BÌNH</t>
        </is>
      </c>
      <c r="G1407" s="18" t="inlineStr">
        <is>
          <t>RISK_HIGH</t>
        </is>
      </c>
      <c r="H1407" s="19" t="n">
        <v>266.5743770599365</v>
      </c>
      <c r="I1407" s="19" t="n">
        <v>550.8133058547974</v>
      </c>
      <c r="J1407" s="19" t="n">
        <v>947.870273590088</v>
      </c>
      <c r="K1407" s="19" t="n">
        <v>550.8133058547974</v>
      </c>
      <c r="L1407" s="19" t="n">
        <v>798.9739106893539</v>
      </c>
      <c r="M1407" s="19" t="n">
        <v>947.870273590088</v>
      </c>
      <c r="N1407" s="17" t="inlineStr">
        <is>
          <t>B</t>
        </is>
      </c>
      <c r="O1407" s="19" t="n">
        <v>358.323266005516</v>
      </c>
      <c r="P1407" s="18" t="inlineStr">
        <is>
          <t>CÂN NHẮC THỬ NGHIỆM</t>
        </is>
      </c>
      <c r="Q1407" s="17" t="inlineStr">
        <is>
          <t>Không</t>
        </is>
      </c>
      <c r="R1407" s="20" t="n"/>
      <c r="S1407" s="20" t="n"/>
      <c r="T1407" s="21" t="n"/>
      <c r="U1407" s="21" t="n"/>
      <c r="V1407" s="22">
        <f>IF(U1407="A",K1407,IF(U1407="B",L1407,IF(U1407="C",M1407,IF(N1407="A",K1407,IF(N1407="B",L1407,M1407)))))</f>
        <v/>
      </c>
      <c r="W1407" s="22">
        <f>IF(R1407="",O1407,MAX(V1407-R1407-N(S1407),0))</f>
        <v/>
      </c>
      <c r="X1407" s="20" t="n"/>
      <c r="Y1407" s="23">
        <f>IF(OR(X1407="",W1407=0),"",X1407/W1407-1)</f>
        <v/>
      </c>
      <c r="Z1407" s="24" t="n"/>
      <c r="AA1407" s="21" t="n"/>
      <c r="AB1407" s="25" t="n"/>
      <c r="AC1407" s="26">
        <f>IF(T1407="","Chưa quyết định",IF(OR(Z1407="",AA1407=""),"⚠ Thiếu lý do/người duyệt",IF(AND(X1407&lt;&gt;"",N(X1407)+N(R1407)+N(S1407)&gt;M1407*1.001,R1407&lt;&gt;""),"⚠ Vượt mục tiêu P90",IF(AND(Y1407&lt;&gt;"",ABS(N(Y1407))&gt;0.3),"⚠ Lệch &gt; 30% so với nhu cầu",IF(Q1407="Có","ℹ Kiểm tra ngoại suy KM","✓ Hợp lệ")))))</f>
        <v/>
      </c>
    </row>
    <row r="1408">
      <c r="A1408" s="16" t="n">
        <v>1404</v>
      </c>
      <c r="B1408" s="17" t="inlineStr">
        <is>
          <t>DEC-S44-PLAYERS_AND_ELECTRONICS</t>
        </is>
      </c>
      <c r="C1408" s="16" t="n">
        <v>44</v>
      </c>
      <c r="D1408" s="17" t="inlineStr">
        <is>
          <t>PLAYERS AND ELECTRONICS</t>
        </is>
      </c>
      <c r="E1408" s="17" t="inlineStr">
        <is>
          <t>HIGH</t>
        </is>
      </c>
      <c r="F1408" s="17" t="inlineStr">
        <is>
          <t>TRUNG BÌNH</t>
        </is>
      </c>
      <c r="G1408" s="18" t="inlineStr">
        <is>
          <t>RISK_HIGH</t>
        </is>
      </c>
      <c r="H1408" s="19" t="n">
        <v>292.6335029602051</v>
      </c>
      <c r="I1408" s="19" t="n">
        <v>549.9386434555054</v>
      </c>
      <c r="J1408" s="19" t="n">
        <v>906.9988956451416</v>
      </c>
      <c r="K1408" s="19" t="n">
        <v>549.9386434555054</v>
      </c>
      <c r="L1408" s="19" t="n">
        <v>773.101301074028</v>
      </c>
      <c r="M1408" s="19" t="n">
        <v>906.9988956451416</v>
      </c>
      <c r="N1408" s="17" t="inlineStr">
        <is>
          <t>B</t>
        </is>
      </c>
      <c r="O1408" s="19" t="n">
        <v>333.1503863096237</v>
      </c>
      <c r="P1408" s="18" t="inlineStr">
        <is>
          <t>CÂN NHẮC THỬ NGHIỆM</t>
        </is>
      </c>
      <c r="Q1408" s="17" t="inlineStr">
        <is>
          <t>Không</t>
        </is>
      </c>
      <c r="R1408" s="20" t="n"/>
      <c r="S1408" s="20" t="n"/>
      <c r="T1408" s="21" t="n"/>
      <c r="U1408" s="21" t="n"/>
      <c r="V1408" s="22">
        <f>IF(U1408="A",K1408,IF(U1408="B",L1408,IF(U1408="C",M1408,IF(N1408="A",K1408,IF(N1408="B",L1408,M1408)))))</f>
        <v/>
      </c>
      <c r="W1408" s="22">
        <f>IF(R1408="",O1408,MAX(V1408-R1408-N(S1408),0))</f>
        <v/>
      </c>
      <c r="X1408" s="20" t="n"/>
      <c r="Y1408" s="23">
        <f>IF(OR(X1408="",W1408=0),"",X1408/W1408-1)</f>
        <v/>
      </c>
      <c r="Z1408" s="24" t="n"/>
      <c r="AA1408" s="21" t="n"/>
      <c r="AB1408" s="25" t="n"/>
      <c r="AC1408" s="26">
        <f>IF(T1408="","Chưa quyết định",IF(OR(Z1408="",AA1408=""),"⚠ Thiếu lý do/người duyệt",IF(AND(X1408&lt;&gt;"",N(X1408)+N(R1408)+N(S1408)&gt;M1408*1.001,R1408&lt;&gt;""),"⚠ Vượt mục tiêu P90",IF(AND(Y1408&lt;&gt;"",ABS(N(Y1408))&gt;0.3),"⚠ Lệch &gt; 30% so với nhu cầu",IF(Q1408="Có","ℹ Kiểm tra ngoại suy KM","✓ Hợp lệ")))))</f>
        <v/>
      </c>
    </row>
    <row r="1409">
      <c r="A1409" s="16" t="n">
        <v>1405</v>
      </c>
      <c r="B1409" s="17" t="inlineStr">
        <is>
          <t>DEC-S27-HOME_AND_KITCHEN_I</t>
        </is>
      </c>
      <c r="C1409" s="16" t="n">
        <v>27</v>
      </c>
      <c r="D1409" s="17" t="inlineStr">
        <is>
          <t>HOME AND KITCHEN I</t>
        </is>
      </c>
      <c r="E1409" s="17" t="inlineStr">
        <is>
          <t>HIGH</t>
        </is>
      </c>
      <c r="F1409" s="17" t="inlineStr">
        <is>
          <t>TRUNG BÌNH</t>
        </is>
      </c>
      <c r="G1409" s="18" t="inlineStr">
        <is>
          <t>RISK_HIGH</t>
        </is>
      </c>
      <c r="H1409" s="19" t="n">
        <v>288.7962284088135</v>
      </c>
      <c r="I1409" s="19" t="n">
        <v>546.1013689041138</v>
      </c>
      <c r="J1409" s="19" t="n">
        <v>903.16162109375</v>
      </c>
      <c r="K1409" s="19" t="n">
        <v>546.1013689041138</v>
      </c>
      <c r="L1409" s="19" t="n">
        <v>769.2640265226364</v>
      </c>
      <c r="M1409" s="19" t="n">
        <v>903.16162109375</v>
      </c>
      <c r="N1409" s="17" t="inlineStr">
        <is>
          <t>B</t>
        </is>
      </c>
      <c r="O1409" s="19" t="n">
        <v>332.3829313993453</v>
      </c>
      <c r="P1409" s="18" t="inlineStr">
        <is>
          <t>CÂN NHẮC THỬ NGHIỆM</t>
        </is>
      </c>
      <c r="Q1409" s="17" t="inlineStr">
        <is>
          <t>Không</t>
        </is>
      </c>
      <c r="R1409" s="20" t="n"/>
      <c r="S1409" s="20" t="n"/>
      <c r="T1409" s="21" t="n"/>
      <c r="U1409" s="21" t="n"/>
      <c r="V1409" s="22">
        <f>IF(U1409="A",K1409,IF(U1409="B",L1409,IF(U1409="C",M1409,IF(N1409="A",K1409,IF(N1409="B",L1409,M1409)))))</f>
        <v/>
      </c>
      <c r="W1409" s="22">
        <f>IF(R1409="",O1409,MAX(V1409-R1409-N(S1409),0))</f>
        <v/>
      </c>
      <c r="X1409" s="20" t="n"/>
      <c r="Y1409" s="23">
        <f>IF(OR(X1409="",W1409=0),"",X1409/W1409-1)</f>
        <v/>
      </c>
      <c r="Z1409" s="24" t="n"/>
      <c r="AA1409" s="21" t="n"/>
      <c r="AB1409" s="25" t="n"/>
      <c r="AC1409" s="26">
        <f>IF(T1409="","Chưa quyết định",IF(OR(Z1409="",AA1409=""),"⚠ Thiếu lý do/người duyệt",IF(AND(X1409&lt;&gt;"",N(X1409)+N(R1409)+N(S1409)&gt;M1409*1.001,R1409&lt;&gt;""),"⚠ Vượt mục tiêu P90",IF(AND(Y1409&lt;&gt;"",ABS(N(Y1409))&gt;0.3),"⚠ Lệch &gt; 30% so với nhu cầu",IF(Q1409="Có","ℹ Kiểm tra ngoại suy KM","✓ Hợp lệ")))))</f>
        <v/>
      </c>
    </row>
    <row r="1410">
      <c r="A1410" s="16" t="n">
        <v>1406</v>
      </c>
      <c r="B1410" s="17" t="inlineStr">
        <is>
          <t>DEC-S07-GROCERY_II</t>
        </is>
      </c>
      <c r="C1410" s="16" t="n">
        <v>7</v>
      </c>
      <c r="D1410" s="17" t="inlineStr">
        <is>
          <t>GROCERY II</t>
        </is>
      </c>
      <c r="E1410" s="17" t="inlineStr">
        <is>
          <t>HIGH</t>
        </is>
      </c>
      <c r="F1410" s="17" t="inlineStr">
        <is>
          <t>TRUNG BÌNH</t>
        </is>
      </c>
      <c r="G1410" s="18" t="inlineStr">
        <is>
          <t>RISK_HIGH</t>
        </is>
      </c>
      <c r="H1410" s="19" t="n">
        <v>239.4750938415528</v>
      </c>
      <c r="I1410" s="19" t="n">
        <v>543.914363861084</v>
      </c>
      <c r="J1410" s="19" t="n">
        <v>970.9688682556152</v>
      </c>
      <c r="K1410" s="19" t="n">
        <v>543.914363861084</v>
      </c>
      <c r="L1410" s="19" t="n">
        <v>810.823429107666</v>
      </c>
      <c r="M1410" s="19" t="n">
        <v>970.9688682556152</v>
      </c>
      <c r="N1410" s="17" t="inlineStr">
        <is>
          <t>B</t>
        </is>
      </c>
      <c r="O1410" s="19" t="n">
        <v>375.6919380187988</v>
      </c>
      <c r="P1410" s="18" t="inlineStr">
        <is>
          <t>CÂN NHẮC THỬ NGHIỆM</t>
        </is>
      </c>
      <c r="Q1410" s="17" t="inlineStr">
        <is>
          <t>Không</t>
        </is>
      </c>
      <c r="R1410" s="20" t="n"/>
      <c r="S1410" s="20" t="n"/>
      <c r="T1410" s="21" t="n"/>
      <c r="U1410" s="21" t="n"/>
      <c r="V1410" s="22">
        <f>IF(U1410="A",K1410,IF(U1410="B",L1410,IF(U1410="C",M1410,IF(N1410="A",K1410,IF(N1410="B",L1410,M1410)))))</f>
        <v/>
      </c>
      <c r="W1410" s="22">
        <f>IF(R1410="",O1410,MAX(V1410-R1410-N(S1410),0))</f>
        <v/>
      </c>
      <c r="X1410" s="20" t="n"/>
      <c r="Y1410" s="23">
        <f>IF(OR(X1410="",W1410=0),"",X1410/W1410-1)</f>
        <v/>
      </c>
      <c r="Z1410" s="24" t="n"/>
      <c r="AA1410" s="21" t="n"/>
      <c r="AB1410" s="25" t="n"/>
      <c r="AC1410" s="26">
        <f>IF(T1410="","Chưa quyết định",IF(OR(Z1410="",AA1410=""),"⚠ Thiếu lý do/người duyệt",IF(AND(X1410&lt;&gt;"",N(X1410)+N(R1410)+N(S1410)&gt;M1410*1.001,R1410&lt;&gt;""),"⚠ Vượt mục tiêu P90",IF(AND(Y1410&lt;&gt;"",ABS(N(Y1410))&gt;0.3),"⚠ Lệch &gt; 30% so với nhu cầu",IF(Q1410="Có","ℹ Kiểm tra ngoại suy KM","✓ Hợp lệ")))))</f>
        <v/>
      </c>
    </row>
    <row r="1411">
      <c r="A1411" s="16" t="n">
        <v>1407</v>
      </c>
      <c r="B1411" s="17" t="inlineStr">
        <is>
          <t>DEC-S09-HOME_AND_KITCHEN_II</t>
        </is>
      </c>
      <c r="C1411" s="16" t="n">
        <v>9</v>
      </c>
      <c r="D1411" s="17" t="inlineStr">
        <is>
          <t>HOME AND KITCHEN II</t>
        </is>
      </c>
      <c r="E1411" s="17" t="inlineStr">
        <is>
          <t>HIGH</t>
        </is>
      </c>
      <c r="F1411" s="17" t="inlineStr">
        <is>
          <t>TRUNG BÌNH</t>
        </is>
      </c>
      <c r="G1411" s="18" t="inlineStr">
        <is>
          <t>RISK_HIGH</t>
        </is>
      </c>
      <c r="H1411" s="19" t="n">
        <v>261.0822696685791</v>
      </c>
      <c r="I1411" s="19" t="n">
        <v>538.5877513885498</v>
      </c>
      <c r="J1411" s="19" t="n">
        <v>925.6455402374268</v>
      </c>
      <c r="K1411" s="19" t="n">
        <v>538.5877513885498</v>
      </c>
      <c r="L1411" s="19" t="n">
        <v>780.4988694190979</v>
      </c>
      <c r="M1411" s="19" t="n">
        <v>925.6455402374268</v>
      </c>
      <c r="N1411" s="17" t="inlineStr">
        <is>
          <t>B</t>
        </is>
      </c>
      <c r="O1411" s="19" t="n">
        <v>349.6286683082581</v>
      </c>
      <c r="P1411" s="18" t="inlineStr">
        <is>
          <t>CÂN NHẮC THỬ NGHIỆM</t>
        </is>
      </c>
      <c r="Q1411" s="17" t="inlineStr">
        <is>
          <t>Không</t>
        </is>
      </c>
      <c r="R1411" s="20" t="n"/>
      <c r="S1411" s="20" t="n"/>
      <c r="T1411" s="21" t="n"/>
      <c r="U1411" s="21" t="n"/>
      <c r="V1411" s="22">
        <f>IF(U1411="A",K1411,IF(U1411="B",L1411,IF(U1411="C",M1411,IF(N1411="A",K1411,IF(N1411="B",L1411,M1411)))))</f>
        <v/>
      </c>
      <c r="W1411" s="22">
        <f>IF(R1411="",O1411,MAX(V1411-R1411-N(S1411),0))</f>
        <v/>
      </c>
      <c r="X1411" s="20" t="n"/>
      <c r="Y1411" s="23">
        <f>IF(OR(X1411="",W1411=0),"",X1411/W1411-1)</f>
        <v/>
      </c>
      <c r="Z1411" s="24" t="n"/>
      <c r="AA1411" s="21" t="n"/>
      <c r="AB1411" s="25" t="n"/>
      <c r="AC1411" s="26">
        <f>IF(T1411="","Chưa quyết định",IF(OR(Z1411="",AA1411=""),"⚠ Thiếu lý do/người duyệt",IF(AND(X1411&lt;&gt;"",N(X1411)+N(R1411)+N(S1411)&gt;M1411*1.001,R1411&lt;&gt;""),"⚠ Vượt mục tiêu P90",IF(AND(Y1411&lt;&gt;"",ABS(N(Y1411))&gt;0.3),"⚠ Lệch &gt; 30% so với nhu cầu",IF(Q1411="Có","ℹ Kiểm tra ngoại suy KM","✓ Hợp lệ")))))</f>
        <v/>
      </c>
    </row>
    <row r="1412">
      <c r="A1412" s="16" t="n">
        <v>1408</v>
      </c>
      <c r="B1412" s="17" t="inlineStr">
        <is>
          <t>DEC-S44-CELEBRATION</t>
        </is>
      </c>
      <c r="C1412" s="16" t="n">
        <v>44</v>
      </c>
      <c r="D1412" s="17" t="inlineStr">
        <is>
          <t>CELEBRATION</t>
        </is>
      </c>
      <c r="E1412" s="17" t="inlineStr">
        <is>
          <t>HIGH</t>
        </is>
      </c>
      <c r="F1412" s="17" t="inlineStr">
        <is>
          <t>TRUNG BÌNH</t>
        </is>
      </c>
      <c r="G1412" s="18" t="inlineStr">
        <is>
          <t>RISK_HIGH</t>
        </is>
      </c>
      <c r="H1412" s="19" t="n">
        <v>258.7362232208252</v>
      </c>
      <c r="I1412" s="19" t="n">
        <v>536.2417049407959</v>
      </c>
      <c r="J1412" s="19" t="n">
        <v>923.2994937896729</v>
      </c>
      <c r="K1412" s="19" t="n">
        <v>536.2417049407959</v>
      </c>
      <c r="L1412" s="19" t="n">
        <v>778.152822971344</v>
      </c>
      <c r="M1412" s="19" t="n">
        <v>923.2994937896729</v>
      </c>
      <c r="N1412" s="17" t="inlineStr">
        <is>
          <t>B</t>
        </is>
      </c>
      <c r="O1412" s="19" t="n">
        <v>349.1594590187072</v>
      </c>
      <c r="P1412" s="18" t="inlineStr">
        <is>
          <t>CÂN NHẮC THỬ NGHIỆM</t>
        </is>
      </c>
      <c r="Q1412" s="17" t="inlineStr">
        <is>
          <t>Không</t>
        </is>
      </c>
      <c r="R1412" s="20" t="n"/>
      <c r="S1412" s="20" t="n"/>
      <c r="T1412" s="21" t="n"/>
      <c r="U1412" s="21" t="n"/>
      <c r="V1412" s="22">
        <f>IF(U1412="A",K1412,IF(U1412="B",L1412,IF(U1412="C",M1412,IF(N1412="A",K1412,IF(N1412="B",L1412,M1412)))))</f>
        <v/>
      </c>
      <c r="W1412" s="22">
        <f>IF(R1412="",O1412,MAX(V1412-R1412-N(S1412),0))</f>
        <v/>
      </c>
      <c r="X1412" s="20" t="n"/>
      <c r="Y1412" s="23">
        <f>IF(OR(X1412="",W1412=0),"",X1412/W1412-1)</f>
        <v/>
      </c>
      <c r="Z1412" s="24" t="n"/>
      <c r="AA1412" s="21" t="n"/>
      <c r="AB1412" s="25" t="n"/>
      <c r="AC1412" s="26">
        <f>IF(T1412="","Chưa quyết định",IF(OR(Z1412="",AA1412=""),"⚠ Thiếu lý do/người duyệt",IF(AND(X1412&lt;&gt;"",N(X1412)+N(R1412)+N(S1412)&gt;M1412*1.001,R1412&lt;&gt;""),"⚠ Vượt mục tiêu P90",IF(AND(Y1412&lt;&gt;"",ABS(N(Y1412))&gt;0.3),"⚠ Lệch &gt; 30% so với nhu cầu",IF(Q1412="Có","ℹ Kiểm tra ngoại suy KM","✓ Hợp lệ")))))</f>
        <v/>
      </c>
    </row>
    <row r="1413">
      <c r="A1413" s="16" t="n">
        <v>1409</v>
      </c>
      <c r="B1413" s="17" t="inlineStr">
        <is>
          <t>DEC-S29-HOME_AND_KITCHEN_I</t>
        </is>
      </c>
      <c r="C1413" s="16" t="n">
        <v>29</v>
      </c>
      <c r="D1413" s="17" t="inlineStr">
        <is>
          <t>HOME AND KITCHEN I</t>
        </is>
      </c>
      <c r="E1413" s="17" t="inlineStr">
        <is>
          <t>HIGH</t>
        </is>
      </c>
      <c r="F1413" s="17" t="inlineStr">
        <is>
          <t>TRUNG BÌNH</t>
        </is>
      </c>
      <c r="G1413" s="18" t="inlineStr">
        <is>
          <t>RISK_HIGH</t>
        </is>
      </c>
      <c r="H1413" s="19" t="n">
        <v>265.3169898986816</v>
      </c>
      <c r="I1413" s="19" t="n">
        <v>529.3555774688721</v>
      </c>
      <c r="J1413" s="19" t="n">
        <v>896.4150085449219</v>
      </c>
      <c r="K1413" s="19" t="n">
        <v>529.3555774688721</v>
      </c>
      <c r="L1413" s="19" t="n">
        <v>758.7677218914032</v>
      </c>
      <c r="M1413" s="19" t="n">
        <v>896.4150085449219</v>
      </c>
      <c r="N1413" s="17" t="inlineStr">
        <is>
          <t>B</t>
        </is>
      </c>
      <c r="O1413" s="19" t="n">
        <v>335.2832599163055</v>
      </c>
      <c r="P1413" s="18" t="inlineStr">
        <is>
          <t>CÂN NHẮC THỬ NGHIỆM</t>
        </is>
      </c>
      <c r="Q1413" s="17" t="inlineStr">
        <is>
          <t>Không</t>
        </is>
      </c>
      <c r="R1413" s="20" t="n"/>
      <c r="S1413" s="20" t="n"/>
      <c r="T1413" s="21" t="n"/>
      <c r="U1413" s="21" t="n"/>
      <c r="V1413" s="22">
        <f>IF(U1413="A",K1413,IF(U1413="B",L1413,IF(U1413="C",M1413,IF(N1413="A",K1413,IF(N1413="B",L1413,M1413)))))</f>
        <v/>
      </c>
      <c r="W1413" s="22">
        <f>IF(R1413="",O1413,MAX(V1413-R1413-N(S1413),0))</f>
        <v/>
      </c>
      <c r="X1413" s="20" t="n"/>
      <c r="Y1413" s="23">
        <f>IF(OR(X1413="",W1413=0),"",X1413/W1413-1)</f>
        <v/>
      </c>
      <c r="Z1413" s="24" t="n"/>
      <c r="AA1413" s="21" t="n"/>
      <c r="AB1413" s="25" t="n"/>
      <c r="AC1413" s="26">
        <f>IF(T1413="","Chưa quyết định",IF(OR(Z1413="",AA1413=""),"⚠ Thiếu lý do/người duyệt",IF(AND(X1413&lt;&gt;"",N(X1413)+N(R1413)+N(S1413)&gt;M1413*1.001,R1413&lt;&gt;""),"⚠ Vượt mục tiêu P90",IF(AND(Y1413&lt;&gt;"",ABS(N(Y1413))&gt;0.3),"⚠ Lệch &gt; 30% so với nhu cầu",IF(Q1413="Có","ℹ Kiểm tra ngoại suy KM","✓ Hợp lệ")))))</f>
        <v/>
      </c>
    </row>
    <row r="1414">
      <c r="A1414" s="16" t="n">
        <v>1410</v>
      </c>
      <c r="B1414" s="17" t="inlineStr">
        <is>
          <t>DEC-S07-SEAFOOD</t>
        </is>
      </c>
      <c r="C1414" s="16" t="n">
        <v>7</v>
      </c>
      <c r="D1414" s="17" t="inlineStr">
        <is>
          <t>SEAFOOD</t>
        </is>
      </c>
      <c r="E1414" s="17" t="inlineStr">
        <is>
          <t>HIGH</t>
        </is>
      </c>
      <c r="F1414" s="17" t="inlineStr">
        <is>
          <t>TRUNG BÌNH</t>
        </is>
      </c>
      <c r="G1414" s="18" t="inlineStr">
        <is>
          <t>RISK_HIGH</t>
        </is>
      </c>
      <c r="H1414" s="19" t="n">
        <v>270.9059829711914</v>
      </c>
      <c r="I1414" s="19" t="n">
        <v>528.2111234664917</v>
      </c>
      <c r="J1414" s="19" t="n">
        <v>885.2713756561279</v>
      </c>
      <c r="K1414" s="19" t="n">
        <v>528.2111234664917</v>
      </c>
      <c r="L1414" s="19" t="n">
        <v>751.3737810850143</v>
      </c>
      <c r="M1414" s="19" t="n">
        <v>885.2713756561279</v>
      </c>
      <c r="N1414" s="17" t="inlineStr">
        <is>
          <t>B</t>
        </is>
      </c>
      <c r="O1414" s="19" t="n">
        <v>328.804882311821</v>
      </c>
      <c r="P1414" s="18" t="inlineStr">
        <is>
          <t>CÂN NHẮC THỬ NGHIỆM</t>
        </is>
      </c>
      <c r="Q1414" s="17" t="inlineStr">
        <is>
          <t>Không</t>
        </is>
      </c>
      <c r="R1414" s="20" t="n"/>
      <c r="S1414" s="20" t="n"/>
      <c r="T1414" s="21" t="n"/>
      <c r="U1414" s="21" t="n"/>
      <c r="V1414" s="22">
        <f>IF(U1414="A",K1414,IF(U1414="B",L1414,IF(U1414="C",M1414,IF(N1414="A",K1414,IF(N1414="B",L1414,M1414)))))</f>
        <v/>
      </c>
      <c r="W1414" s="22">
        <f>IF(R1414="",O1414,MAX(V1414-R1414-N(S1414),0))</f>
        <v/>
      </c>
      <c r="X1414" s="20" t="n"/>
      <c r="Y1414" s="23">
        <f>IF(OR(X1414="",W1414=0),"",X1414/W1414-1)</f>
        <v/>
      </c>
      <c r="Z1414" s="24" t="n"/>
      <c r="AA1414" s="21" t="n"/>
      <c r="AB1414" s="25" t="n"/>
      <c r="AC1414" s="26">
        <f>IF(T1414="","Chưa quyết định",IF(OR(Z1414="",AA1414=""),"⚠ Thiếu lý do/người duyệt",IF(AND(X1414&lt;&gt;"",N(X1414)+N(R1414)+N(S1414)&gt;M1414*1.001,R1414&lt;&gt;""),"⚠ Vượt mục tiêu P90",IF(AND(Y1414&lt;&gt;"",ABS(N(Y1414))&gt;0.3),"⚠ Lệch &gt; 30% so với nhu cầu",IF(Q1414="Có","ℹ Kiểm tra ngoại suy KM","✓ Hợp lệ")))))</f>
        <v/>
      </c>
    </row>
    <row r="1415">
      <c r="A1415" s="16" t="n">
        <v>1411</v>
      </c>
      <c r="B1415" s="17" t="inlineStr">
        <is>
          <t>DEC-S19-GROCERY_II</t>
        </is>
      </c>
      <c r="C1415" s="16" t="n">
        <v>19</v>
      </c>
      <c r="D1415" s="17" t="inlineStr">
        <is>
          <t>GROCERY II</t>
        </is>
      </c>
      <c r="E1415" s="17" t="inlineStr">
        <is>
          <t>HIGH</t>
        </is>
      </c>
      <c r="F1415" s="17" t="inlineStr">
        <is>
          <t>TRUNG BÌNH</t>
        </is>
      </c>
      <c r="G1415" s="18" t="inlineStr">
        <is>
          <t>RISK_HIGH</t>
        </is>
      </c>
      <c r="H1415" s="19" t="n">
        <v>283.843563079834</v>
      </c>
      <c r="I1415" s="19" t="n">
        <v>527.681809425354</v>
      </c>
      <c r="J1415" s="19" t="n">
        <v>864.7437038421631</v>
      </c>
      <c r="K1415" s="19" t="n">
        <v>527.681809425354</v>
      </c>
      <c r="L1415" s="19" t="n">
        <v>738.3454934358597</v>
      </c>
      <c r="M1415" s="19" t="n">
        <v>864.7437038421631</v>
      </c>
      <c r="N1415" s="17" t="inlineStr">
        <is>
          <t>B</t>
        </is>
      </c>
      <c r="O1415" s="19" t="n">
        <v>316.2000458955765</v>
      </c>
      <c r="P1415" s="18" t="inlineStr">
        <is>
          <t>CÂN NHẮC THỬ NGHIỆM</t>
        </is>
      </c>
      <c r="Q1415" s="17" t="inlineStr">
        <is>
          <t>Không</t>
        </is>
      </c>
      <c r="R1415" s="20" t="n"/>
      <c r="S1415" s="20" t="n"/>
      <c r="T1415" s="21" t="n"/>
      <c r="U1415" s="21" t="n"/>
      <c r="V1415" s="22">
        <f>IF(U1415="A",K1415,IF(U1415="B",L1415,IF(U1415="C",M1415,IF(N1415="A",K1415,IF(N1415="B",L1415,M1415)))))</f>
        <v/>
      </c>
      <c r="W1415" s="22">
        <f>IF(R1415="",O1415,MAX(V1415-R1415-N(S1415),0))</f>
        <v/>
      </c>
      <c r="X1415" s="20" t="n"/>
      <c r="Y1415" s="23">
        <f>IF(OR(X1415="",W1415=0),"",X1415/W1415-1)</f>
        <v/>
      </c>
      <c r="Z1415" s="24" t="n"/>
      <c r="AA1415" s="21" t="n"/>
      <c r="AB1415" s="25" t="n"/>
      <c r="AC1415" s="26">
        <f>IF(T1415="","Chưa quyết định",IF(OR(Z1415="",AA1415=""),"⚠ Thiếu lý do/người duyệt",IF(AND(X1415&lt;&gt;"",N(X1415)+N(R1415)+N(S1415)&gt;M1415*1.001,R1415&lt;&gt;""),"⚠ Vượt mục tiêu P90",IF(AND(Y1415&lt;&gt;"",ABS(N(Y1415))&gt;0.3),"⚠ Lệch &gt; 30% so với nhu cầu",IF(Q1415="Có","ℹ Kiểm tra ngoại suy KM","✓ Hợp lệ")))))</f>
        <v/>
      </c>
    </row>
    <row r="1416">
      <c r="A1416" s="16" t="n">
        <v>1412</v>
      </c>
      <c r="B1416" s="17" t="inlineStr">
        <is>
          <t>DEC-S27-LAWN_AND_GARDEN</t>
        </is>
      </c>
      <c r="C1416" s="16" t="n">
        <v>27</v>
      </c>
      <c r="D1416" s="17" t="inlineStr">
        <is>
          <t>LAWN AND GARDEN</t>
        </is>
      </c>
      <c r="E1416" s="17" t="inlineStr">
        <is>
          <t>HIGH</t>
        </is>
      </c>
      <c r="F1416" s="17" t="inlineStr">
        <is>
          <t>TRUNG BÌNH</t>
        </is>
      </c>
      <c r="G1416" s="18" t="inlineStr">
        <is>
          <t>RISK_HIGH</t>
        </is>
      </c>
      <c r="H1416" s="19" t="n">
        <v>276.4402656555176</v>
      </c>
      <c r="I1416" s="19" t="n">
        <v>527.0119590759277</v>
      </c>
      <c r="J1416" s="19" t="n">
        <v>874.0730323791504</v>
      </c>
      <c r="K1416" s="19" t="n">
        <v>527.0119590759277</v>
      </c>
      <c r="L1416" s="19" t="n">
        <v>743.9251298904419</v>
      </c>
      <c r="M1416" s="19" t="n">
        <v>874.0730323791504</v>
      </c>
      <c r="N1416" s="17" t="inlineStr">
        <is>
          <t>B</t>
        </is>
      </c>
      <c r="O1416" s="19" t="n">
        <v>322.3155626296997</v>
      </c>
      <c r="P1416" s="18" t="inlineStr">
        <is>
          <t>CÂN NHẮC THỬ NGHIỆM</t>
        </is>
      </c>
      <c r="Q1416" s="17" t="inlineStr">
        <is>
          <t>Không</t>
        </is>
      </c>
      <c r="R1416" s="20" t="n"/>
      <c r="S1416" s="20" t="n"/>
      <c r="T1416" s="21" t="n"/>
      <c r="U1416" s="21" t="n"/>
      <c r="V1416" s="22">
        <f>IF(U1416="A",K1416,IF(U1416="B",L1416,IF(U1416="C",M1416,IF(N1416="A",K1416,IF(N1416="B",L1416,M1416)))))</f>
        <v/>
      </c>
      <c r="W1416" s="22">
        <f>IF(R1416="",O1416,MAX(V1416-R1416-N(S1416),0))</f>
        <v/>
      </c>
      <c r="X1416" s="20" t="n"/>
      <c r="Y1416" s="23">
        <f>IF(OR(X1416="",W1416=0),"",X1416/W1416-1)</f>
        <v/>
      </c>
      <c r="Z1416" s="24" t="n"/>
      <c r="AA1416" s="21" t="n"/>
      <c r="AB1416" s="25" t="n"/>
      <c r="AC1416" s="26">
        <f>IF(T1416="","Chưa quyết định",IF(OR(Z1416="",AA1416=""),"⚠ Thiếu lý do/người duyệt",IF(AND(X1416&lt;&gt;"",N(X1416)+N(R1416)+N(S1416)&gt;M1416*1.001,R1416&lt;&gt;""),"⚠ Vượt mục tiêu P90",IF(AND(Y1416&lt;&gt;"",ABS(N(Y1416))&gt;0.3),"⚠ Lệch &gt; 30% so với nhu cầu",IF(Q1416="Có","ℹ Kiểm tra ngoại suy KM","✓ Hợp lệ")))))</f>
        <v/>
      </c>
    </row>
    <row r="1417">
      <c r="A1417" s="16" t="n">
        <v>1413</v>
      </c>
      <c r="B1417" s="17" t="inlineStr">
        <is>
          <t>DEC-S27-HOME_AND_KITCHEN_II</t>
        </is>
      </c>
      <c r="C1417" s="16" t="n">
        <v>27</v>
      </c>
      <c r="D1417" s="17" t="inlineStr">
        <is>
          <t>HOME AND KITCHEN II</t>
        </is>
      </c>
      <c r="E1417" s="17" t="inlineStr">
        <is>
          <t>HIGH</t>
        </is>
      </c>
      <c r="F1417" s="17" t="inlineStr">
        <is>
          <t>TRUNG BÌNH</t>
        </is>
      </c>
      <c r="G1417" s="18" t="inlineStr">
        <is>
          <t>RISK_HIGH</t>
        </is>
      </c>
      <c r="H1417" s="19" t="n">
        <v>234.7369327545166</v>
      </c>
      <c r="I1417" s="19" t="n">
        <v>525.7093086242676</v>
      </c>
      <c r="J1417" s="19" t="n">
        <v>932.7654552459716</v>
      </c>
      <c r="K1417" s="19" t="n">
        <v>525.7093086242676</v>
      </c>
      <c r="L1417" s="19" t="n">
        <v>780.1194002628325</v>
      </c>
      <c r="M1417" s="19" t="n">
        <v>932.7654552459716</v>
      </c>
      <c r="N1417" s="17" t="inlineStr">
        <is>
          <t>B</t>
        </is>
      </c>
      <c r="O1417" s="19" t="n">
        <v>359.5519533634184</v>
      </c>
      <c r="P1417" s="18" t="inlineStr">
        <is>
          <t>CÂN NHẮC THỬ NGHIỆM</t>
        </is>
      </c>
      <c r="Q1417" s="17" t="inlineStr">
        <is>
          <t>Không</t>
        </is>
      </c>
      <c r="R1417" s="20" t="n"/>
      <c r="S1417" s="20" t="n"/>
      <c r="T1417" s="21" t="n"/>
      <c r="U1417" s="21" t="n"/>
      <c r="V1417" s="22">
        <f>IF(U1417="A",K1417,IF(U1417="B",L1417,IF(U1417="C",M1417,IF(N1417="A",K1417,IF(N1417="B",L1417,M1417)))))</f>
        <v/>
      </c>
      <c r="W1417" s="22">
        <f>IF(R1417="",O1417,MAX(V1417-R1417-N(S1417),0))</f>
        <v/>
      </c>
      <c r="X1417" s="20" t="n"/>
      <c r="Y1417" s="23">
        <f>IF(OR(X1417="",W1417=0),"",X1417/W1417-1)</f>
        <v/>
      </c>
      <c r="Z1417" s="24" t="n"/>
      <c r="AA1417" s="21" t="n"/>
      <c r="AB1417" s="25" t="n"/>
      <c r="AC1417" s="26">
        <f>IF(T1417="","Chưa quyết định",IF(OR(Z1417="",AA1417=""),"⚠ Thiếu lý do/người duyệt",IF(AND(X1417&lt;&gt;"",N(X1417)+N(R1417)+N(S1417)&gt;M1417*1.001,R1417&lt;&gt;""),"⚠ Vượt mục tiêu P90",IF(AND(Y1417&lt;&gt;"",ABS(N(Y1417))&gt;0.3),"⚠ Lệch &gt; 30% so với nhu cầu",IF(Q1417="Có","ℹ Kiểm tra ngoại suy KM","✓ Hợp lệ")))))</f>
        <v/>
      </c>
    </row>
    <row r="1418">
      <c r="A1418" s="16" t="n">
        <v>1414</v>
      </c>
      <c r="B1418" s="17" t="inlineStr">
        <is>
          <t>DEC-S37-HOME_AND_KITCHEN_II</t>
        </is>
      </c>
      <c r="C1418" s="16" t="n">
        <v>37</v>
      </c>
      <c r="D1418" s="17" t="inlineStr">
        <is>
          <t>HOME AND KITCHEN II</t>
        </is>
      </c>
      <c r="E1418" s="17" t="inlineStr">
        <is>
          <t>HIGH</t>
        </is>
      </c>
      <c r="F1418" s="17" t="inlineStr">
        <is>
          <t>TRUNG BÌNH</t>
        </is>
      </c>
      <c r="G1418" s="18" t="inlineStr">
        <is>
          <t>RISK_HIGH</t>
        </is>
      </c>
      <c r="H1418" s="19" t="n">
        <v>254.4694766998291</v>
      </c>
      <c r="I1418" s="19" t="n">
        <v>523.283971786499</v>
      </c>
      <c r="J1418" s="19" t="n">
        <v>887.2876182403564</v>
      </c>
      <c r="K1418" s="19" t="n">
        <v>523.283971786499</v>
      </c>
      <c r="L1418" s="19" t="n">
        <v>750.7862508201599</v>
      </c>
      <c r="M1418" s="19" t="n">
        <v>887.2876182403564</v>
      </c>
      <c r="N1418" s="17" t="inlineStr">
        <is>
          <t>B</t>
        </is>
      </c>
      <c r="O1418" s="19" t="n">
        <v>332.1590733909607</v>
      </c>
      <c r="P1418" s="18" t="inlineStr">
        <is>
          <t>CÂN NHẮC THỬ NGHIỆM</t>
        </is>
      </c>
      <c r="Q1418" s="17" t="inlineStr">
        <is>
          <t>Không</t>
        </is>
      </c>
      <c r="R1418" s="20" t="n"/>
      <c r="S1418" s="20" t="n"/>
      <c r="T1418" s="21" t="n"/>
      <c r="U1418" s="21" t="n"/>
      <c r="V1418" s="22">
        <f>IF(U1418="A",K1418,IF(U1418="B",L1418,IF(U1418="C",M1418,IF(N1418="A",K1418,IF(N1418="B",L1418,M1418)))))</f>
        <v/>
      </c>
      <c r="W1418" s="22">
        <f>IF(R1418="",O1418,MAX(V1418-R1418-N(S1418),0))</f>
        <v/>
      </c>
      <c r="X1418" s="20" t="n"/>
      <c r="Y1418" s="23">
        <f>IF(OR(X1418="",W1418=0),"",X1418/W1418-1)</f>
        <v/>
      </c>
      <c r="Z1418" s="24" t="n"/>
      <c r="AA1418" s="21" t="n"/>
      <c r="AB1418" s="25" t="n"/>
      <c r="AC1418" s="26">
        <f>IF(T1418="","Chưa quyết định",IF(OR(Z1418="",AA1418=""),"⚠ Thiếu lý do/người duyệt",IF(AND(X1418&lt;&gt;"",N(X1418)+N(R1418)+N(S1418)&gt;M1418*1.001,R1418&lt;&gt;""),"⚠ Vượt mục tiêu P90",IF(AND(Y1418&lt;&gt;"",ABS(N(Y1418))&gt;0.3),"⚠ Lệch &gt; 30% so với nhu cầu",IF(Q1418="Có","ℹ Kiểm tra ngoại suy KM","✓ Hợp lệ")))))</f>
        <v/>
      </c>
    </row>
    <row r="1419">
      <c r="A1419" s="16" t="n">
        <v>1415</v>
      </c>
      <c r="B1419" s="17" t="inlineStr">
        <is>
          <t>DEC-S47-LAWN_AND_GARDEN</t>
        </is>
      </c>
      <c r="C1419" s="16" t="n">
        <v>47</v>
      </c>
      <c r="D1419" s="17" t="inlineStr">
        <is>
          <t>LAWN AND GARDEN</t>
        </is>
      </c>
      <c r="E1419" s="17" t="inlineStr">
        <is>
          <t>HIGH</t>
        </is>
      </c>
      <c r="F1419" s="17" t="inlineStr">
        <is>
          <t>TRUNG BÌNH</t>
        </is>
      </c>
      <c r="G1419" s="18" t="inlineStr">
        <is>
          <t>RISK_HIGH</t>
        </is>
      </c>
      <c r="H1419" s="19" t="n">
        <v>258.9228191375732</v>
      </c>
      <c r="I1419" s="19" t="n">
        <v>522.9614067077637</v>
      </c>
      <c r="J1419" s="19" t="n">
        <v>890.0208377838135</v>
      </c>
      <c r="K1419" s="19" t="n">
        <v>522.9614067077637</v>
      </c>
      <c r="L1419" s="19" t="n">
        <v>752.3735511302948</v>
      </c>
      <c r="M1419" s="19" t="n">
        <v>890.0208377838135</v>
      </c>
      <c r="N1419" s="17" t="inlineStr">
        <is>
          <t>B</t>
        </is>
      </c>
      <c r="O1419" s="19" t="n">
        <v>334.0044257640839</v>
      </c>
      <c r="P1419" s="18" t="inlineStr">
        <is>
          <t>CÂN NHẮC THỬ NGHIỆM</t>
        </is>
      </c>
      <c r="Q1419" s="17" t="inlineStr">
        <is>
          <t>Không</t>
        </is>
      </c>
      <c r="R1419" s="20" t="n"/>
      <c r="S1419" s="20" t="n"/>
      <c r="T1419" s="21" t="n"/>
      <c r="U1419" s="21" t="n"/>
      <c r="V1419" s="22">
        <f>IF(U1419="A",K1419,IF(U1419="B",L1419,IF(U1419="C",M1419,IF(N1419="A",K1419,IF(N1419="B",L1419,M1419)))))</f>
        <v/>
      </c>
      <c r="W1419" s="22">
        <f>IF(R1419="",O1419,MAX(V1419-R1419-N(S1419),0))</f>
        <v/>
      </c>
      <c r="X1419" s="20" t="n"/>
      <c r="Y1419" s="23">
        <f>IF(OR(X1419="",W1419=0),"",X1419/W1419-1)</f>
        <v/>
      </c>
      <c r="Z1419" s="24" t="n"/>
      <c r="AA1419" s="21" t="n"/>
      <c r="AB1419" s="25" t="n"/>
      <c r="AC1419" s="26">
        <f>IF(T1419="","Chưa quyết định",IF(OR(Z1419="",AA1419=""),"⚠ Thiếu lý do/người duyệt",IF(AND(X1419&lt;&gt;"",N(X1419)+N(R1419)+N(S1419)&gt;M1419*1.001,R1419&lt;&gt;""),"⚠ Vượt mục tiêu P90",IF(AND(Y1419&lt;&gt;"",ABS(N(Y1419))&gt;0.3),"⚠ Lệch &gt; 30% so với nhu cầu",IF(Q1419="Có","ℹ Kiểm tra ngoại suy KM","✓ Hợp lệ")))))</f>
        <v/>
      </c>
    </row>
    <row r="1420">
      <c r="A1420" s="16" t="n">
        <v>1416</v>
      </c>
      <c r="B1420" s="17" t="inlineStr">
        <is>
          <t>DEC-S22-PREPARED_FOODS</t>
        </is>
      </c>
      <c r="C1420" s="16" t="n">
        <v>22</v>
      </c>
      <c r="D1420" s="17" t="inlineStr">
        <is>
          <t>PREPARED FOODS</t>
        </is>
      </c>
      <c r="E1420" s="17" t="inlineStr">
        <is>
          <t>HIGH</t>
        </is>
      </c>
      <c r="F1420" s="17" t="inlineStr">
        <is>
          <t>TRUNG BÌNH</t>
        </is>
      </c>
      <c r="G1420" s="18" t="inlineStr">
        <is>
          <t>RISK_HIGH</t>
        </is>
      </c>
      <c r="H1420" s="19" t="n">
        <v>251.8235950469971</v>
      </c>
      <c r="I1420" s="19" t="n">
        <v>522.5956296920776</v>
      </c>
      <c r="J1420" s="19" t="n">
        <v>899.654239654541</v>
      </c>
      <c r="K1420" s="19" t="n">
        <v>522.5956296920776</v>
      </c>
      <c r="L1420" s="19" t="n">
        <v>758.2572609186172</v>
      </c>
      <c r="M1420" s="19" t="n">
        <v>899.654239654541</v>
      </c>
      <c r="N1420" s="17" t="inlineStr">
        <is>
          <t>B</t>
        </is>
      </c>
      <c r="O1420" s="19" t="n">
        <v>340.1807571649551</v>
      </c>
      <c r="P1420" s="18" t="inlineStr">
        <is>
          <t>CÂN NHẮC THỬ NGHIỆM</t>
        </is>
      </c>
      <c r="Q1420" s="17" t="inlineStr">
        <is>
          <t>Không</t>
        </is>
      </c>
      <c r="R1420" s="20" t="n"/>
      <c r="S1420" s="20" t="n"/>
      <c r="T1420" s="21" t="n"/>
      <c r="U1420" s="21" t="n"/>
      <c r="V1420" s="22">
        <f>IF(U1420="A",K1420,IF(U1420="B",L1420,IF(U1420="C",M1420,IF(N1420="A",K1420,IF(N1420="B",L1420,M1420)))))</f>
        <v/>
      </c>
      <c r="W1420" s="22">
        <f>IF(R1420="",O1420,MAX(V1420-R1420-N(S1420),0))</f>
        <v/>
      </c>
      <c r="X1420" s="20" t="n"/>
      <c r="Y1420" s="23">
        <f>IF(OR(X1420="",W1420=0),"",X1420/W1420-1)</f>
        <v/>
      </c>
      <c r="Z1420" s="24" t="n"/>
      <c r="AA1420" s="21" t="n"/>
      <c r="AB1420" s="25" t="n"/>
      <c r="AC1420" s="26">
        <f>IF(T1420="","Chưa quyết định",IF(OR(Z1420="",AA1420=""),"⚠ Thiếu lý do/người duyệt",IF(AND(X1420&lt;&gt;"",N(X1420)+N(R1420)+N(S1420)&gt;M1420*1.001,R1420&lt;&gt;""),"⚠ Vượt mục tiêu P90",IF(AND(Y1420&lt;&gt;"",ABS(N(Y1420))&gt;0.3),"⚠ Lệch &gt; 30% so với nhu cầu",IF(Q1420="Có","ℹ Kiểm tra ngoại suy KM","✓ Hợp lệ")))))</f>
        <v/>
      </c>
    </row>
    <row r="1421">
      <c r="A1421" s="16" t="n">
        <v>1417</v>
      </c>
      <c r="B1421" s="17" t="inlineStr">
        <is>
          <t>DEC-S48-HOME_AND_KITCHEN_I</t>
        </is>
      </c>
      <c r="C1421" s="16" t="n">
        <v>48</v>
      </c>
      <c r="D1421" s="17" t="inlineStr">
        <is>
          <t>HOME AND KITCHEN I</t>
        </is>
      </c>
      <c r="E1421" s="17" t="inlineStr">
        <is>
          <t>HIGH</t>
        </is>
      </c>
      <c r="F1421" s="17" t="inlineStr">
        <is>
          <t>TRUNG BÌNH</t>
        </is>
      </c>
      <c r="G1421" s="18" t="inlineStr">
        <is>
          <t>RISK_HIGH</t>
        </is>
      </c>
      <c r="H1421" s="19" t="n">
        <v>256.6217727661133</v>
      </c>
      <c r="I1421" s="19" t="n">
        <v>520.6603603363037</v>
      </c>
      <c r="J1421" s="19" t="n">
        <v>887.7197914123535</v>
      </c>
      <c r="K1421" s="19" t="n">
        <v>520.6603603363037</v>
      </c>
      <c r="L1421" s="19" t="n">
        <v>750.0725047588348</v>
      </c>
      <c r="M1421" s="19" t="n">
        <v>887.7197914123535</v>
      </c>
      <c r="N1421" s="17" t="inlineStr">
        <is>
          <t>B</t>
        </is>
      </c>
      <c r="O1421" s="19" t="n">
        <v>333.5442164897918</v>
      </c>
      <c r="P1421" s="18" t="inlineStr">
        <is>
          <t>CÂN NHẮC THỬ NGHIỆM</t>
        </is>
      </c>
      <c r="Q1421" s="17" t="inlineStr">
        <is>
          <t>Không</t>
        </is>
      </c>
      <c r="R1421" s="20" t="n"/>
      <c r="S1421" s="20" t="n"/>
      <c r="T1421" s="21" t="n"/>
      <c r="U1421" s="21" t="n"/>
      <c r="V1421" s="22">
        <f>IF(U1421="A",K1421,IF(U1421="B",L1421,IF(U1421="C",M1421,IF(N1421="A",K1421,IF(N1421="B",L1421,M1421)))))</f>
        <v/>
      </c>
      <c r="W1421" s="22">
        <f>IF(R1421="",O1421,MAX(V1421-R1421-N(S1421),0))</f>
        <v/>
      </c>
      <c r="X1421" s="20" t="n"/>
      <c r="Y1421" s="23">
        <f>IF(OR(X1421="",W1421=0),"",X1421/W1421-1)</f>
        <v/>
      </c>
      <c r="Z1421" s="24" t="n"/>
      <c r="AA1421" s="21" t="n"/>
      <c r="AB1421" s="25" t="n"/>
      <c r="AC1421" s="26">
        <f>IF(T1421="","Chưa quyết định",IF(OR(Z1421="",AA1421=""),"⚠ Thiếu lý do/người duyệt",IF(AND(X1421&lt;&gt;"",N(X1421)+N(R1421)+N(S1421)&gt;M1421*1.001,R1421&lt;&gt;""),"⚠ Vượt mục tiêu P90",IF(AND(Y1421&lt;&gt;"",ABS(N(Y1421))&gt;0.3),"⚠ Lệch &gt; 30% so với nhu cầu",IF(Q1421="Có","ℹ Kiểm tra ngoại suy KM","✓ Hợp lệ")))))</f>
        <v/>
      </c>
    </row>
    <row r="1422">
      <c r="A1422" s="16" t="n">
        <v>1418</v>
      </c>
      <c r="B1422" s="17" t="inlineStr">
        <is>
          <t>DEC-S24-HOME_AND_KITCHEN_II</t>
        </is>
      </c>
      <c r="C1422" s="16" t="n">
        <v>24</v>
      </c>
      <c r="D1422" s="17" t="inlineStr">
        <is>
          <t>HOME AND KITCHEN II</t>
        </is>
      </c>
      <c r="E1422" s="17" t="inlineStr">
        <is>
          <t>HIGH</t>
        </is>
      </c>
      <c r="F1422" s="17" t="inlineStr">
        <is>
          <t>TRUNG BÌNH</t>
        </is>
      </c>
      <c r="G1422" s="18" t="inlineStr">
        <is>
          <t>RISK_HIGH</t>
        </is>
      </c>
      <c r="H1422" s="19" t="n">
        <v>256.1593074798584</v>
      </c>
      <c r="I1422" s="19" t="n">
        <v>520.1978950500488</v>
      </c>
      <c r="J1422" s="19" t="n">
        <v>887.2573261260986</v>
      </c>
      <c r="K1422" s="19" t="n">
        <v>520.1978950500488</v>
      </c>
      <c r="L1422" s="19" t="n">
        <v>749.61003947258</v>
      </c>
      <c r="M1422" s="19" t="n">
        <v>887.2573261260986</v>
      </c>
      <c r="N1422" s="17" t="inlineStr">
        <is>
          <t>B</t>
        </is>
      </c>
      <c r="O1422" s="19" t="n">
        <v>333.4517234325409</v>
      </c>
      <c r="P1422" s="18" t="inlineStr">
        <is>
          <t>CÂN NHẮC THỬ NGHIỆM</t>
        </is>
      </c>
      <c r="Q1422" s="17" t="inlineStr">
        <is>
          <t>Không</t>
        </is>
      </c>
      <c r="R1422" s="20" t="n"/>
      <c r="S1422" s="20" t="n"/>
      <c r="T1422" s="21" t="n"/>
      <c r="U1422" s="21" t="n"/>
      <c r="V1422" s="22">
        <f>IF(U1422="A",K1422,IF(U1422="B",L1422,IF(U1422="C",M1422,IF(N1422="A",K1422,IF(N1422="B",L1422,M1422)))))</f>
        <v/>
      </c>
      <c r="W1422" s="22">
        <f>IF(R1422="",O1422,MAX(V1422-R1422-N(S1422),0))</f>
        <v/>
      </c>
      <c r="X1422" s="20" t="n"/>
      <c r="Y1422" s="23">
        <f>IF(OR(X1422="",W1422=0),"",X1422/W1422-1)</f>
        <v/>
      </c>
      <c r="Z1422" s="24" t="n"/>
      <c r="AA1422" s="21" t="n"/>
      <c r="AB1422" s="25" t="n"/>
      <c r="AC1422" s="26">
        <f>IF(T1422="","Chưa quyết định",IF(OR(Z1422="",AA1422=""),"⚠ Thiếu lý do/người duyệt",IF(AND(X1422&lt;&gt;"",N(X1422)+N(R1422)+N(S1422)&gt;M1422*1.001,R1422&lt;&gt;""),"⚠ Vượt mục tiêu P90",IF(AND(Y1422&lt;&gt;"",ABS(N(Y1422))&gt;0.3),"⚠ Lệch &gt; 30% so với nhu cầu",IF(Q1422="Có","ℹ Kiểm tra ngoại suy KM","✓ Hợp lệ")))))</f>
        <v/>
      </c>
    </row>
    <row r="1423">
      <c r="A1423" s="16" t="n">
        <v>1419</v>
      </c>
      <c r="B1423" s="17" t="inlineStr">
        <is>
          <t>DEC-S39-GROCERY_II</t>
        </is>
      </c>
      <c r="C1423" s="16" t="n">
        <v>39</v>
      </c>
      <c r="D1423" s="17" t="inlineStr">
        <is>
          <t>GROCERY II</t>
        </is>
      </c>
      <c r="E1423" s="17" t="inlineStr">
        <is>
          <t>HIGH</t>
        </is>
      </c>
      <c r="F1423" s="17" t="inlineStr">
        <is>
          <t>TRUNG BÌNH</t>
        </is>
      </c>
      <c r="G1423" s="18" t="inlineStr">
        <is>
          <t>RISK_HIGH</t>
        </is>
      </c>
      <c r="H1423" s="19" t="n">
        <v>262.1092052459717</v>
      </c>
      <c r="I1423" s="19" t="n">
        <v>519.414345741272</v>
      </c>
      <c r="J1423" s="19" t="n">
        <v>876.4745979309082</v>
      </c>
      <c r="K1423" s="19" t="n">
        <v>519.414345741272</v>
      </c>
      <c r="L1423" s="19" t="n">
        <v>742.5770033597946</v>
      </c>
      <c r="M1423" s="19" t="n">
        <v>876.4745979309082</v>
      </c>
      <c r="N1423" s="17" t="inlineStr">
        <is>
          <t>B</t>
        </is>
      </c>
      <c r="O1423" s="19" t="n">
        <v>327.045526766777</v>
      </c>
      <c r="P1423" s="18" t="inlineStr">
        <is>
          <t>CÂN NHẮC THỬ NGHIỆM</t>
        </is>
      </c>
      <c r="Q1423" s="17" t="inlineStr">
        <is>
          <t>Không</t>
        </is>
      </c>
      <c r="R1423" s="20" t="n"/>
      <c r="S1423" s="20" t="n"/>
      <c r="T1423" s="21" t="n"/>
      <c r="U1423" s="21" t="n"/>
      <c r="V1423" s="22">
        <f>IF(U1423="A",K1423,IF(U1423="B",L1423,IF(U1423="C",M1423,IF(N1423="A",K1423,IF(N1423="B",L1423,M1423)))))</f>
        <v/>
      </c>
      <c r="W1423" s="22">
        <f>IF(R1423="",O1423,MAX(V1423-R1423-N(S1423),0))</f>
        <v/>
      </c>
      <c r="X1423" s="20" t="n"/>
      <c r="Y1423" s="23">
        <f>IF(OR(X1423="",W1423=0),"",X1423/W1423-1)</f>
        <v/>
      </c>
      <c r="Z1423" s="24" t="n"/>
      <c r="AA1423" s="21" t="n"/>
      <c r="AB1423" s="25" t="n"/>
      <c r="AC1423" s="26">
        <f>IF(T1423="","Chưa quyết định",IF(OR(Z1423="",AA1423=""),"⚠ Thiếu lý do/người duyệt",IF(AND(X1423&lt;&gt;"",N(X1423)+N(R1423)+N(S1423)&gt;M1423*1.001,R1423&lt;&gt;""),"⚠ Vượt mục tiêu P90",IF(AND(Y1423&lt;&gt;"",ABS(N(Y1423))&gt;0.3),"⚠ Lệch &gt; 30% so với nhu cầu",IF(Q1423="Có","ℹ Kiểm tra ngoại suy KM","✓ Hợp lệ")))))</f>
        <v/>
      </c>
    </row>
    <row r="1424">
      <c r="A1424" s="16" t="n">
        <v>1420</v>
      </c>
      <c r="B1424" s="17" t="inlineStr">
        <is>
          <t>DEC-S26-EGGS</t>
        </is>
      </c>
      <c r="C1424" s="16" t="n">
        <v>26</v>
      </c>
      <c r="D1424" s="17" t="inlineStr">
        <is>
          <t>EGGS</t>
        </is>
      </c>
      <c r="E1424" s="17" t="inlineStr">
        <is>
          <t>HIGH</t>
        </is>
      </c>
      <c r="F1424" s="17" t="inlineStr">
        <is>
          <t>TRUNG BÌNH</t>
        </is>
      </c>
      <c r="G1424" s="18" t="inlineStr">
        <is>
          <t>RISK_HIGH</t>
        </is>
      </c>
      <c r="H1424" s="19" t="n">
        <v>275.5061931610107</v>
      </c>
      <c r="I1424" s="19" t="n">
        <v>519.3444395065308</v>
      </c>
      <c r="J1424" s="19" t="n">
        <v>856.4063339233398</v>
      </c>
      <c r="K1424" s="19" t="n">
        <v>519.3444395065308</v>
      </c>
      <c r="L1424" s="19" t="n">
        <v>730.0081235170364</v>
      </c>
      <c r="M1424" s="19" t="n">
        <v>856.4063339233398</v>
      </c>
      <c r="N1424" s="17" t="inlineStr">
        <is>
          <t>B</t>
        </is>
      </c>
      <c r="O1424" s="19" t="n">
        <v>314.5325719118118</v>
      </c>
      <c r="P1424" s="18" t="inlineStr">
        <is>
          <t>CÂN NHẮC THỬ NGHIỆM</t>
        </is>
      </c>
      <c r="Q1424" s="17" t="inlineStr">
        <is>
          <t>Không</t>
        </is>
      </c>
      <c r="R1424" s="20" t="n"/>
      <c r="S1424" s="20" t="n"/>
      <c r="T1424" s="21" t="n"/>
      <c r="U1424" s="21" t="n"/>
      <c r="V1424" s="22">
        <f>IF(U1424="A",K1424,IF(U1424="B",L1424,IF(U1424="C",M1424,IF(N1424="A",K1424,IF(N1424="B",L1424,M1424)))))</f>
        <v/>
      </c>
      <c r="W1424" s="22">
        <f>IF(R1424="",O1424,MAX(V1424-R1424-N(S1424),0))</f>
        <v/>
      </c>
      <c r="X1424" s="20" t="n"/>
      <c r="Y1424" s="23">
        <f>IF(OR(X1424="",W1424=0),"",X1424/W1424-1)</f>
        <v/>
      </c>
      <c r="Z1424" s="24" t="n"/>
      <c r="AA1424" s="21" t="n"/>
      <c r="AB1424" s="25" t="n"/>
      <c r="AC1424" s="26">
        <f>IF(T1424="","Chưa quyết định",IF(OR(Z1424="",AA1424=""),"⚠ Thiếu lý do/người duyệt",IF(AND(X1424&lt;&gt;"",N(X1424)+N(R1424)+N(S1424)&gt;M1424*1.001,R1424&lt;&gt;""),"⚠ Vượt mục tiêu P90",IF(AND(Y1424&lt;&gt;"",ABS(N(Y1424))&gt;0.3),"⚠ Lệch &gt; 30% so với nhu cầu",IF(Q1424="Có","ℹ Kiểm tra ngoại suy KM","✓ Hợp lệ")))))</f>
        <v/>
      </c>
    </row>
    <row r="1425">
      <c r="A1425" s="16" t="n">
        <v>1421</v>
      </c>
      <c r="B1425" s="17" t="inlineStr">
        <is>
          <t>DEC-S34-HOME_AND_KITCHEN_I</t>
        </is>
      </c>
      <c r="C1425" s="16" t="n">
        <v>34</v>
      </c>
      <c r="D1425" s="17" t="inlineStr">
        <is>
          <t>HOME AND KITCHEN I</t>
        </is>
      </c>
      <c r="E1425" s="17" t="inlineStr">
        <is>
          <t>HIGH</t>
        </is>
      </c>
      <c r="F1425" s="17" t="inlineStr">
        <is>
          <t>TRUNG BÌNH</t>
        </is>
      </c>
      <c r="G1425" s="18" t="inlineStr">
        <is>
          <t>RISK_HIGH</t>
        </is>
      </c>
      <c r="H1425" s="19" t="n">
        <v>247.1286239624024</v>
      </c>
      <c r="I1425" s="19" t="n">
        <v>517.9006586074829</v>
      </c>
      <c r="J1425" s="19" t="n">
        <v>894.9592685699463</v>
      </c>
      <c r="K1425" s="19" t="n">
        <v>517.9006586074829</v>
      </c>
      <c r="L1425" s="19" t="n">
        <v>753.5622898340225</v>
      </c>
      <c r="M1425" s="19" t="n">
        <v>894.9592685699463</v>
      </c>
      <c r="N1425" s="17" t="inlineStr">
        <is>
          <t>B</t>
        </is>
      </c>
      <c r="O1425" s="19" t="n">
        <v>339.2417629480361</v>
      </c>
      <c r="P1425" s="18" t="inlineStr">
        <is>
          <t>CÂN NHẮC THỬ NGHIỆM</t>
        </is>
      </c>
      <c r="Q1425" s="17" t="inlineStr">
        <is>
          <t>Không</t>
        </is>
      </c>
      <c r="R1425" s="20" t="n"/>
      <c r="S1425" s="20" t="n"/>
      <c r="T1425" s="21" t="n"/>
      <c r="U1425" s="21" t="n"/>
      <c r="V1425" s="22">
        <f>IF(U1425="A",K1425,IF(U1425="B",L1425,IF(U1425="C",M1425,IF(N1425="A",K1425,IF(N1425="B",L1425,M1425)))))</f>
        <v/>
      </c>
      <c r="W1425" s="22">
        <f>IF(R1425="",O1425,MAX(V1425-R1425-N(S1425),0))</f>
        <v/>
      </c>
      <c r="X1425" s="20" t="n"/>
      <c r="Y1425" s="23">
        <f>IF(OR(X1425="",W1425=0),"",X1425/W1425-1)</f>
        <v/>
      </c>
      <c r="Z1425" s="24" t="n"/>
      <c r="AA1425" s="21" t="n"/>
      <c r="AB1425" s="25" t="n"/>
      <c r="AC1425" s="26">
        <f>IF(T1425="","Chưa quyết định",IF(OR(Z1425="",AA1425=""),"⚠ Thiếu lý do/người duyệt",IF(AND(X1425&lt;&gt;"",N(X1425)+N(R1425)+N(S1425)&gt;M1425*1.001,R1425&lt;&gt;""),"⚠ Vượt mục tiêu P90",IF(AND(Y1425&lt;&gt;"",ABS(N(Y1425))&gt;0.3),"⚠ Lệch &gt; 30% so với nhu cầu",IF(Q1425="Có","ℹ Kiểm tra ngoại suy KM","✓ Hợp lệ")))))</f>
        <v/>
      </c>
    </row>
    <row r="1426">
      <c r="A1426" s="16" t="n">
        <v>1422</v>
      </c>
      <c r="B1426" s="17" t="inlineStr">
        <is>
          <t>DEC-S42-LAWN_AND_GARDEN</t>
        </is>
      </c>
      <c r="C1426" s="16" t="n">
        <v>42</v>
      </c>
      <c r="D1426" s="17" t="inlineStr">
        <is>
          <t>LAWN AND GARDEN</t>
        </is>
      </c>
      <c r="E1426" s="17" t="inlineStr">
        <is>
          <t>HIGH</t>
        </is>
      </c>
      <c r="F1426" s="17" t="inlineStr">
        <is>
          <t>TRUNG BÌNH</t>
        </is>
      </c>
      <c r="G1426" s="18" t="inlineStr">
        <is>
          <t>RISK_HIGH</t>
        </is>
      </c>
      <c r="H1426" s="19" t="n">
        <v>244.3725299835205</v>
      </c>
      <c r="I1426" s="19" t="n">
        <v>515.1445646286011</v>
      </c>
      <c r="J1426" s="19" t="n">
        <v>892.2031745910645</v>
      </c>
      <c r="K1426" s="19" t="n">
        <v>515.1445646286011</v>
      </c>
      <c r="L1426" s="19" t="n">
        <v>750.8061958551407</v>
      </c>
      <c r="M1426" s="19" t="n">
        <v>892.2031745910645</v>
      </c>
      <c r="N1426" s="17" t="inlineStr">
        <is>
          <t>B</t>
        </is>
      </c>
      <c r="O1426" s="19" t="n">
        <v>338.6905441522598</v>
      </c>
      <c r="P1426" s="18" t="inlineStr">
        <is>
          <t>CÂN NHẮC THỬ NGHIỆM</t>
        </is>
      </c>
      <c r="Q1426" s="17" t="inlineStr">
        <is>
          <t>Không</t>
        </is>
      </c>
      <c r="R1426" s="20" t="n"/>
      <c r="S1426" s="20" t="n"/>
      <c r="T1426" s="21" t="n"/>
      <c r="U1426" s="21" t="n"/>
      <c r="V1426" s="22">
        <f>IF(U1426="A",K1426,IF(U1426="B",L1426,IF(U1426="C",M1426,IF(N1426="A",K1426,IF(N1426="B",L1426,M1426)))))</f>
        <v/>
      </c>
      <c r="W1426" s="22">
        <f>IF(R1426="",O1426,MAX(V1426-R1426-N(S1426),0))</f>
        <v/>
      </c>
      <c r="X1426" s="20" t="n"/>
      <c r="Y1426" s="23">
        <f>IF(OR(X1426="",W1426=0),"",X1426/W1426-1)</f>
        <v/>
      </c>
      <c r="Z1426" s="24" t="n"/>
      <c r="AA1426" s="21" t="n"/>
      <c r="AB1426" s="25" t="n"/>
      <c r="AC1426" s="26">
        <f>IF(T1426="","Chưa quyết định",IF(OR(Z1426="",AA1426=""),"⚠ Thiếu lý do/người duyệt",IF(AND(X1426&lt;&gt;"",N(X1426)+N(R1426)+N(S1426)&gt;M1426*1.001,R1426&lt;&gt;""),"⚠ Vượt mục tiêu P90",IF(AND(Y1426&lt;&gt;"",ABS(N(Y1426))&gt;0.3),"⚠ Lệch &gt; 30% so với nhu cầu",IF(Q1426="Có","ℹ Kiểm tra ngoại suy KM","✓ Hợp lệ")))))</f>
        <v/>
      </c>
    </row>
    <row r="1427">
      <c r="A1427" s="16" t="n">
        <v>1423</v>
      </c>
      <c r="B1427" s="17" t="inlineStr">
        <is>
          <t>DEC-S24-GROCERY_II</t>
        </is>
      </c>
      <c r="C1427" s="16" t="n">
        <v>24</v>
      </c>
      <c r="D1427" s="17" t="inlineStr">
        <is>
          <t>GROCERY II</t>
        </is>
      </c>
      <c r="E1427" s="17" t="inlineStr">
        <is>
          <t>HIGH</t>
        </is>
      </c>
      <c r="F1427" s="17" t="inlineStr">
        <is>
          <t>TRUNG BÌNH</t>
        </is>
      </c>
      <c r="G1427" s="18" t="inlineStr">
        <is>
          <t>RISK_HIGH</t>
        </is>
      </c>
      <c r="H1427" s="19" t="n">
        <v>243.3987064361572</v>
      </c>
      <c r="I1427" s="19" t="n">
        <v>514.1707410812378</v>
      </c>
      <c r="J1427" s="19" t="n">
        <v>891.2293510437012</v>
      </c>
      <c r="K1427" s="19" t="n">
        <v>514.1707410812378</v>
      </c>
      <c r="L1427" s="19" t="n">
        <v>749.8323723077774</v>
      </c>
      <c r="M1427" s="19" t="n">
        <v>891.2293510437012</v>
      </c>
      <c r="N1427" s="17" t="inlineStr">
        <is>
          <t>B</t>
        </is>
      </c>
      <c r="O1427" s="19" t="n">
        <v>338.4957794427871</v>
      </c>
      <c r="P1427" s="18" t="inlineStr">
        <is>
          <t>CÂN NHẮC THỬ NGHIỆM</t>
        </is>
      </c>
      <c r="Q1427" s="17" t="inlineStr">
        <is>
          <t>Không</t>
        </is>
      </c>
      <c r="R1427" s="20" t="n"/>
      <c r="S1427" s="20" t="n"/>
      <c r="T1427" s="21" t="n"/>
      <c r="U1427" s="21" t="n"/>
      <c r="V1427" s="22">
        <f>IF(U1427="A",K1427,IF(U1427="B",L1427,IF(U1427="C",M1427,IF(N1427="A",K1427,IF(N1427="B",L1427,M1427)))))</f>
        <v/>
      </c>
      <c r="W1427" s="22">
        <f>IF(R1427="",O1427,MAX(V1427-R1427-N(S1427),0))</f>
        <v/>
      </c>
      <c r="X1427" s="20" t="n"/>
      <c r="Y1427" s="23">
        <f>IF(OR(X1427="",W1427=0),"",X1427/W1427-1)</f>
        <v/>
      </c>
      <c r="Z1427" s="24" t="n"/>
      <c r="AA1427" s="21" t="n"/>
      <c r="AB1427" s="25" t="n"/>
      <c r="AC1427" s="26">
        <f>IF(T1427="","Chưa quyết định",IF(OR(Z1427="",AA1427=""),"⚠ Thiếu lý do/người duyệt",IF(AND(X1427&lt;&gt;"",N(X1427)+N(R1427)+N(S1427)&gt;M1427*1.001,R1427&lt;&gt;""),"⚠ Vượt mục tiêu P90",IF(AND(Y1427&lt;&gt;"",ABS(N(Y1427))&gt;0.3),"⚠ Lệch &gt; 30% so với nhu cầu",IF(Q1427="Có","ℹ Kiểm tra ngoại suy KM","✓ Hợp lệ")))))</f>
        <v/>
      </c>
    </row>
    <row r="1428">
      <c r="A1428" s="16" t="n">
        <v>1424</v>
      </c>
      <c r="B1428" s="17" t="inlineStr">
        <is>
          <t>DEC-S06-GROCERY_II</t>
        </is>
      </c>
      <c r="C1428" s="16" t="n">
        <v>6</v>
      </c>
      <c r="D1428" s="17" t="inlineStr">
        <is>
          <t>GROCERY II</t>
        </is>
      </c>
      <c r="E1428" s="17" t="inlineStr">
        <is>
          <t>HIGH</t>
        </is>
      </c>
      <c r="F1428" s="17" t="inlineStr">
        <is>
          <t>TRUNG BÌNH</t>
        </is>
      </c>
      <c r="G1428" s="18" t="inlineStr">
        <is>
          <t>RISK_HIGH</t>
        </is>
      </c>
      <c r="H1428" s="19" t="n">
        <v>267.3711261749268</v>
      </c>
      <c r="I1428" s="19" t="n">
        <v>511.2093725204468</v>
      </c>
      <c r="J1428" s="19" t="n">
        <v>848.2712669372559</v>
      </c>
      <c r="K1428" s="19" t="n">
        <v>511.2093725204468</v>
      </c>
      <c r="L1428" s="19" t="n">
        <v>721.8730565309525</v>
      </c>
      <c r="M1428" s="19" t="n">
        <v>848.2712669372559</v>
      </c>
      <c r="N1428" s="17" t="inlineStr">
        <is>
          <t>B</t>
        </is>
      </c>
      <c r="O1428" s="19" t="n">
        <v>312.9055585145949</v>
      </c>
      <c r="P1428" s="18" t="inlineStr">
        <is>
          <t>CÂN NHẮC THỬ NGHIỆM</t>
        </is>
      </c>
      <c r="Q1428" s="17" t="inlineStr">
        <is>
          <t>Không</t>
        </is>
      </c>
      <c r="R1428" s="20" t="n"/>
      <c r="S1428" s="20" t="n"/>
      <c r="T1428" s="21" t="n"/>
      <c r="U1428" s="21" t="n"/>
      <c r="V1428" s="22">
        <f>IF(U1428="A",K1428,IF(U1428="B",L1428,IF(U1428="C",M1428,IF(N1428="A",K1428,IF(N1428="B",L1428,M1428)))))</f>
        <v/>
      </c>
      <c r="W1428" s="22">
        <f>IF(R1428="",O1428,MAX(V1428-R1428-N(S1428),0))</f>
        <v/>
      </c>
      <c r="X1428" s="20" t="n"/>
      <c r="Y1428" s="23">
        <f>IF(OR(X1428="",W1428=0),"",X1428/W1428-1)</f>
        <v/>
      </c>
      <c r="Z1428" s="24" t="n"/>
      <c r="AA1428" s="21" t="n"/>
      <c r="AB1428" s="25" t="n"/>
      <c r="AC1428" s="26">
        <f>IF(T1428="","Chưa quyết định",IF(OR(Z1428="",AA1428=""),"⚠ Thiếu lý do/người duyệt",IF(AND(X1428&lt;&gt;"",N(X1428)+N(R1428)+N(S1428)&gt;M1428*1.001,R1428&lt;&gt;""),"⚠ Vượt mục tiêu P90",IF(AND(Y1428&lt;&gt;"",ABS(N(Y1428))&gt;0.3),"⚠ Lệch &gt; 30% so với nhu cầu",IF(Q1428="Có","ℹ Kiểm tra ngoại suy KM","✓ Hợp lệ")))))</f>
        <v/>
      </c>
    </row>
    <row r="1429">
      <c r="A1429" s="16" t="n">
        <v>1425</v>
      </c>
      <c r="B1429" s="17" t="inlineStr">
        <is>
          <t>DEC-S08-LAWN_AND_GARDEN</t>
        </is>
      </c>
      <c r="C1429" s="16" t="n">
        <v>8</v>
      </c>
      <c r="D1429" s="17" t="inlineStr">
        <is>
          <t>LAWN AND GARDEN</t>
        </is>
      </c>
      <c r="E1429" s="17" t="inlineStr">
        <is>
          <t>HIGH</t>
        </is>
      </c>
      <c r="F1429" s="17" t="inlineStr">
        <is>
          <t>TRUNG BÌNH</t>
        </is>
      </c>
      <c r="G1429" s="18" t="inlineStr">
        <is>
          <t>RISK_HIGH</t>
        </is>
      </c>
      <c r="H1429" s="19" t="n">
        <v>253.0971298217773</v>
      </c>
      <c r="I1429" s="19" t="n">
        <v>510.4022703170776</v>
      </c>
      <c r="J1429" s="19" t="n">
        <v>867.4625225067139</v>
      </c>
      <c r="K1429" s="19" t="n">
        <v>510.4022703170776</v>
      </c>
      <c r="L1429" s="19" t="n">
        <v>733.5649279356003</v>
      </c>
      <c r="M1429" s="19" t="n">
        <v>867.4625225067139</v>
      </c>
      <c r="N1429" s="17" t="inlineStr">
        <is>
          <t>B</t>
        </is>
      </c>
      <c r="O1429" s="19" t="n">
        <v>325.2431116819382</v>
      </c>
      <c r="P1429" s="18" t="inlineStr">
        <is>
          <t>CÂN NHẮC THỬ NGHIỆM</t>
        </is>
      </c>
      <c r="Q1429" s="17" t="inlineStr">
        <is>
          <t>Không</t>
        </is>
      </c>
      <c r="R1429" s="20" t="n"/>
      <c r="S1429" s="20" t="n"/>
      <c r="T1429" s="21" t="n"/>
      <c r="U1429" s="21" t="n"/>
      <c r="V1429" s="22">
        <f>IF(U1429="A",K1429,IF(U1429="B",L1429,IF(U1429="C",M1429,IF(N1429="A",K1429,IF(N1429="B",L1429,M1429)))))</f>
        <v/>
      </c>
      <c r="W1429" s="22">
        <f>IF(R1429="",O1429,MAX(V1429-R1429-N(S1429),0))</f>
        <v/>
      </c>
      <c r="X1429" s="20" t="n"/>
      <c r="Y1429" s="23">
        <f>IF(OR(X1429="",W1429=0),"",X1429/W1429-1)</f>
        <v/>
      </c>
      <c r="Z1429" s="24" t="n"/>
      <c r="AA1429" s="21" t="n"/>
      <c r="AB1429" s="25" t="n"/>
      <c r="AC1429" s="26">
        <f>IF(T1429="","Chưa quyết định",IF(OR(Z1429="",AA1429=""),"⚠ Thiếu lý do/người duyệt",IF(AND(X1429&lt;&gt;"",N(X1429)+N(R1429)+N(S1429)&gt;M1429*1.001,R1429&lt;&gt;""),"⚠ Vượt mục tiêu P90",IF(AND(Y1429&lt;&gt;"",ABS(N(Y1429))&gt;0.3),"⚠ Lệch &gt; 30% so với nhu cầu",IF(Q1429="Có","ℹ Kiểm tra ngoại suy KM","✓ Hợp lệ")))))</f>
        <v/>
      </c>
    </row>
    <row r="1430">
      <c r="A1430" s="16" t="n">
        <v>1426</v>
      </c>
      <c r="B1430" s="17" t="inlineStr">
        <is>
          <t>DEC-S34-PREPARED_FOODS</t>
        </is>
      </c>
      <c r="C1430" s="16" t="n">
        <v>34</v>
      </c>
      <c r="D1430" s="17" t="inlineStr">
        <is>
          <t>PREPARED FOODS</t>
        </is>
      </c>
      <c r="E1430" s="17" t="inlineStr">
        <is>
          <t>HIGH</t>
        </is>
      </c>
      <c r="F1430" s="17" t="inlineStr">
        <is>
          <t>TRUNG BÌNH</t>
        </is>
      </c>
      <c r="G1430" s="18" t="inlineStr">
        <is>
          <t>RISK_HIGH</t>
        </is>
      </c>
      <c r="H1430" s="19" t="n">
        <v>245.5340938568115</v>
      </c>
      <c r="I1430" s="19" t="n">
        <v>509.572681427002</v>
      </c>
      <c r="J1430" s="19" t="n">
        <v>876.6321125030518</v>
      </c>
      <c r="K1430" s="19" t="n">
        <v>509.572681427002</v>
      </c>
      <c r="L1430" s="19" t="n">
        <v>738.9848258495331</v>
      </c>
      <c r="M1430" s="19" t="n">
        <v>876.6321125030518</v>
      </c>
      <c r="N1430" s="17" t="inlineStr">
        <is>
          <t>B</t>
        </is>
      </c>
      <c r="O1430" s="19" t="n">
        <v>331.3266807079315</v>
      </c>
      <c r="P1430" s="18" t="inlineStr">
        <is>
          <t>CÂN NHẮC THỬ NGHIỆM</t>
        </is>
      </c>
      <c r="Q1430" s="17" t="inlineStr">
        <is>
          <t>Không</t>
        </is>
      </c>
      <c r="R1430" s="20" t="n"/>
      <c r="S1430" s="20" t="n"/>
      <c r="T1430" s="21" t="n"/>
      <c r="U1430" s="21" t="n"/>
      <c r="V1430" s="22">
        <f>IF(U1430="A",K1430,IF(U1430="B",L1430,IF(U1430="C",M1430,IF(N1430="A",K1430,IF(N1430="B",L1430,M1430)))))</f>
        <v/>
      </c>
      <c r="W1430" s="22">
        <f>IF(R1430="",O1430,MAX(V1430-R1430-N(S1430),0))</f>
        <v/>
      </c>
      <c r="X1430" s="20" t="n"/>
      <c r="Y1430" s="23">
        <f>IF(OR(X1430="",W1430=0),"",X1430/W1430-1)</f>
        <v/>
      </c>
      <c r="Z1430" s="24" t="n"/>
      <c r="AA1430" s="21" t="n"/>
      <c r="AB1430" s="25" t="n"/>
      <c r="AC1430" s="26">
        <f>IF(T1430="","Chưa quyết định",IF(OR(Z1430="",AA1430=""),"⚠ Thiếu lý do/người duyệt",IF(AND(X1430&lt;&gt;"",N(X1430)+N(R1430)+N(S1430)&gt;M1430*1.001,R1430&lt;&gt;""),"⚠ Vượt mục tiêu P90",IF(AND(Y1430&lt;&gt;"",ABS(N(Y1430))&gt;0.3),"⚠ Lệch &gt; 30% so với nhu cầu",IF(Q1430="Có","ℹ Kiểm tra ngoại suy KM","✓ Hợp lệ")))))</f>
        <v/>
      </c>
    </row>
    <row r="1431">
      <c r="A1431" s="16" t="n">
        <v>1427</v>
      </c>
      <c r="B1431" s="17" t="inlineStr">
        <is>
          <t>DEC-S49-LAWN_AND_GARDEN</t>
        </is>
      </c>
      <c r="C1431" s="16" t="n">
        <v>49</v>
      </c>
      <c r="D1431" s="17" t="inlineStr">
        <is>
          <t>LAWN AND GARDEN</t>
        </is>
      </c>
      <c r="E1431" s="17" t="inlineStr">
        <is>
          <t>HIGH</t>
        </is>
      </c>
      <c r="F1431" s="17" t="inlineStr">
        <is>
          <t>TRUNG BÌNH</t>
        </is>
      </c>
      <c r="G1431" s="18" t="inlineStr">
        <is>
          <t>RISK_HIGH</t>
        </is>
      </c>
      <c r="H1431" s="19" t="n">
        <v>251.0281410217285</v>
      </c>
      <c r="I1431" s="19" t="n">
        <v>508.3332815170288</v>
      </c>
      <c r="J1431" s="19" t="n">
        <v>865.393533706665</v>
      </c>
      <c r="K1431" s="19" t="n">
        <v>508.3332815170288</v>
      </c>
      <c r="L1431" s="19" t="n">
        <v>731.4959391355515</v>
      </c>
      <c r="M1431" s="19" t="n">
        <v>865.393533706665</v>
      </c>
      <c r="N1431" s="17" t="inlineStr">
        <is>
          <t>B</t>
        </is>
      </c>
      <c r="O1431" s="19" t="n">
        <v>324.8293139219284</v>
      </c>
      <c r="P1431" s="18" t="inlineStr">
        <is>
          <t>CÂN NHẮC THỬ NGHIỆM</t>
        </is>
      </c>
      <c r="Q1431" s="17" t="inlineStr">
        <is>
          <t>Không</t>
        </is>
      </c>
      <c r="R1431" s="20" t="n"/>
      <c r="S1431" s="20" t="n"/>
      <c r="T1431" s="21" t="n"/>
      <c r="U1431" s="21" t="n"/>
      <c r="V1431" s="22">
        <f>IF(U1431="A",K1431,IF(U1431="B",L1431,IF(U1431="C",M1431,IF(N1431="A",K1431,IF(N1431="B",L1431,M1431)))))</f>
        <v/>
      </c>
      <c r="W1431" s="22">
        <f>IF(R1431="",O1431,MAX(V1431-R1431-N(S1431),0))</f>
        <v/>
      </c>
      <c r="X1431" s="20" t="n"/>
      <c r="Y1431" s="23">
        <f>IF(OR(X1431="",W1431=0),"",X1431/W1431-1)</f>
        <v/>
      </c>
      <c r="Z1431" s="24" t="n"/>
      <c r="AA1431" s="21" t="n"/>
      <c r="AB1431" s="25" t="n"/>
      <c r="AC1431" s="26">
        <f>IF(T1431="","Chưa quyết định",IF(OR(Z1431="",AA1431=""),"⚠ Thiếu lý do/người duyệt",IF(AND(X1431&lt;&gt;"",N(X1431)+N(R1431)+N(S1431)&gt;M1431*1.001,R1431&lt;&gt;""),"⚠ Vượt mục tiêu P90",IF(AND(Y1431&lt;&gt;"",ABS(N(Y1431))&gt;0.3),"⚠ Lệch &gt; 30% so với nhu cầu",IF(Q1431="Có","ℹ Kiểm tra ngoại suy KM","✓ Hợp lệ")))))</f>
        <v/>
      </c>
    </row>
    <row r="1432">
      <c r="A1432" s="16" t="n">
        <v>1428</v>
      </c>
      <c r="B1432" s="17" t="inlineStr">
        <is>
          <t>DEC-S08-GROCERY_II</t>
        </is>
      </c>
      <c r="C1432" s="16" t="n">
        <v>8</v>
      </c>
      <c r="D1432" s="17" t="inlineStr">
        <is>
          <t>GROCERY II</t>
        </is>
      </c>
      <c r="E1432" s="17" t="inlineStr">
        <is>
          <t>HIGH</t>
        </is>
      </c>
      <c r="F1432" s="17" t="inlineStr">
        <is>
          <t>TRUNG BÌNH</t>
        </is>
      </c>
      <c r="G1432" s="18" t="inlineStr">
        <is>
          <t>RISK_HIGH</t>
        </is>
      </c>
      <c r="H1432" s="19" t="n">
        <v>256.4628086090088</v>
      </c>
      <c r="I1432" s="19" t="n">
        <v>507.0345020294189</v>
      </c>
      <c r="J1432" s="19" t="n">
        <v>854.0955753326416</v>
      </c>
      <c r="K1432" s="19" t="n">
        <v>507.0345020294189</v>
      </c>
      <c r="L1432" s="19" t="n">
        <v>723.9476728439331</v>
      </c>
      <c r="M1432" s="19" t="n">
        <v>854.0955753326416</v>
      </c>
      <c r="N1432" s="17" t="inlineStr">
        <is>
          <t>B</t>
        </is>
      </c>
      <c r="O1432" s="19" t="n">
        <v>318.3200712203979</v>
      </c>
      <c r="P1432" s="18" t="inlineStr">
        <is>
          <t>CÂN NHẮC THỬ NGHIỆM</t>
        </is>
      </c>
      <c r="Q1432" s="17" t="inlineStr">
        <is>
          <t>Không</t>
        </is>
      </c>
      <c r="R1432" s="20" t="n"/>
      <c r="S1432" s="20" t="n"/>
      <c r="T1432" s="21" t="n"/>
      <c r="U1432" s="21" t="n"/>
      <c r="V1432" s="22">
        <f>IF(U1432="A",K1432,IF(U1432="B",L1432,IF(U1432="C",M1432,IF(N1432="A",K1432,IF(N1432="B",L1432,M1432)))))</f>
        <v/>
      </c>
      <c r="W1432" s="22">
        <f>IF(R1432="",O1432,MAX(V1432-R1432-N(S1432),0))</f>
        <v/>
      </c>
      <c r="X1432" s="20" t="n"/>
      <c r="Y1432" s="23">
        <f>IF(OR(X1432="",W1432=0),"",X1432/W1432-1)</f>
        <v/>
      </c>
      <c r="Z1432" s="24" t="n"/>
      <c r="AA1432" s="21" t="n"/>
      <c r="AB1432" s="25" t="n"/>
      <c r="AC1432" s="26">
        <f>IF(T1432="","Chưa quyết định",IF(OR(Z1432="",AA1432=""),"⚠ Thiếu lý do/người duyệt",IF(AND(X1432&lt;&gt;"",N(X1432)+N(R1432)+N(S1432)&gt;M1432*1.001,R1432&lt;&gt;""),"⚠ Vượt mục tiêu P90",IF(AND(Y1432&lt;&gt;"",ABS(N(Y1432))&gt;0.3),"⚠ Lệch &gt; 30% so với nhu cầu",IF(Q1432="Có","ℹ Kiểm tra ngoại suy KM","✓ Hợp lệ")))))</f>
        <v/>
      </c>
    </row>
    <row r="1433">
      <c r="A1433" s="16" t="n">
        <v>1429</v>
      </c>
      <c r="B1433" s="17" t="inlineStr">
        <is>
          <t>DEC-S18-HOME_AND_KITCHEN_I</t>
        </is>
      </c>
      <c r="C1433" s="16" t="n">
        <v>18</v>
      </c>
      <c r="D1433" s="17" t="inlineStr">
        <is>
          <t>HOME AND KITCHEN I</t>
        </is>
      </c>
      <c r="E1433" s="17" t="inlineStr">
        <is>
          <t>HIGH</t>
        </is>
      </c>
      <c r="F1433" s="17" t="inlineStr">
        <is>
          <t>TRUNG BÌNH</t>
        </is>
      </c>
      <c r="G1433" s="18" t="inlineStr">
        <is>
          <t>RISK_HIGH</t>
        </is>
      </c>
      <c r="H1433" s="19" t="n">
        <v>260.8075008392334</v>
      </c>
      <c r="I1433" s="19" t="n">
        <v>504.6457471847534</v>
      </c>
      <c r="J1433" s="19" t="n">
        <v>841.7076416015625</v>
      </c>
      <c r="K1433" s="19" t="n">
        <v>504.6457471847534</v>
      </c>
      <c r="L1433" s="19" t="n">
        <v>715.3094311952591</v>
      </c>
      <c r="M1433" s="19" t="n">
        <v>841.7076416015625</v>
      </c>
      <c r="N1433" s="17" t="inlineStr">
        <is>
          <t>B</t>
        </is>
      </c>
      <c r="O1433" s="19" t="n">
        <v>311.5928334474563</v>
      </c>
      <c r="P1433" s="18" t="inlineStr">
        <is>
          <t>CÂN NHẮC THỬ NGHIỆM</t>
        </is>
      </c>
      <c r="Q1433" s="17" t="inlineStr">
        <is>
          <t>Không</t>
        </is>
      </c>
      <c r="R1433" s="20" t="n"/>
      <c r="S1433" s="20" t="n"/>
      <c r="T1433" s="21" t="n"/>
      <c r="U1433" s="21" t="n"/>
      <c r="V1433" s="22">
        <f>IF(U1433="A",K1433,IF(U1433="B",L1433,IF(U1433="C",M1433,IF(N1433="A",K1433,IF(N1433="B",L1433,M1433)))))</f>
        <v/>
      </c>
      <c r="W1433" s="22">
        <f>IF(R1433="",O1433,MAX(V1433-R1433-N(S1433),0))</f>
        <v/>
      </c>
      <c r="X1433" s="20" t="n"/>
      <c r="Y1433" s="23">
        <f>IF(OR(X1433="",W1433=0),"",X1433/W1433-1)</f>
        <v/>
      </c>
      <c r="Z1433" s="24" t="n"/>
      <c r="AA1433" s="21" t="n"/>
      <c r="AB1433" s="25" t="n"/>
      <c r="AC1433" s="26">
        <f>IF(T1433="","Chưa quyết định",IF(OR(Z1433="",AA1433=""),"⚠ Thiếu lý do/người duyệt",IF(AND(X1433&lt;&gt;"",N(X1433)+N(R1433)+N(S1433)&gt;M1433*1.001,R1433&lt;&gt;""),"⚠ Vượt mục tiêu P90",IF(AND(Y1433&lt;&gt;"",ABS(N(Y1433))&gt;0.3),"⚠ Lệch &gt; 30% so với nhu cầu",IF(Q1433="Có","ℹ Kiểm tra ngoại suy KM","✓ Hợp lệ")))))</f>
        <v/>
      </c>
    </row>
    <row r="1434">
      <c r="A1434" s="16" t="n">
        <v>1430</v>
      </c>
      <c r="B1434" s="17" t="inlineStr">
        <is>
          <t>DEC-S31-LIQUOR_WINE_BEER</t>
        </is>
      </c>
      <c r="C1434" s="16" t="n">
        <v>31</v>
      </c>
      <c r="D1434" s="17" t="inlineStr">
        <is>
          <t>LIQUOR,WINE,BEER</t>
        </is>
      </c>
      <c r="E1434" s="17" t="inlineStr">
        <is>
          <t>HIGH</t>
        </is>
      </c>
      <c r="F1434" s="17" t="inlineStr">
        <is>
          <t>TRUNG BÌNH</t>
        </is>
      </c>
      <c r="G1434" s="18" t="inlineStr">
        <is>
          <t>RISK_HIGH</t>
        </is>
      </c>
      <c r="H1434" s="19" t="n">
        <v>251.6033630371093</v>
      </c>
      <c r="I1434" s="19" t="n">
        <v>495.4416093826294</v>
      </c>
      <c r="J1434" s="19" t="n">
        <v>832.5035037994385</v>
      </c>
      <c r="K1434" s="19" t="n">
        <v>495.4416093826294</v>
      </c>
      <c r="L1434" s="19" t="n">
        <v>706.1052933931351</v>
      </c>
      <c r="M1434" s="19" t="n">
        <v>832.5035037994385</v>
      </c>
      <c r="N1434" s="17" t="inlineStr">
        <is>
          <t>B</t>
        </is>
      </c>
      <c r="O1434" s="19" t="n">
        <v>309.7520058870315</v>
      </c>
      <c r="P1434" s="18" t="inlineStr">
        <is>
          <t>CÂN NHẮC THỬ NGHIỆM</t>
        </is>
      </c>
      <c r="Q1434" s="17" t="inlineStr">
        <is>
          <t>Không</t>
        </is>
      </c>
      <c r="R1434" s="20" t="n"/>
      <c r="S1434" s="20" t="n"/>
      <c r="T1434" s="21" t="n"/>
      <c r="U1434" s="21" t="n"/>
      <c r="V1434" s="22">
        <f>IF(U1434="A",K1434,IF(U1434="B",L1434,IF(U1434="C",M1434,IF(N1434="A",K1434,IF(N1434="B",L1434,M1434)))))</f>
        <v/>
      </c>
      <c r="W1434" s="22">
        <f>IF(R1434="",O1434,MAX(V1434-R1434-N(S1434),0))</f>
        <v/>
      </c>
      <c r="X1434" s="20" t="n"/>
      <c r="Y1434" s="23">
        <f>IF(OR(X1434="",W1434=0),"",X1434/W1434-1)</f>
        <v/>
      </c>
      <c r="Z1434" s="24" t="n"/>
      <c r="AA1434" s="21" t="n"/>
      <c r="AB1434" s="25" t="n"/>
      <c r="AC1434" s="26">
        <f>IF(T1434="","Chưa quyết định",IF(OR(Z1434="",AA1434=""),"⚠ Thiếu lý do/người duyệt",IF(AND(X1434&lt;&gt;"",N(X1434)+N(R1434)+N(S1434)&gt;M1434*1.001,R1434&lt;&gt;""),"⚠ Vượt mục tiêu P90",IF(AND(Y1434&lt;&gt;"",ABS(N(Y1434))&gt;0.3),"⚠ Lệch &gt; 30% so với nhu cầu",IF(Q1434="Có","ℹ Kiểm tra ngoại suy KM","✓ Hợp lệ")))))</f>
        <v/>
      </c>
    </row>
    <row r="1435">
      <c r="A1435" s="16" t="n">
        <v>1431</v>
      </c>
      <c r="B1435" s="17" t="inlineStr">
        <is>
          <t>DEC-S11-GROCERY_II</t>
        </is>
      </c>
      <c r="C1435" s="16" t="n">
        <v>11</v>
      </c>
      <c r="D1435" s="17" t="inlineStr">
        <is>
          <t>GROCERY II</t>
        </is>
      </c>
      <c r="E1435" s="17" t="inlineStr">
        <is>
          <t>HIGH</t>
        </is>
      </c>
      <c r="F1435" s="17" t="inlineStr">
        <is>
          <t>TRUNG BÌNH</t>
        </is>
      </c>
      <c r="G1435" s="18" t="inlineStr">
        <is>
          <t>RISK_HIGH</t>
        </is>
      </c>
      <c r="H1435" s="19" t="n">
        <v>250.4533271789551</v>
      </c>
      <c r="I1435" s="19" t="n">
        <v>494.2915735244751</v>
      </c>
      <c r="J1435" s="19" t="n">
        <v>831.3534679412842</v>
      </c>
      <c r="K1435" s="19" t="n">
        <v>494.2915735244751</v>
      </c>
      <c r="L1435" s="19" t="n">
        <v>704.9552575349808</v>
      </c>
      <c r="M1435" s="19" t="n">
        <v>831.3534679412842</v>
      </c>
      <c r="N1435" s="17" t="inlineStr">
        <is>
          <t>B</t>
        </is>
      </c>
      <c r="O1435" s="19" t="n">
        <v>309.5219987154007</v>
      </c>
      <c r="P1435" s="18" t="inlineStr">
        <is>
          <t>CÂN NHẮC THỬ NGHIỆM</t>
        </is>
      </c>
      <c r="Q1435" s="17" t="inlineStr">
        <is>
          <t>Không</t>
        </is>
      </c>
      <c r="R1435" s="20" t="n"/>
      <c r="S1435" s="20" t="n"/>
      <c r="T1435" s="21" t="n"/>
      <c r="U1435" s="21" t="n"/>
      <c r="V1435" s="22">
        <f>IF(U1435="A",K1435,IF(U1435="B",L1435,IF(U1435="C",M1435,IF(N1435="A",K1435,IF(N1435="B",L1435,M1435)))))</f>
        <v/>
      </c>
      <c r="W1435" s="22">
        <f>IF(R1435="",O1435,MAX(V1435-R1435-N(S1435),0))</f>
        <v/>
      </c>
      <c r="X1435" s="20" t="n"/>
      <c r="Y1435" s="23">
        <f>IF(OR(X1435="",W1435=0),"",X1435/W1435-1)</f>
        <v/>
      </c>
      <c r="Z1435" s="24" t="n"/>
      <c r="AA1435" s="21" t="n"/>
      <c r="AB1435" s="25" t="n"/>
      <c r="AC1435" s="26">
        <f>IF(T1435="","Chưa quyết định",IF(OR(Z1435="",AA1435=""),"⚠ Thiếu lý do/người duyệt",IF(AND(X1435&lt;&gt;"",N(X1435)+N(R1435)+N(S1435)&gt;M1435*1.001,R1435&lt;&gt;""),"⚠ Vượt mục tiêu P90",IF(AND(Y1435&lt;&gt;"",ABS(N(Y1435))&gt;0.3),"⚠ Lệch &gt; 30% so với nhu cầu",IF(Q1435="Có","ℹ Kiểm tra ngoại suy KM","✓ Hợp lệ")))))</f>
        <v/>
      </c>
    </row>
    <row r="1436">
      <c r="A1436" s="16" t="n">
        <v>1432</v>
      </c>
      <c r="B1436" s="17" t="inlineStr">
        <is>
          <t>DEC-S34-HOME_AND_KITCHEN_II</t>
        </is>
      </c>
      <c r="C1436" s="16" t="n">
        <v>34</v>
      </c>
      <c r="D1436" s="17" t="inlineStr">
        <is>
          <t>HOME AND KITCHEN II</t>
        </is>
      </c>
      <c r="E1436" s="17" t="inlineStr">
        <is>
          <t>HIGH</t>
        </is>
      </c>
      <c r="F1436" s="17" t="inlineStr">
        <is>
          <t>TRUNG BÌNH</t>
        </is>
      </c>
      <c r="G1436" s="18" t="inlineStr">
        <is>
          <t>RISK_HIGH</t>
        </is>
      </c>
      <c r="H1436" s="19" t="n">
        <v>231.7517223358154</v>
      </c>
      <c r="I1436" s="19" t="n">
        <v>489.0568628311157</v>
      </c>
      <c r="J1436" s="19" t="n">
        <v>846.117115020752</v>
      </c>
      <c r="K1436" s="19" t="n">
        <v>489.0568628311157</v>
      </c>
      <c r="L1436" s="19" t="n">
        <v>712.2195204496384</v>
      </c>
      <c r="M1436" s="19" t="n">
        <v>846.117115020752</v>
      </c>
      <c r="N1436" s="17" t="inlineStr">
        <is>
          <t>B</t>
        </is>
      </c>
      <c r="O1436" s="19" t="n">
        <v>320.9740301847457</v>
      </c>
      <c r="P1436" s="18" t="inlineStr">
        <is>
          <t>CÂN NHẮC THỬ NGHIỆM</t>
        </is>
      </c>
      <c r="Q1436" s="17" t="inlineStr">
        <is>
          <t>Không</t>
        </is>
      </c>
      <c r="R1436" s="20" t="n"/>
      <c r="S1436" s="20" t="n"/>
      <c r="T1436" s="21" t="n"/>
      <c r="U1436" s="21" t="n"/>
      <c r="V1436" s="22">
        <f>IF(U1436="A",K1436,IF(U1436="B",L1436,IF(U1436="C",M1436,IF(N1436="A",K1436,IF(N1436="B",L1436,M1436)))))</f>
        <v/>
      </c>
      <c r="W1436" s="22">
        <f>IF(R1436="",O1436,MAX(V1436-R1436-N(S1436),0))</f>
        <v/>
      </c>
      <c r="X1436" s="20" t="n"/>
      <c r="Y1436" s="23">
        <f>IF(OR(X1436="",W1436=0),"",X1436/W1436-1)</f>
        <v/>
      </c>
      <c r="Z1436" s="24" t="n"/>
      <c r="AA1436" s="21" t="n"/>
      <c r="AB1436" s="25" t="n"/>
      <c r="AC1436" s="26">
        <f>IF(T1436="","Chưa quyết định",IF(OR(Z1436="",AA1436=""),"⚠ Thiếu lý do/người duyệt",IF(AND(X1436&lt;&gt;"",N(X1436)+N(R1436)+N(S1436)&gt;M1436*1.001,R1436&lt;&gt;""),"⚠ Vượt mục tiêu P90",IF(AND(Y1436&lt;&gt;"",ABS(N(Y1436))&gt;0.3),"⚠ Lệch &gt; 30% so với nhu cầu",IF(Q1436="Có","ℹ Kiểm tra ngoại suy KM","✓ Hợp lệ")))))</f>
        <v/>
      </c>
    </row>
    <row r="1437">
      <c r="A1437" s="16" t="n">
        <v>1433</v>
      </c>
      <c r="B1437" s="17" t="inlineStr">
        <is>
          <t>DEC-S37-HOME_AND_KITCHEN_I</t>
        </is>
      </c>
      <c r="C1437" s="16" t="n">
        <v>37</v>
      </c>
      <c r="D1437" s="17" t="inlineStr">
        <is>
          <t>HOME AND KITCHEN I</t>
        </is>
      </c>
      <c r="E1437" s="17" t="inlineStr">
        <is>
          <t>HIGH</t>
        </is>
      </c>
      <c r="F1437" s="17" t="inlineStr">
        <is>
          <t>TRUNG BÌNH</t>
        </is>
      </c>
      <c r="G1437" s="18" t="inlineStr">
        <is>
          <t>RISK_HIGH</t>
        </is>
      </c>
      <c r="H1437" s="19" t="n">
        <v>216.3826007843018</v>
      </c>
      <c r="I1437" s="19" t="n">
        <v>487.1546354293823</v>
      </c>
      <c r="J1437" s="19" t="n">
        <v>864.2132453918457</v>
      </c>
      <c r="K1437" s="19" t="n">
        <v>487.1546354293823</v>
      </c>
      <c r="L1437" s="19" t="n">
        <v>722.8162666559219</v>
      </c>
      <c r="M1437" s="19" t="n">
        <v>864.2132453918457</v>
      </c>
      <c r="N1437" s="17" t="inlineStr">
        <is>
          <t>B</t>
        </is>
      </c>
      <c r="O1437" s="19" t="n">
        <v>333.092558312416</v>
      </c>
      <c r="P1437" s="18" t="inlineStr">
        <is>
          <t>CÂN NHẮC THỬ NGHIỆM</t>
        </is>
      </c>
      <c r="Q1437" s="17" t="inlineStr">
        <is>
          <t>Không</t>
        </is>
      </c>
      <c r="R1437" s="20" t="n"/>
      <c r="S1437" s="20" t="n"/>
      <c r="T1437" s="21" t="n"/>
      <c r="U1437" s="21" t="n"/>
      <c r="V1437" s="22">
        <f>IF(U1437="A",K1437,IF(U1437="B",L1437,IF(U1437="C",M1437,IF(N1437="A",K1437,IF(N1437="B",L1437,M1437)))))</f>
        <v/>
      </c>
      <c r="W1437" s="22">
        <f>IF(R1437="",O1437,MAX(V1437-R1437-N(S1437),0))</f>
        <v/>
      </c>
      <c r="X1437" s="20" t="n"/>
      <c r="Y1437" s="23">
        <f>IF(OR(X1437="",W1437=0),"",X1437/W1437-1)</f>
        <v/>
      </c>
      <c r="Z1437" s="24" t="n"/>
      <c r="AA1437" s="21" t="n"/>
      <c r="AB1437" s="25" t="n"/>
      <c r="AC1437" s="26">
        <f>IF(T1437="","Chưa quyết định",IF(OR(Z1437="",AA1437=""),"⚠ Thiếu lý do/người duyệt",IF(AND(X1437&lt;&gt;"",N(X1437)+N(R1437)+N(S1437)&gt;M1437*1.001,R1437&lt;&gt;""),"⚠ Vượt mục tiêu P90",IF(AND(Y1437&lt;&gt;"",ABS(N(Y1437))&gt;0.3),"⚠ Lệch &gt; 30% so với nhu cầu",IF(Q1437="Có","ℹ Kiểm tra ngoại suy KM","✓ Hợp lệ")))))</f>
        <v/>
      </c>
    </row>
    <row r="1438">
      <c r="A1438" s="16" t="n">
        <v>1434</v>
      </c>
      <c r="B1438" s="17" t="inlineStr">
        <is>
          <t>DEC-S46-HOME_AND_KITCHEN_II</t>
        </is>
      </c>
      <c r="C1438" s="16" t="n">
        <v>46</v>
      </c>
      <c r="D1438" s="17" t="inlineStr">
        <is>
          <t>HOME AND KITCHEN II</t>
        </is>
      </c>
      <c r="E1438" s="17" t="inlineStr">
        <is>
          <t>HIGH</t>
        </is>
      </c>
      <c r="F1438" s="17" t="inlineStr">
        <is>
          <t>TRUNG BÌNH</t>
        </is>
      </c>
      <c r="G1438" s="18" t="inlineStr">
        <is>
          <t>RISK_HIGH</t>
        </is>
      </c>
      <c r="H1438" s="19" t="n">
        <v>254.9325847625732</v>
      </c>
      <c r="I1438" s="19" t="n">
        <v>485.303936958313</v>
      </c>
      <c r="J1438" s="19" t="n">
        <v>802.3674736022949</v>
      </c>
      <c r="K1438" s="19" t="n">
        <v>485.303936958313</v>
      </c>
      <c r="L1438" s="19" t="n">
        <v>683.4686473608017</v>
      </c>
      <c r="M1438" s="19" t="n">
        <v>802.3674736022949</v>
      </c>
      <c r="N1438" s="17" t="inlineStr">
        <is>
          <t>B</t>
        </is>
      </c>
      <c r="O1438" s="19" t="n">
        <v>295.2254977941513</v>
      </c>
      <c r="P1438" s="18" t="inlineStr">
        <is>
          <t>CÂN NHẮC THỬ NGHIỆM</t>
        </is>
      </c>
      <c r="Q1438" s="17" t="inlineStr">
        <is>
          <t>Không</t>
        </is>
      </c>
      <c r="R1438" s="20" t="n"/>
      <c r="S1438" s="20" t="n"/>
      <c r="T1438" s="21" t="n"/>
      <c r="U1438" s="21" t="n"/>
      <c r="V1438" s="22">
        <f>IF(U1438="A",K1438,IF(U1438="B",L1438,IF(U1438="C",M1438,IF(N1438="A",K1438,IF(N1438="B",L1438,M1438)))))</f>
        <v/>
      </c>
      <c r="W1438" s="22">
        <f>IF(R1438="",O1438,MAX(V1438-R1438-N(S1438),0))</f>
        <v/>
      </c>
      <c r="X1438" s="20" t="n"/>
      <c r="Y1438" s="23">
        <f>IF(OR(X1438="",W1438=0),"",X1438/W1438-1)</f>
        <v/>
      </c>
      <c r="Z1438" s="24" t="n"/>
      <c r="AA1438" s="21" t="n"/>
      <c r="AB1438" s="25" t="n"/>
      <c r="AC1438" s="26">
        <f>IF(T1438="","Chưa quyết định",IF(OR(Z1438="",AA1438=""),"⚠ Thiếu lý do/người duyệt",IF(AND(X1438&lt;&gt;"",N(X1438)+N(R1438)+N(S1438)&gt;M1438*1.001,R1438&lt;&gt;""),"⚠ Vượt mục tiêu P90",IF(AND(Y1438&lt;&gt;"",ABS(N(Y1438))&gt;0.3),"⚠ Lệch &gt; 30% so với nhu cầu",IF(Q1438="Có","ℹ Kiểm tra ngoại suy KM","✓ Hợp lệ")))))</f>
        <v/>
      </c>
    </row>
    <row r="1439">
      <c r="A1439" s="16" t="n">
        <v>1435</v>
      </c>
      <c r="B1439" s="17" t="inlineStr">
        <is>
          <t>DEC-S07-LAWN_AND_GARDEN</t>
        </is>
      </c>
      <c r="C1439" s="16" t="n">
        <v>7</v>
      </c>
      <c r="D1439" s="17" t="inlineStr">
        <is>
          <t>LAWN AND GARDEN</t>
        </is>
      </c>
      <c r="E1439" s="17" t="inlineStr">
        <is>
          <t>HIGH</t>
        </is>
      </c>
      <c r="F1439" s="17" t="inlineStr">
        <is>
          <t>TRUNG BÌNH</t>
        </is>
      </c>
      <c r="G1439" s="18" t="inlineStr">
        <is>
          <t>RISK_HIGH</t>
        </is>
      </c>
      <c r="H1439" s="19" t="n">
        <v>233.9658069610596</v>
      </c>
      <c r="I1439" s="19" t="n">
        <v>484.5375003814697</v>
      </c>
      <c r="J1439" s="19" t="n">
        <v>831.5985736846924</v>
      </c>
      <c r="K1439" s="19" t="n">
        <v>484.5375003814697</v>
      </c>
      <c r="L1439" s="19" t="n">
        <v>701.4506711959839</v>
      </c>
      <c r="M1439" s="19" t="n">
        <v>831.5985736846924</v>
      </c>
      <c r="N1439" s="17" t="inlineStr">
        <is>
          <t>B</t>
        </is>
      </c>
      <c r="O1439" s="19" t="n">
        <v>313.8206708908081</v>
      </c>
      <c r="P1439" s="18" t="inlineStr">
        <is>
          <t>CÂN NHẮC THỬ NGHIỆM</t>
        </is>
      </c>
      <c r="Q1439" s="17" t="inlineStr">
        <is>
          <t>Không</t>
        </is>
      </c>
      <c r="R1439" s="20" t="n"/>
      <c r="S1439" s="20" t="n"/>
      <c r="T1439" s="21" t="n"/>
      <c r="U1439" s="21" t="n"/>
      <c r="V1439" s="22">
        <f>IF(U1439="A",K1439,IF(U1439="B",L1439,IF(U1439="C",M1439,IF(N1439="A",K1439,IF(N1439="B",L1439,M1439)))))</f>
        <v/>
      </c>
      <c r="W1439" s="22">
        <f>IF(R1439="",O1439,MAX(V1439-R1439-N(S1439),0))</f>
        <v/>
      </c>
      <c r="X1439" s="20" t="n"/>
      <c r="Y1439" s="23">
        <f>IF(OR(X1439="",W1439=0),"",X1439/W1439-1)</f>
        <v/>
      </c>
      <c r="Z1439" s="24" t="n"/>
      <c r="AA1439" s="21" t="n"/>
      <c r="AB1439" s="25" t="n"/>
      <c r="AC1439" s="26">
        <f>IF(T1439="","Chưa quyết định",IF(OR(Z1439="",AA1439=""),"⚠ Thiếu lý do/người duyệt",IF(AND(X1439&lt;&gt;"",N(X1439)+N(R1439)+N(S1439)&gt;M1439*1.001,R1439&lt;&gt;""),"⚠ Vượt mục tiêu P90",IF(AND(Y1439&lt;&gt;"",ABS(N(Y1439))&gt;0.3),"⚠ Lệch &gt; 30% so với nhu cầu",IF(Q1439="Có","ℹ Kiểm tra ngoại suy KM","✓ Hợp lệ")))))</f>
        <v/>
      </c>
    </row>
    <row r="1440">
      <c r="A1440" s="16" t="n">
        <v>1436</v>
      </c>
      <c r="B1440" s="17" t="inlineStr">
        <is>
          <t>DEC-S44-LINGERIE</t>
        </is>
      </c>
      <c r="C1440" s="16" t="n">
        <v>44</v>
      </c>
      <c r="D1440" s="17" t="inlineStr">
        <is>
          <t>LINGERIE</t>
        </is>
      </c>
      <c r="E1440" s="17" t="inlineStr">
        <is>
          <t>HIGH</t>
        </is>
      </c>
      <c r="F1440" s="17" t="inlineStr">
        <is>
          <t>TRUNG BÌNH</t>
        </is>
      </c>
      <c r="G1440" s="18" t="inlineStr">
        <is>
          <t>RISK_HIGH</t>
        </is>
      </c>
      <c r="H1440" s="19" t="n">
        <v>221.497745513916</v>
      </c>
      <c r="I1440" s="19" t="n">
        <v>479.5435600280762</v>
      </c>
      <c r="J1440" s="19" t="n">
        <v>838.4291553497314</v>
      </c>
      <c r="K1440" s="19" t="n">
        <v>479.5435600280762</v>
      </c>
      <c r="L1440" s="19" t="n">
        <v>703.8470571041107</v>
      </c>
      <c r="M1440" s="19" t="n">
        <v>838.4291553497314</v>
      </c>
      <c r="N1440" s="17" t="inlineStr">
        <is>
          <t>B</t>
        </is>
      </c>
      <c r="O1440" s="19" t="n">
        <v>320.2122090816497</v>
      </c>
      <c r="P1440" s="18" t="inlineStr">
        <is>
          <t>CÂN NHẮC THỬ NGHIỆM</t>
        </is>
      </c>
      <c r="Q1440" s="17" t="inlineStr">
        <is>
          <t>Không</t>
        </is>
      </c>
      <c r="R1440" s="20" t="n"/>
      <c r="S1440" s="20" t="n"/>
      <c r="T1440" s="21" t="n"/>
      <c r="U1440" s="21" t="n"/>
      <c r="V1440" s="22">
        <f>IF(U1440="A",K1440,IF(U1440="B",L1440,IF(U1440="C",M1440,IF(N1440="A",K1440,IF(N1440="B",L1440,M1440)))))</f>
        <v/>
      </c>
      <c r="W1440" s="22">
        <f>IF(R1440="",O1440,MAX(V1440-R1440-N(S1440),0))</f>
        <v/>
      </c>
      <c r="X1440" s="20" t="n"/>
      <c r="Y1440" s="23">
        <f>IF(OR(X1440="",W1440=0),"",X1440/W1440-1)</f>
        <v/>
      </c>
      <c r="Z1440" s="24" t="n"/>
      <c r="AA1440" s="21" t="n"/>
      <c r="AB1440" s="25" t="n"/>
      <c r="AC1440" s="26">
        <f>IF(T1440="","Chưa quyết định",IF(OR(Z1440="",AA1440=""),"⚠ Thiếu lý do/người duyệt",IF(AND(X1440&lt;&gt;"",N(X1440)+N(R1440)+N(S1440)&gt;M1440*1.001,R1440&lt;&gt;""),"⚠ Vượt mục tiêu P90",IF(AND(Y1440&lt;&gt;"",ABS(N(Y1440))&gt;0.3),"⚠ Lệch &gt; 30% so với nhu cầu",IF(Q1440="Có","ℹ Kiểm tra ngoại suy KM","✓ Hợp lệ")))))</f>
        <v/>
      </c>
    </row>
    <row r="1441">
      <c r="A1441" s="16" t="n">
        <v>1437</v>
      </c>
      <c r="B1441" s="17" t="inlineStr">
        <is>
          <t>DEC-S13-FROZEN_FOODS</t>
        </is>
      </c>
      <c r="C1441" s="16" t="n">
        <v>13</v>
      </c>
      <c r="D1441" s="17" t="inlineStr">
        <is>
          <t>FROZEN FOODS</t>
        </is>
      </c>
      <c r="E1441" s="17" t="inlineStr">
        <is>
          <t>HIGH</t>
        </is>
      </c>
      <c r="F1441" s="17" t="inlineStr">
        <is>
          <t>TRUNG BÌNH</t>
        </is>
      </c>
      <c r="G1441" s="18" t="inlineStr">
        <is>
          <t>RISK_HIGH</t>
        </is>
      </c>
      <c r="H1441" s="19" t="n">
        <v>239.7459392547608</v>
      </c>
      <c r="I1441" s="19" t="n">
        <v>476.8507385253906</v>
      </c>
      <c r="J1441" s="19" t="n">
        <v>803.9134540557861</v>
      </c>
      <c r="K1441" s="19" t="n">
        <v>476.8507385253906</v>
      </c>
      <c r="L1441" s="19" t="n">
        <v>681.2649357318878</v>
      </c>
      <c r="M1441" s="19" t="n">
        <v>803.9134540557861</v>
      </c>
      <c r="N1441" s="17" t="inlineStr">
        <is>
          <t>B</t>
        </is>
      </c>
      <c r="O1441" s="19" t="n">
        <v>299.7843449115753</v>
      </c>
      <c r="P1441" s="18" t="inlineStr">
        <is>
          <t>CÂN NHẮC THỬ NGHIỆM</t>
        </is>
      </c>
      <c r="Q1441" s="17" t="inlineStr">
        <is>
          <t>Không</t>
        </is>
      </c>
      <c r="R1441" s="20" t="n"/>
      <c r="S1441" s="20" t="n"/>
      <c r="T1441" s="21" t="n"/>
      <c r="U1441" s="21" t="n"/>
      <c r="V1441" s="22">
        <f>IF(U1441="A",K1441,IF(U1441="B",L1441,IF(U1441="C",M1441,IF(N1441="A",K1441,IF(N1441="B",L1441,M1441)))))</f>
        <v/>
      </c>
      <c r="W1441" s="22">
        <f>IF(R1441="",O1441,MAX(V1441-R1441-N(S1441),0))</f>
        <v/>
      </c>
      <c r="X1441" s="20" t="n"/>
      <c r="Y1441" s="23">
        <f>IF(OR(X1441="",W1441=0),"",X1441/W1441-1)</f>
        <v/>
      </c>
      <c r="Z1441" s="24" t="n"/>
      <c r="AA1441" s="21" t="n"/>
      <c r="AB1441" s="25" t="n"/>
      <c r="AC1441" s="26">
        <f>IF(T1441="","Chưa quyết định",IF(OR(Z1441="",AA1441=""),"⚠ Thiếu lý do/người duyệt",IF(AND(X1441&lt;&gt;"",N(X1441)+N(R1441)+N(S1441)&gt;M1441*1.001,R1441&lt;&gt;""),"⚠ Vượt mục tiêu P90",IF(AND(Y1441&lt;&gt;"",ABS(N(Y1441))&gt;0.3),"⚠ Lệch &gt; 30% so với nhu cầu",IF(Q1441="Có","ℹ Kiểm tra ngoại suy KM","✓ Hợp lệ")))))</f>
        <v/>
      </c>
    </row>
    <row r="1442">
      <c r="A1442" s="16" t="n">
        <v>1438</v>
      </c>
      <c r="B1442" s="17" t="inlineStr">
        <is>
          <t>DEC-S08-LADIESWEAR</t>
        </is>
      </c>
      <c r="C1442" s="16" t="n">
        <v>8</v>
      </c>
      <c r="D1442" s="17" t="inlineStr">
        <is>
          <t>LADIESWEAR</t>
        </is>
      </c>
      <c r="E1442" s="17" t="inlineStr">
        <is>
          <t>HIGH</t>
        </is>
      </c>
      <c r="F1442" s="17" t="inlineStr">
        <is>
          <t>TRUNG BÌNH</t>
        </is>
      </c>
      <c r="G1442" s="18" t="inlineStr">
        <is>
          <t>RISK_HIGH</t>
        </is>
      </c>
      <c r="H1442" s="19" t="n">
        <v>241.6813983917236</v>
      </c>
      <c r="I1442" s="19" t="n">
        <v>472.0527505874634</v>
      </c>
      <c r="J1442" s="19" t="n">
        <v>789.1162872314453</v>
      </c>
      <c r="K1442" s="19" t="n">
        <v>472.0527505874634</v>
      </c>
      <c r="L1442" s="19" t="n">
        <v>670.2174609899521</v>
      </c>
      <c r="M1442" s="19" t="n">
        <v>789.1162872314453</v>
      </c>
      <c r="N1442" s="17" t="inlineStr">
        <is>
          <t>B</t>
        </is>
      </c>
      <c r="O1442" s="19" t="n">
        <v>292.5752605199814</v>
      </c>
      <c r="P1442" s="18" t="inlineStr">
        <is>
          <t>CÂN NHẮC THỬ NGHIỆM</t>
        </is>
      </c>
      <c r="Q1442" s="17" t="inlineStr">
        <is>
          <t>Không</t>
        </is>
      </c>
      <c r="R1442" s="20" t="n"/>
      <c r="S1442" s="20" t="n"/>
      <c r="T1442" s="21" t="n"/>
      <c r="U1442" s="21" t="n"/>
      <c r="V1442" s="22">
        <f>IF(U1442="A",K1442,IF(U1442="B",L1442,IF(U1442="C",M1442,IF(N1442="A",K1442,IF(N1442="B",L1442,M1442)))))</f>
        <v/>
      </c>
      <c r="W1442" s="22">
        <f>IF(R1442="",O1442,MAX(V1442-R1442-N(S1442),0))</f>
        <v/>
      </c>
      <c r="X1442" s="20" t="n"/>
      <c r="Y1442" s="23">
        <f>IF(OR(X1442="",W1442=0),"",X1442/W1442-1)</f>
        <v/>
      </c>
      <c r="Z1442" s="24" t="n"/>
      <c r="AA1442" s="21" t="n"/>
      <c r="AB1442" s="25" t="n"/>
      <c r="AC1442" s="26">
        <f>IF(T1442="","Chưa quyết định",IF(OR(Z1442="",AA1442=""),"⚠ Thiếu lý do/người duyệt",IF(AND(X1442&lt;&gt;"",N(X1442)+N(R1442)+N(S1442)&gt;M1442*1.001,R1442&lt;&gt;""),"⚠ Vượt mục tiêu P90",IF(AND(Y1442&lt;&gt;"",ABS(N(Y1442))&gt;0.3),"⚠ Lệch &gt; 30% so với nhu cầu",IF(Q1442="Có","ℹ Kiểm tra ngoại suy KM","✓ Hợp lệ")))))</f>
        <v/>
      </c>
    </row>
    <row r="1443">
      <c r="A1443" s="16" t="n">
        <v>1439</v>
      </c>
      <c r="B1443" s="17" t="inlineStr">
        <is>
          <t>DEC-S33-PREPARED_FOODS</t>
        </is>
      </c>
      <c r="C1443" s="16" t="n">
        <v>33</v>
      </c>
      <c r="D1443" s="17" t="inlineStr">
        <is>
          <t>PREPARED FOODS</t>
        </is>
      </c>
      <c r="E1443" s="17" t="inlineStr">
        <is>
          <t>HIGH</t>
        </is>
      </c>
      <c r="F1443" s="17" t="inlineStr">
        <is>
          <t>TRUNG BÌNH</t>
        </is>
      </c>
      <c r="G1443" s="18" t="inlineStr">
        <is>
          <t>RISK_HIGH</t>
        </is>
      </c>
      <c r="H1443" s="19" t="n">
        <v>241.1640205383301</v>
      </c>
      <c r="I1443" s="19" t="n">
        <v>471.5353727340698</v>
      </c>
      <c r="J1443" s="19" t="n">
        <v>788.5989093780518</v>
      </c>
      <c r="K1443" s="19" t="n">
        <v>471.5353727340698</v>
      </c>
      <c r="L1443" s="19" t="n">
        <v>669.7000831365585</v>
      </c>
      <c r="M1443" s="19" t="n">
        <v>788.5989093780518</v>
      </c>
      <c r="N1443" s="17" t="inlineStr">
        <is>
          <t>B</t>
        </is>
      </c>
      <c r="O1443" s="19" t="n">
        <v>292.4717849493026</v>
      </c>
      <c r="P1443" s="18" t="inlineStr">
        <is>
          <t>CÂN NHẮC THỬ NGHIỆM</t>
        </is>
      </c>
      <c r="Q1443" s="17" t="inlineStr">
        <is>
          <t>Không</t>
        </is>
      </c>
      <c r="R1443" s="20" t="n"/>
      <c r="S1443" s="20" t="n"/>
      <c r="T1443" s="21" t="n"/>
      <c r="U1443" s="21" t="n"/>
      <c r="V1443" s="22">
        <f>IF(U1443="A",K1443,IF(U1443="B",L1443,IF(U1443="C",M1443,IF(N1443="A",K1443,IF(N1443="B",L1443,M1443)))))</f>
        <v/>
      </c>
      <c r="W1443" s="22">
        <f>IF(R1443="",O1443,MAX(V1443-R1443-N(S1443),0))</f>
        <v/>
      </c>
      <c r="X1443" s="20" t="n"/>
      <c r="Y1443" s="23">
        <f>IF(OR(X1443="",W1443=0),"",X1443/W1443-1)</f>
        <v/>
      </c>
      <c r="Z1443" s="24" t="n"/>
      <c r="AA1443" s="21" t="n"/>
      <c r="AB1443" s="25" t="n"/>
      <c r="AC1443" s="26">
        <f>IF(T1443="","Chưa quyết định",IF(OR(Z1443="",AA1443=""),"⚠ Thiếu lý do/người duyệt",IF(AND(X1443&lt;&gt;"",N(X1443)+N(R1443)+N(S1443)&gt;M1443*1.001,R1443&lt;&gt;""),"⚠ Vượt mục tiêu P90",IF(AND(Y1443&lt;&gt;"",ABS(N(Y1443))&gt;0.3),"⚠ Lệch &gt; 30% so với nhu cầu",IF(Q1443="Có","ℹ Kiểm tra ngoại suy KM","✓ Hợp lệ")))))</f>
        <v/>
      </c>
    </row>
    <row r="1444">
      <c r="A1444" s="16" t="n">
        <v>1440</v>
      </c>
      <c r="B1444" s="17" t="inlineStr">
        <is>
          <t>DEC-S46-LAWN_AND_GARDEN</t>
        </is>
      </c>
      <c r="C1444" s="16" t="n">
        <v>46</v>
      </c>
      <c r="D1444" s="17" t="inlineStr">
        <is>
          <t>LAWN AND GARDEN</t>
        </is>
      </c>
      <c r="E1444" s="17" t="inlineStr">
        <is>
          <t>HIGH</t>
        </is>
      </c>
      <c r="F1444" s="17" t="inlineStr">
        <is>
          <t>TRUNG BÌNH</t>
        </is>
      </c>
      <c r="G1444" s="18" t="inlineStr">
        <is>
          <t>RISK_HIGH</t>
        </is>
      </c>
      <c r="H1444" s="19" t="n">
        <v>227.6867485046387</v>
      </c>
      <c r="I1444" s="19" t="n">
        <v>471.5249948501587</v>
      </c>
      <c r="J1444" s="19" t="n">
        <v>808.5868892669678</v>
      </c>
      <c r="K1444" s="19" t="n">
        <v>471.5249948501587</v>
      </c>
      <c r="L1444" s="19" t="n">
        <v>682.1886788606644</v>
      </c>
      <c r="M1444" s="19" t="n">
        <v>808.5868892669678</v>
      </c>
      <c r="N1444" s="17" t="inlineStr">
        <is>
          <t>B</t>
        </is>
      </c>
      <c r="O1444" s="19" t="n">
        <v>304.9686829805374</v>
      </c>
      <c r="P1444" s="18" t="inlineStr">
        <is>
          <t>CÂN NHẮC THỬ NGHIỆM</t>
        </is>
      </c>
      <c r="Q1444" s="17" t="inlineStr">
        <is>
          <t>Không</t>
        </is>
      </c>
      <c r="R1444" s="20" t="n"/>
      <c r="S1444" s="20" t="n"/>
      <c r="T1444" s="21" t="n"/>
      <c r="U1444" s="21" t="n"/>
      <c r="V1444" s="22">
        <f>IF(U1444="A",K1444,IF(U1444="B",L1444,IF(U1444="C",M1444,IF(N1444="A",K1444,IF(N1444="B",L1444,M1444)))))</f>
        <v/>
      </c>
      <c r="W1444" s="22">
        <f>IF(R1444="",O1444,MAX(V1444-R1444-N(S1444),0))</f>
        <v/>
      </c>
      <c r="X1444" s="20" t="n"/>
      <c r="Y1444" s="23">
        <f>IF(OR(X1444="",W1444=0),"",X1444/W1444-1)</f>
        <v/>
      </c>
      <c r="Z1444" s="24" t="n"/>
      <c r="AA1444" s="21" t="n"/>
      <c r="AB1444" s="25" t="n"/>
      <c r="AC1444" s="26">
        <f>IF(T1444="","Chưa quyết định",IF(OR(Z1444="",AA1444=""),"⚠ Thiếu lý do/người duyệt",IF(AND(X1444&lt;&gt;"",N(X1444)+N(R1444)+N(S1444)&gt;M1444*1.001,R1444&lt;&gt;""),"⚠ Vượt mục tiêu P90",IF(AND(Y1444&lt;&gt;"",ABS(N(Y1444))&gt;0.3),"⚠ Lệch &gt; 30% so với nhu cầu",IF(Q1444="Có","ℹ Kiểm tra ngoại suy KM","✓ Hợp lệ")))))</f>
        <v/>
      </c>
    </row>
    <row r="1445">
      <c r="A1445" s="16" t="n">
        <v>1441</v>
      </c>
      <c r="B1445" s="17" t="inlineStr">
        <is>
          <t>DEC-S01-HOME_AND_KITCHEN_II</t>
        </is>
      </c>
      <c r="C1445" s="16" t="n">
        <v>1</v>
      </c>
      <c r="D1445" s="17" t="inlineStr">
        <is>
          <t>HOME AND KITCHEN II</t>
        </is>
      </c>
      <c r="E1445" s="17" t="inlineStr">
        <is>
          <t>HIGH</t>
        </is>
      </c>
      <c r="F1445" s="17" t="inlineStr">
        <is>
          <t>TRUNG BÌNH</t>
        </is>
      </c>
      <c r="G1445" s="18" t="inlineStr">
        <is>
          <t>RISK_HIGH</t>
        </is>
      </c>
      <c r="H1445" s="19" t="n">
        <v>225.8715496063232</v>
      </c>
      <c r="I1445" s="19" t="n">
        <v>469.7097959518433</v>
      </c>
      <c r="J1445" s="19" t="n">
        <v>806.7716903686523</v>
      </c>
      <c r="K1445" s="19" t="n">
        <v>469.7097959518433</v>
      </c>
      <c r="L1445" s="19" t="n">
        <v>680.3734799623489</v>
      </c>
      <c r="M1445" s="19" t="n">
        <v>806.7716903686523</v>
      </c>
      <c r="N1445" s="17" t="inlineStr">
        <is>
          <t>B</t>
        </is>
      </c>
      <c r="O1445" s="19" t="n">
        <v>304.6056432008743</v>
      </c>
      <c r="P1445" s="18" t="inlineStr">
        <is>
          <t>CÂN NHẮC THỬ NGHIỆM</t>
        </is>
      </c>
      <c r="Q1445" s="17" t="inlineStr">
        <is>
          <t>Không</t>
        </is>
      </c>
      <c r="R1445" s="20" t="n"/>
      <c r="S1445" s="20" t="n"/>
      <c r="T1445" s="21" t="n"/>
      <c r="U1445" s="21" t="n"/>
      <c r="V1445" s="22">
        <f>IF(U1445="A",K1445,IF(U1445="B",L1445,IF(U1445="C",M1445,IF(N1445="A",K1445,IF(N1445="B",L1445,M1445)))))</f>
        <v/>
      </c>
      <c r="W1445" s="22">
        <f>IF(R1445="",O1445,MAX(V1445-R1445-N(S1445),0))</f>
        <v/>
      </c>
      <c r="X1445" s="20" t="n"/>
      <c r="Y1445" s="23">
        <f>IF(OR(X1445="",W1445=0),"",X1445/W1445-1)</f>
        <v/>
      </c>
      <c r="Z1445" s="24" t="n"/>
      <c r="AA1445" s="21" t="n"/>
      <c r="AB1445" s="25" t="n"/>
      <c r="AC1445" s="26">
        <f>IF(T1445="","Chưa quyết định",IF(OR(Z1445="",AA1445=""),"⚠ Thiếu lý do/người duyệt",IF(AND(X1445&lt;&gt;"",N(X1445)+N(R1445)+N(S1445)&gt;M1445*1.001,R1445&lt;&gt;""),"⚠ Vượt mục tiêu P90",IF(AND(Y1445&lt;&gt;"",ABS(N(Y1445))&gt;0.3),"⚠ Lệch &gt; 30% so với nhu cầu",IF(Q1445="Có","ℹ Kiểm tra ngoại suy KM","✓ Hợp lệ")))))</f>
        <v/>
      </c>
    </row>
    <row r="1446">
      <c r="A1446" s="16" t="n">
        <v>1442</v>
      </c>
      <c r="B1446" s="17" t="inlineStr">
        <is>
          <t>DEC-S42-GROCERY_II</t>
        </is>
      </c>
      <c r="C1446" s="16" t="n">
        <v>42</v>
      </c>
      <c r="D1446" s="17" t="inlineStr">
        <is>
          <t>GROCERY II</t>
        </is>
      </c>
      <c r="E1446" s="17" t="inlineStr">
        <is>
          <t>HIGH</t>
        </is>
      </c>
      <c r="F1446" s="17" t="inlineStr">
        <is>
          <t>TRUNG BÌNH</t>
        </is>
      </c>
      <c r="G1446" s="18" t="inlineStr">
        <is>
          <t>RISK_HIGH</t>
        </is>
      </c>
      <c r="H1446" s="19" t="n">
        <v>207.0956954956055</v>
      </c>
      <c r="I1446" s="19" t="n">
        <v>457.6673889160156</v>
      </c>
      <c r="J1446" s="19" t="n">
        <v>804.7284622192383</v>
      </c>
      <c r="K1446" s="19" t="n">
        <v>457.6673889160156</v>
      </c>
      <c r="L1446" s="19" t="n">
        <v>674.5805597305298</v>
      </c>
      <c r="M1446" s="19" t="n">
        <v>804.7284622192383</v>
      </c>
      <c r="N1446" s="17" t="inlineStr">
        <is>
          <t>B</t>
        </is>
      </c>
      <c r="O1446" s="19" t="n">
        <v>308.4466485977173</v>
      </c>
      <c r="P1446" s="18" t="inlineStr">
        <is>
          <t>CÂN NHẮC THỬ NGHIỆM</t>
        </is>
      </c>
      <c r="Q1446" s="17" t="inlineStr">
        <is>
          <t>Không</t>
        </is>
      </c>
      <c r="R1446" s="20" t="n"/>
      <c r="S1446" s="20" t="n"/>
      <c r="T1446" s="21" t="n"/>
      <c r="U1446" s="21" t="n"/>
      <c r="V1446" s="22">
        <f>IF(U1446="A",K1446,IF(U1446="B",L1446,IF(U1446="C",M1446,IF(N1446="A",K1446,IF(N1446="B",L1446,M1446)))))</f>
        <v/>
      </c>
      <c r="W1446" s="22">
        <f>IF(R1446="",O1446,MAX(V1446-R1446-N(S1446),0))</f>
        <v/>
      </c>
      <c r="X1446" s="20" t="n"/>
      <c r="Y1446" s="23">
        <f>IF(OR(X1446="",W1446=0),"",X1446/W1446-1)</f>
        <v/>
      </c>
      <c r="Z1446" s="24" t="n"/>
      <c r="AA1446" s="21" t="n"/>
      <c r="AB1446" s="25" t="n"/>
      <c r="AC1446" s="26">
        <f>IF(T1446="","Chưa quyết định",IF(OR(Z1446="",AA1446=""),"⚠ Thiếu lý do/người duyệt",IF(AND(X1446&lt;&gt;"",N(X1446)+N(R1446)+N(S1446)&gt;M1446*1.001,R1446&lt;&gt;""),"⚠ Vượt mục tiêu P90",IF(AND(Y1446&lt;&gt;"",ABS(N(Y1446))&gt;0.3),"⚠ Lệch &gt; 30% so với nhu cầu",IF(Q1446="Có","ℹ Kiểm tra ngoại suy KM","✓ Hợp lệ")))))</f>
        <v/>
      </c>
    </row>
    <row r="1447">
      <c r="A1447" s="16" t="n">
        <v>1443</v>
      </c>
      <c r="B1447" s="17" t="inlineStr">
        <is>
          <t>DEC-S07-HOME_AND_KITCHEN_II</t>
        </is>
      </c>
      <c r="C1447" s="16" t="n">
        <v>7</v>
      </c>
      <c r="D1447" s="17" t="inlineStr">
        <is>
          <t>HOME AND KITCHEN II</t>
        </is>
      </c>
      <c r="E1447" s="17" t="inlineStr">
        <is>
          <t>HIGH</t>
        </is>
      </c>
      <c r="F1447" s="17" t="inlineStr">
        <is>
          <t>TRUNG BÌNH</t>
        </is>
      </c>
      <c r="G1447" s="18" t="inlineStr">
        <is>
          <t>RISK_HIGH</t>
        </is>
      </c>
      <c r="H1447" s="19" t="n">
        <v>204.7493591308593</v>
      </c>
      <c r="I1447" s="19" t="n">
        <v>455.3210525512695</v>
      </c>
      <c r="J1447" s="19" t="n">
        <v>802.3821258544922</v>
      </c>
      <c r="K1447" s="19" t="n">
        <v>455.3210525512695</v>
      </c>
      <c r="L1447" s="19" t="n">
        <v>672.2342233657837</v>
      </c>
      <c r="M1447" s="19" t="n">
        <v>802.3821258544922</v>
      </c>
      <c r="N1447" s="17" t="inlineStr">
        <is>
          <t>B</t>
        </is>
      </c>
      <c r="O1447" s="19" t="n">
        <v>307.977381324768</v>
      </c>
      <c r="P1447" s="18" t="inlineStr">
        <is>
          <t>CÂN NHẮC THỬ NGHIỆM</t>
        </is>
      </c>
      <c r="Q1447" s="17" t="inlineStr">
        <is>
          <t>Không</t>
        </is>
      </c>
      <c r="R1447" s="20" t="n"/>
      <c r="S1447" s="20" t="n"/>
      <c r="T1447" s="21" t="n"/>
      <c r="U1447" s="21" t="n"/>
      <c r="V1447" s="22">
        <f>IF(U1447="A",K1447,IF(U1447="B",L1447,IF(U1447="C",M1447,IF(N1447="A",K1447,IF(N1447="B",L1447,M1447)))))</f>
        <v/>
      </c>
      <c r="W1447" s="22">
        <f>IF(R1447="",O1447,MAX(V1447-R1447-N(S1447),0))</f>
        <v/>
      </c>
      <c r="X1447" s="20" t="n"/>
      <c r="Y1447" s="23">
        <f>IF(OR(X1447="",W1447=0),"",X1447/W1447-1)</f>
        <v/>
      </c>
      <c r="Z1447" s="24" t="n"/>
      <c r="AA1447" s="21" t="n"/>
      <c r="AB1447" s="25" t="n"/>
      <c r="AC1447" s="26">
        <f>IF(T1447="","Chưa quyết định",IF(OR(Z1447="",AA1447=""),"⚠ Thiếu lý do/người duyệt",IF(AND(X1447&lt;&gt;"",N(X1447)+N(R1447)+N(S1447)&gt;M1447*1.001,R1447&lt;&gt;""),"⚠ Vượt mục tiêu P90",IF(AND(Y1447&lt;&gt;"",ABS(N(Y1447))&gt;0.3),"⚠ Lệch &gt; 30% so với nhu cầu",IF(Q1447="Có","ℹ Kiểm tra ngoại suy KM","✓ Hợp lệ")))))</f>
        <v/>
      </c>
    </row>
    <row r="1448">
      <c r="A1448" s="16" t="n">
        <v>1444</v>
      </c>
      <c r="B1448" s="17" t="inlineStr">
        <is>
          <t>DEC-S15-LIQUOR_WINE_BEER</t>
        </is>
      </c>
      <c r="C1448" s="16" t="n">
        <v>15</v>
      </c>
      <c r="D1448" s="17" t="inlineStr">
        <is>
          <t>LIQUOR,WINE,BEER</t>
        </is>
      </c>
      <c r="E1448" s="17" t="inlineStr">
        <is>
          <t>HIGH</t>
        </is>
      </c>
      <c r="F1448" s="17" t="inlineStr">
        <is>
          <t>TRUNG BÌNH</t>
        </is>
      </c>
      <c r="G1448" s="18" t="inlineStr">
        <is>
          <t>RISK_HIGH</t>
        </is>
      </c>
      <c r="H1448" s="19" t="n">
        <v>233.792070388794</v>
      </c>
      <c r="I1448" s="19" t="n">
        <v>450.6965284347534</v>
      </c>
      <c r="J1448" s="19" t="n">
        <v>747.7617073059082</v>
      </c>
      <c r="K1448" s="19" t="n">
        <v>450.6965284347534</v>
      </c>
      <c r="L1448" s="19" t="n">
        <v>636.3622652292252</v>
      </c>
      <c r="M1448" s="19" t="n">
        <v>747.7617073059082</v>
      </c>
      <c r="N1448" s="17" t="inlineStr">
        <is>
          <t>B</t>
        </is>
      </c>
      <c r="O1448" s="19" t="n">
        <v>275.8050424814223</v>
      </c>
      <c r="P1448" s="18" t="inlineStr">
        <is>
          <t>CÂN NHẮC THỬ NGHIỆM</t>
        </is>
      </c>
      <c r="Q1448" s="17" t="inlineStr">
        <is>
          <t>Không</t>
        </is>
      </c>
      <c r="R1448" s="20" t="n"/>
      <c r="S1448" s="20" t="n"/>
      <c r="T1448" s="21" t="n"/>
      <c r="U1448" s="21" t="n"/>
      <c r="V1448" s="22">
        <f>IF(U1448="A",K1448,IF(U1448="B",L1448,IF(U1448="C",M1448,IF(N1448="A",K1448,IF(N1448="B",L1448,M1448)))))</f>
        <v/>
      </c>
      <c r="W1448" s="22">
        <f>IF(R1448="",O1448,MAX(V1448-R1448-N(S1448),0))</f>
        <v/>
      </c>
      <c r="X1448" s="20" t="n"/>
      <c r="Y1448" s="23">
        <f>IF(OR(X1448="",W1448=0),"",X1448/W1448-1)</f>
        <v/>
      </c>
      <c r="Z1448" s="24" t="n"/>
      <c r="AA1448" s="21" t="n"/>
      <c r="AB1448" s="25" t="n"/>
      <c r="AC1448" s="26">
        <f>IF(T1448="","Chưa quyết định",IF(OR(Z1448="",AA1448=""),"⚠ Thiếu lý do/người duyệt",IF(AND(X1448&lt;&gt;"",N(X1448)+N(R1448)+N(S1448)&gt;M1448*1.001,R1448&lt;&gt;""),"⚠ Vượt mục tiêu P90",IF(AND(Y1448&lt;&gt;"",ABS(N(Y1448))&gt;0.3),"⚠ Lệch &gt; 30% so với nhu cầu",IF(Q1448="Có","ℹ Kiểm tra ngoại suy KM","✓ Hợp lệ")))))</f>
        <v/>
      </c>
    </row>
    <row r="1449">
      <c r="A1449" s="16" t="n">
        <v>1445</v>
      </c>
      <c r="B1449" s="17" t="inlineStr">
        <is>
          <t>DEC-S47-PLAYERS_AND_ELECTRONICS</t>
        </is>
      </c>
      <c r="C1449" s="16" t="n">
        <v>47</v>
      </c>
      <c r="D1449" s="17" t="inlineStr">
        <is>
          <t>PLAYERS AND ELECTRONICS</t>
        </is>
      </c>
      <c r="E1449" s="17" t="inlineStr">
        <is>
          <t>HIGH</t>
        </is>
      </c>
      <c r="F1449" s="17" t="inlineStr">
        <is>
          <t>TRUNG BÌNH</t>
        </is>
      </c>
      <c r="G1449" s="18" t="inlineStr">
        <is>
          <t>RISK_HIGH</t>
        </is>
      </c>
      <c r="H1449" s="19" t="n">
        <v>225.1544322967529</v>
      </c>
      <c r="I1449" s="19" t="n">
        <v>448.7923374176025</v>
      </c>
      <c r="J1449" s="19" t="n">
        <v>755.8566951751709</v>
      </c>
      <c r="K1449" s="19" t="n">
        <v>448.7923374176025</v>
      </c>
      <c r="L1449" s="19" t="n">
        <v>640.7075610160828</v>
      </c>
      <c r="M1449" s="19" t="n">
        <v>755.8566951751709</v>
      </c>
      <c r="N1449" s="17" t="inlineStr">
        <is>
          <t>B</t>
        </is>
      </c>
      <c r="O1449" s="19" t="n">
        <v>281.6736910820007</v>
      </c>
      <c r="P1449" s="18" t="inlineStr">
        <is>
          <t>CÂN NHẮC THỬ NGHIỆM</t>
        </is>
      </c>
      <c r="Q1449" s="17" t="inlineStr">
        <is>
          <t>Không</t>
        </is>
      </c>
      <c r="R1449" s="20" t="n"/>
      <c r="S1449" s="20" t="n"/>
      <c r="T1449" s="21" t="n"/>
      <c r="U1449" s="21" t="n"/>
      <c r="V1449" s="22">
        <f>IF(U1449="A",K1449,IF(U1449="B",L1449,IF(U1449="C",M1449,IF(N1449="A",K1449,IF(N1449="B",L1449,M1449)))))</f>
        <v/>
      </c>
      <c r="W1449" s="22">
        <f>IF(R1449="",O1449,MAX(V1449-R1449-N(S1449),0))</f>
        <v/>
      </c>
      <c r="X1449" s="20" t="n"/>
      <c r="Y1449" s="23">
        <f>IF(OR(X1449="",W1449=0),"",X1449/W1449-1)</f>
        <v/>
      </c>
      <c r="Z1449" s="24" t="n"/>
      <c r="AA1449" s="21" t="n"/>
      <c r="AB1449" s="25" t="n"/>
      <c r="AC1449" s="26">
        <f>IF(T1449="","Chưa quyết định",IF(OR(Z1449="",AA1449=""),"⚠ Thiếu lý do/người duyệt",IF(AND(X1449&lt;&gt;"",N(X1449)+N(R1449)+N(S1449)&gt;M1449*1.001,R1449&lt;&gt;""),"⚠ Vượt mục tiêu P90",IF(AND(Y1449&lt;&gt;"",ABS(N(Y1449))&gt;0.3),"⚠ Lệch &gt; 30% so với nhu cầu",IF(Q1449="Có","ℹ Kiểm tra ngoại suy KM","✓ Hợp lệ")))))</f>
        <v/>
      </c>
    </row>
    <row r="1450">
      <c r="A1450" s="16" t="n">
        <v>1446</v>
      </c>
      <c r="B1450" s="17" t="inlineStr">
        <is>
          <t>DEC-S53-HOME_AND_KITCHEN_II</t>
        </is>
      </c>
      <c r="C1450" s="16" t="n">
        <v>53</v>
      </c>
      <c r="D1450" s="17" t="inlineStr">
        <is>
          <t>HOME AND KITCHEN II</t>
        </is>
      </c>
      <c r="E1450" s="17" t="inlineStr">
        <is>
          <t>HIGH</t>
        </is>
      </c>
      <c r="F1450" s="17" t="inlineStr">
        <is>
          <t>TRUNG BÌNH</t>
        </is>
      </c>
      <c r="G1450" s="18" t="inlineStr">
        <is>
          <t>RISK_HIGH</t>
        </is>
      </c>
      <c r="H1450" s="19" t="n">
        <v>223.3264179229736</v>
      </c>
      <c r="I1450" s="19" t="n">
        <v>446.9643230438232</v>
      </c>
      <c r="J1450" s="19" t="n">
        <v>754.0286808013916</v>
      </c>
      <c r="K1450" s="19" t="n">
        <v>446.9643230438232</v>
      </c>
      <c r="L1450" s="19" t="n">
        <v>638.8795466423035</v>
      </c>
      <c r="M1450" s="19" t="n">
        <v>754.0286808013916</v>
      </c>
      <c r="N1450" s="17" t="inlineStr">
        <is>
          <t>B</t>
        </is>
      </c>
      <c r="O1450" s="19" t="n">
        <v>281.3080882072449</v>
      </c>
      <c r="P1450" s="18" t="inlineStr">
        <is>
          <t>CÂN NHẮC THỬ NGHIỆM</t>
        </is>
      </c>
      <c r="Q1450" s="17" t="inlineStr">
        <is>
          <t>Không</t>
        </is>
      </c>
      <c r="R1450" s="20" t="n"/>
      <c r="S1450" s="20" t="n"/>
      <c r="T1450" s="21" t="n"/>
      <c r="U1450" s="21" t="n"/>
      <c r="V1450" s="22">
        <f>IF(U1450="A",K1450,IF(U1450="B",L1450,IF(U1450="C",M1450,IF(N1450="A",K1450,IF(N1450="B",L1450,M1450)))))</f>
        <v/>
      </c>
      <c r="W1450" s="22">
        <f>IF(R1450="",O1450,MAX(V1450-R1450-N(S1450),0))</f>
        <v/>
      </c>
      <c r="X1450" s="20" t="n"/>
      <c r="Y1450" s="23">
        <f>IF(OR(X1450="",W1450=0),"",X1450/W1450-1)</f>
        <v/>
      </c>
      <c r="Z1450" s="24" t="n"/>
      <c r="AA1450" s="21" t="n"/>
      <c r="AB1450" s="25" t="n"/>
      <c r="AC1450" s="26">
        <f>IF(T1450="","Chưa quyết định",IF(OR(Z1450="",AA1450=""),"⚠ Thiếu lý do/người duyệt",IF(AND(X1450&lt;&gt;"",N(X1450)+N(R1450)+N(S1450)&gt;M1450*1.001,R1450&lt;&gt;""),"⚠ Vượt mục tiêu P90",IF(AND(Y1450&lt;&gt;"",ABS(N(Y1450))&gt;0.3),"⚠ Lệch &gt; 30% so với nhu cầu",IF(Q1450="Có","ℹ Kiểm tra ngoại suy KM","✓ Hợp lệ")))))</f>
        <v/>
      </c>
    </row>
    <row r="1451">
      <c r="A1451" s="16" t="n">
        <v>1447</v>
      </c>
      <c r="B1451" s="17" t="inlineStr">
        <is>
          <t>DEC-S11-HOME_AND_KITCHEN_I</t>
        </is>
      </c>
      <c r="C1451" s="16" t="n">
        <v>11</v>
      </c>
      <c r="D1451" s="17" t="inlineStr">
        <is>
          <t>HOME AND KITCHEN I</t>
        </is>
      </c>
      <c r="E1451" s="17" t="inlineStr">
        <is>
          <t>HIGH</t>
        </is>
      </c>
      <c r="F1451" s="17" t="inlineStr">
        <is>
          <t>TRUNG BÌNH</t>
        </is>
      </c>
      <c r="G1451" s="18" t="inlineStr">
        <is>
          <t>RISK_HIGH</t>
        </is>
      </c>
      <c r="H1451" s="19" t="n">
        <v>202.1417236328125</v>
      </c>
      <c r="I1451" s="19" t="n">
        <v>445.9799699783325</v>
      </c>
      <c r="J1451" s="19" t="n">
        <v>783.0418643951416</v>
      </c>
      <c r="K1451" s="19" t="n">
        <v>445.9799699783325</v>
      </c>
      <c r="L1451" s="19" t="n">
        <v>656.6436539888382</v>
      </c>
      <c r="M1451" s="19" t="n">
        <v>783.0418643951416</v>
      </c>
      <c r="N1451" s="17" t="inlineStr">
        <is>
          <t>B</t>
        </is>
      </c>
      <c r="O1451" s="19" t="n">
        <v>299.8596780061721</v>
      </c>
      <c r="P1451" s="18" t="inlineStr">
        <is>
          <t>CÂN NHẮC THỬ NGHIỆM</t>
        </is>
      </c>
      <c r="Q1451" s="17" t="inlineStr">
        <is>
          <t>Không</t>
        </is>
      </c>
      <c r="R1451" s="20" t="n"/>
      <c r="S1451" s="20" t="n"/>
      <c r="T1451" s="21" t="n"/>
      <c r="U1451" s="21" t="n"/>
      <c r="V1451" s="22">
        <f>IF(U1451="A",K1451,IF(U1451="B",L1451,IF(U1451="C",M1451,IF(N1451="A",K1451,IF(N1451="B",L1451,M1451)))))</f>
        <v/>
      </c>
      <c r="W1451" s="22">
        <f>IF(R1451="",O1451,MAX(V1451-R1451-N(S1451),0))</f>
        <v/>
      </c>
      <c r="X1451" s="20" t="n"/>
      <c r="Y1451" s="23">
        <f>IF(OR(X1451="",W1451=0),"",X1451/W1451-1)</f>
        <v/>
      </c>
      <c r="Z1451" s="24" t="n"/>
      <c r="AA1451" s="21" t="n"/>
      <c r="AB1451" s="25" t="n"/>
      <c r="AC1451" s="26">
        <f>IF(T1451="","Chưa quyết định",IF(OR(Z1451="",AA1451=""),"⚠ Thiếu lý do/người duyệt",IF(AND(X1451&lt;&gt;"",N(X1451)+N(R1451)+N(S1451)&gt;M1451*1.001,R1451&lt;&gt;""),"⚠ Vượt mục tiêu P90",IF(AND(Y1451&lt;&gt;"",ABS(N(Y1451))&gt;0.3),"⚠ Lệch &gt; 30% so với nhu cầu",IF(Q1451="Có","ℹ Kiểm tra ngoại suy KM","✓ Hợp lệ")))))</f>
        <v/>
      </c>
    </row>
    <row r="1452">
      <c r="A1452" s="16" t="n">
        <v>1448</v>
      </c>
      <c r="B1452" s="17" t="inlineStr">
        <is>
          <t>DEC-S50-CELEBRATION</t>
        </is>
      </c>
      <c r="C1452" s="16" t="n">
        <v>50</v>
      </c>
      <c r="D1452" s="17" t="inlineStr">
        <is>
          <t>CELEBRATION</t>
        </is>
      </c>
      <c r="E1452" s="17" t="inlineStr">
        <is>
          <t>HIGH</t>
        </is>
      </c>
      <c r="F1452" s="17" t="inlineStr">
        <is>
          <t>TRUNG BÌNH</t>
        </is>
      </c>
      <c r="G1452" s="18" t="inlineStr">
        <is>
          <t>RISK_HIGH</t>
        </is>
      </c>
      <c r="H1452" s="19" t="n">
        <v>208.3955821990967</v>
      </c>
      <c r="I1452" s="19" t="n">
        <v>445.5003814697266</v>
      </c>
      <c r="J1452" s="19" t="n">
        <v>772.5630970001221</v>
      </c>
      <c r="K1452" s="19" t="n">
        <v>445.5003814697266</v>
      </c>
      <c r="L1452" s="19" t="n">
        <v>649.9145786762238</v>
      </c>
      <c r="M1452" s="19" t="n">
        <v>772.5630970001221</v>
      </c>
      <c r="N1452" s="17" t="inlineStr">
        <is>
          <t>B</t>
        </is>
      </c>
      <c r="O1452" s="19" t="n">
        <v>293.5142735004425</v>
      </c>
      <c r="P1452" s="18" t="inlineStr">
        <is>
          <t>CÂN NHẮC THỬ NGHIỆM</t>
        </is>
      </c>
      <c r="Q1452" s="17" t="inlineStr">
        <is>
          <t>Không</t>
        </is>
      </c>
      <c r="R1452" s="20" t="n"/>
      <c r="S1452" s="20" t="n"/>
      <c r="T1452" s="21" t="n"/>
      <c r="U1452" s="21" t="n"/>
      <c r="V1452" s="22">
        <f>IF(U1452="A",K1452,IF(U1452="B",L1452,IF(U1452="C",M1452,IF(N1452="A",K1452,IF(N1452="B",L1452,M1452)))))</f>
        <v/>
      </c>
      <c r="W1452" s="22">
        <f>IF(R1452="",O1452,MAX(V1452-R1452-N(S1452),0))</f>
        <v/>
      </c>
      <c r="X1452" s="20" t="n"/>
      <c r="Y1452" s="23">
        <f>IF(OR(X1452="",W1452=0),"",X1452/W1452-1)</f>
        <v/>
      </c>
      <c r="Z1452" s="24" t="n"/>
      <c r="AA1452" s="21" t="n"/>
      <c r="AB1452" s="25" t="n"/>
      <c r="AC1452" s="26">
        <f>IF(T1452="","Chưa quyết định",IF(OR(Z1452="",AA1452=""),"⚠ Thiếu lý do/người duyệt",IF(AND(X1452&lt;&gt;"",N(X1452)+N(R1452)+N(S1452)&gt;M1452*1.001,R1452&lt;&gt;""),"⚠ Vượt mục tiêu P90",IF(AND(Y1452&lt;&gt;"",ABS(N(Y1452))&gt;0.3),"⚠ Lệch &gt; 30% so với nhu cầu",IF(Q1452="Có","ℹ Kiểm tra ngoại suy KM","✓ Hợp lệ")))))</f>
        <v/>
      </c>
    </row>
    <row r="1453">
      <c r="A1453" s="16" t="n">
        <v>1449</v>
      </c>
      <c r="B1453" s="17" t="inlineStr">
        <is>
          <t>DEC-S49-LADIESWEAR</t>
        </is>
      </c>
      <c r="C1453" s="16" t="n">
        <v>49</v>
      </c>
      <c r="D1453" s="17" t="inlineStr">
        <is>
          <t>LADIESWEAR</t>
        </is>
      </c>
      <c r="E1453" s="17" t="inlineStr">
        <is>
          <t>HIGH</t>
        </is>
      </c>
      <c r="F1453" s="17" t="inlineStr">
        <is>
          <t>TRUNG BÌNH</t>
        </is>
      </c>
      <c r="G1453" s="18" t="inlineStr">
        <is>
          <t>RISK_HIGH</t>
        </is>
      </c>
      <c r="H1453" s="19" t="n">
        <v>205.2938270568848</v>
      </c>
      <c r="I1453" s="19" t="n">
        <v>442.3986263275146</v>
      </c>
      <c r="J1453" s="19" t="n">
        <v>769.4613418579102</v>
      </c>
      <c r="K1453" s="19" t="n">
        <v>442.3986263275146</v>
      </c>
      <c r="L1453" s="19" t="n">
        <v>646.8128235340118</v>
      </c>
      <c r="M1453" s="19" t="n">
        <v>769.4613418579102</v>
      </c>
      <c r="N1453" s="17" t="inlineStr">
        <is>
          <t>B</t>
        </is>
      </c>
      <c r="O1453" s="19" t="n">
        <v>292.8939224720001</v>
      </c>
      <c r="P1453" s="18" t="inlineStr">
        <is>
          <t>CÂN NHẮC THỬ NGHIỆM</t>
        </is>
      </c>
      <c r="Q1453" s="17" t="inlineStr">
        <is>
          <t>Không</t>
        </is>
      </c>
      <c r="R1453" s="20" t="n"/>
      <c r="S1453" s="20" t="n"/>
      <c r="T1453" s="21" t="n"/>
      <c r="U1453" s="21" t="n"/>
      <c r="V1453" s="22">
        <f>IF(U1453="A",K1453,IF(U1453="B",L1453,IF(U1453="C",M1453,IF(N1453="A",K1453,IF(N1453="B",L1453,M1453)))))</f>
        <v/>
      </c>
      <c r="W1453" s="22">
        <f>IF(R1453="",O1453,MAX(V1453-R1453-N(S1453),0))</f>
        <v/>
      </c>
      <c r="X1453" s="20" t="n"/>
      <c r="Y1453" s="23">
        <f>IF(OR(X1453="",W1453=0),"",X1453/W1453-1)</f>
        <v/>
      </c>
      <c r="Z1453" s="24" t="n"/>
      <c r="AA1453" s="21" t="n"/>
      <c r="AB1453" s="25" t="n"/>
      <c r="AC1453" s="26">
        <f>IF(T1453="","Chưa quyết định",IF(OR(Z1453="",AA1453=""),"⚠ Thiếu lý do/người duyệt",IF(AND(X1453&lt;&gt;"",N(X1453)+N(R1453)+N(S1453)&gt;M1453*1.001,R1453&lt;&gt;""),"⚠ Vượt mục tiêu P90",IF(AND(Y1453&lt;&gt;"",ABS(N(Y1453))&gt;0.3),"⚠ Lệch &gt; 30% so với nhu cầu",IF(Q1453="Có","ℹ Kiểm tra ngoại suy KM","✓ Hợp lệ")))))</f>
        <v/>
      </c>
    </row>
    <row r="1454">
      <c r="A1454" s="16" t="n">
        <v>1450</v>
      </c>
      <c r="B1454" s="17" t="inlineStr">
        <is>
          <t>DEC-S01-HOME_AND_KITCHEN_I</t>
        </is>
      </c>
      <c r="C1454" s="16" t="n">
        <v>1</v>
      </c>
      <c r="D1454" s="17" t="inlineStr">
        <is>
          <t>HOME AND KITCHEN I</t>
        </is>
      </c>
      <c r="E1454" s="17" t="inlineStr">
        <is>
          <t>HIGH</t>
        </is>
      </c>
      <c r="F1454" s="17" t="inlineStr">
        <is>
          <t>TRUNG BÌNH</t>
        </is>
      </c>
      <c r="G1454" s="18" t="inlineStr">
        <is>
          <t>RISK_HIGH</t>
        </is>
      </c>
      <c r="H1454" s="19" t="n">
        <v>223.770637512207</v>
      </c>
      <c r="I1454" s="19" t="n">
        <v>440.6750955581665</v>
      </c>
      <c r="J1454" s="19" t="n">
        <v>737.7402744293213</v>
      </c>
      <c r="K1454" s="19" t="n">
        <v>440.6750955581665</v>
      </c>
      <c r="L1454" s="19" t="n">
        <v>626.3408323526382</v>
      </c>
      <c r="M1454" s="19" t="n">
        <v>737.7402744293213</v>
      </c>
      <c r="N1454" s="17" t="inlineStr">
        <is>
          <t>B</t>
        </is>
      </c>
      <c r="O1454" s="19" t="n">
        <v>273.800755906105</v>
      </c>
      <c r="P1454" s="18" t="inlineStr">
        <is>
          <t>CÂN NHẮC THỬ NGHIỆM</t>
        </is>
      </c>
      <c r="Q1454" s="17" t="inlineStr">
        <is>
          <t>Không</t>
        </is>
      </c>
      <c r="R1454" s="20" t="n"/>
      <c r="S1454" s="20" t="n"/>
      <c r="T1454" s="21" t="n"/>
      <c r="U1454" s="21" t="n"/>
      <c r="V1454" s="22">
        <f>IF(U1454="A",K1454,IF(U1454="B",L1454,IF(U1454="C",M1454,IF(N1454="A",K1454,IF(N1454="B",L1454,M1454)))))</f>
        <v/>
      </c>
      <c r="W1454" s="22">
        <f>IF(R1454="",O1454,MAX(V1454-R1454-N(S1454),0))</f>
        <v/>
      </c>
      <c r="X1454" s="20" t="n"/>
      <c r="Y1454" s="23">
        <f>IF(OR(X1454="",W1454=0),"",X1454/W1454-1)</f>
        <v/>
      </c>
      <c r="Z1454" s="24" t="n"/>
      <c r="AA1454" s="21" t="n"/>
      <c r="AB1454" s="25" t="n"/>
      <c r="AC1454" s="26">
        <f>IF(T1454="","Chưa quyết định",IF(OR(Z1454="",AA1454=""),"⚠ Thiếu lý do/người duyệt",IF(AND(X1454&lt;&gt;"",N(X1454)+N(R1454)+N(S1454)&gt;M1454*1.001,R1454&lt;&gt;""),"⚠ Vượt mục tiêu P90",IF(AND(Y1454&lt;&gt;"",ABS(N(Y1454))&gt;0.3),"⚠ Lệch &gt; 30% so với nhu cầu",IF(Q1454="Có","ℹ Kiểm tra ngoại suy KM","✓ Hợp lệ")))))</f>
        <v/>
      </c>
    </row>
    <row r="1455">
      <c r="A1455" s="16" t="n">
        <v>1451</v>
      </c>
      <c r="B1455" s="17" t="inlineStr">
        <is>
          <t>DEC-S36-LAWN_AND_GARDEN</t>
        </is>
      </c>
      <c r="C1455" s="16" t="n">
        <v>36</v>
      </c>
      <c r="D1455" s="17" t="inlineStr">
        <is>
          <t>LAWN AND GARDEN</t>
        </is>
      </c>
      <c r="E1455" s="17" t="inlineStr">
        <is>
          <t>HIGH</t>
        </is>
      </c>
      <c r="F1455" s="17" t="inlineStr">
        <is>
          <t>TRUNG BÌNH</t>
        </is>
      </c>
      <c r="G1455" s="18" t="inlineStr">
        <is>
          <t>RISK_HIGH</t>
        </is>
      </c>
      <c r="H1455" s="19" t="n">
        <v>202.7935581207276</v>
      </c>
      <c r="I1455" s="19" t="n">
        <v>439.8983573913574</v>
      </c>
      <c r="J1455" s="19" t="n">
        <v>766.9610729217529</v>
      </c>
      <c r="K1455" s="19" t="n">
        <v>439.8983573913574</v>
      </c>
      <c r="L1455" s="19" t="n">
        <v>644.3125545978546</v>
      </c>
      <c r="M1455" s="19" t="n">
        <v>766.9610729217529</v>
      </c>
      <c r="N1455" s="17" t="inlineStr">
        <is>
          <t>B</t>
        </is>
      </c>
      <c r="O1455" s="19" t="n">
        <v>292.3938686847687</v>
      </c>
      <c r="P1455" s="18" t="inlineStr">
        <is>
          <t>CÂN NHẮC THỬ NGHIỆM</t>
        </is>
      </c>
      <c r="Q1455" s="17" t="inlineStr">
        <is>
          <t>Không</t>
        </is>
      </c>
      <c r="R1455" s="20" t="n"/>
      <c r="S1455" s="20" t="n"/>
      <c r="T1455" s="21" t="n"/>
      <c r="U1455" s="21" t="n"/>
      <c r="V1455" s="22">
        <f>IF(U1455="A",K1455,IF(U1455="B",L1455,IF(U1455="C",M1455,IF(N1455="A",K1455,IF(N1455="B",L1455,M1455)))))</f>
        <v/>
      </c>
      <c r="W1455" s="22">
        <f>IF(R1455="",O1455,MAX(V1455-R1455-N(S1455),0))</f>
        <v/>
      </c>
      <c r="X1455" s="20" t="n"/>
      <c r="Y1455" s="23">
        <f>IF(OR(X1455="",W1455=0),"",X1455/W1455-1)</f>
        <v/>
      </c>
      <c r="Z1455" s="24" t="n"/>
      <c r="AA1455" s="21" t="n"/>
      <c r="AB1455" s="25" t="n"/>
      <c r="AC1455" s="26">
        <f>IF(T1455="","Chưa quyết định",IF(OR(Z1455="",AA1455=""),"⚠ Thiếu lý do/người duyệt",IF(AND(X1455&lt;&gt;"",N(X1455)+N(R1455)+N(S1455)&gt;M1455*1.001,R1455&lt;&gt;""),"⚠ Vượt mục tiêu P90",IF(AND(Y1455&lt;&gt;"",ABS(N(Y1455))&gt;0.3),"⚠ Lệch &gt; 30% so với nhu cầu",IF(Q1455="Có","ℹ Kiểm tra ngoại suy KM","✓ Hợp lệ")))))</f>
        <v/>
      </c>
    </row>
    <row r="1456">
      <c r="A1456" s="16" t="n">
        <v>1452</v>
      </c>
      <c r="B1456" s="17" t="inlineStr">
        <is>
          <t>DEC-S53-HOME_AND_KITCHEN_I</t>
        </is>
      </c>
      <c r="C1456" s="16" t="n">
        <v>53</v>
      </c>
      <c r="D1456" s="17" t="inlineStr">
        <is>
          <t>HOME AND KITCHEN I</t>
        </is>
      </c>
      <c r="E1456" s="17" t="inlineStr">
        <is>
          <t>HIGH</t>
        </is>
      </c>
      <c r="F1456" s="17" t="inlineStr">
        <is>
          <t>TRUNG BÌNH</t>
        </is>
      </c>
      <c r="G1456" s="18" t="inlineStr">
        <is>
          <t>RISK_HIGH</t>
        </is>
      </c>
      <c r="H1456" s="19" t="n">
        <v>214.6190147399902</v>
      </c>
      <c r="I1456" s="19" t="n">
        <v>438.2569198608398</v>
      </c>
      <c r="J1456" s="19" t="n">
        <v>745.3212776184082</v>
      </c>
      <c r="K1456" s="19" t="n">
        <v>438.2569198608398</v>
      </c>
      <c r="L1456" s="19" t="n">
        <v>630.1721434593201</v>
      </c>
      <c r="M1456" s="19" t="n">
        <v>745.3212776184082</v>
      </c>
      <c r="N1456" s="17" t="inlineStr">
        <is>
          <t>B</t>
        </is>
      </c>
      <c r="O1456" s="19" t="n">
        <v>279.5666075706482</v>
      </c>
      <c r="P1456" s="18" t="inlineStr">
        <is>
          <t>CÂN NHẮC THỬ NGHIỆM</t>
        </is>
      </c>
      <c r="Q1456" s="17" t="inlineStr">
        <is>
          <t>Không</t>
        </is>
      </c>
      <c r="R1456" s="20" t="n"/>
      <c r="S1456" s="20" t="n"/>
      <c r="T1456" s="21" t="n"/>
      <c r="U1456" s="21" t="n"/>
      <c r="V1456" s="22">
        <f>IF(U1456="A",K1456,IF(U1456="B",L1456,IF(U1456="C",M1456,IF(N1456="A",K1456,IF(N1456="B",L1456,M1456)))))</f>
        <v/>
      </c>
      <c r="W1456" s="22">
        <f>IF(R1456="",O1456,MAX(V1456-R1456-N(S1456),0))</f>
        <v/>
      </c>
      <c r="X1456" s="20" t="n"/>
      <c r="Y1456" s="23">
        <f>IF(OR(X1456="",W1456=0),"",X1456/W1456-1)</f>
        <v/>
      </c>
      <c r="Z1456" s="24" t="n"/>
      <c r="AA1456" s="21" t="n"/>
      <c r="AB1456" s="25" t="n"/>
      <c r="AC1456" s="26">
        <f>IF(T1456="","Chưa quyết định",IF(OR(Z1456="",AA1456=""),"⚠ Thiếu lý do/người duyệt",IF(AND(X1456&lt;&gt;"",N(X1456)+N(R1456)+N(S1456)&gt;M1456*1.001,R1456&lt;&gt;""),"⚠ Vượt mục tiêu P90",IF(AND(Y1456&lt;&gt;"",ABS(N(Y1456))&gt;0.3),"⚠ Lệch &gt; 30% so với nhu cầu",IF(Q1456="Có","ℹ Kiểm tra ngoại suy KM","✓ Hợp lệ")))))</f>
        <v/>
      </c>
    </row>
    <row r="1457">
      <c r="A1457" s="16" t="n">
        <v>1453</v>
      </c>
      <c r="B1457" s="17" t="inlineStr">
        <is>
          <t>DEC-S25-LAWN_AND_GARDEN</t>
        </is>
      </c>
      <c r="C1457" s="16" t="n">
        <v>25</v>
      </c>
      <c r="D1457" s="17" t="inlineStr">
        <is>
          <t>LAWN AND GARDEN</t>
        </is>
      </c>
      <c r="E1457" s="17" t="inlineStr">
        <is>
          <t>HIGH</t>
        </is>
      </c>
      <c r="F1457" s="17" t="inlineStr">
        <is>
          <t>TRUNG BÌNH</t>
        </is>
      </c>
      <c r="G1457" s="18" t="inlineStr">
        <is>
          <t>RISK_HIGH</t>
        </is>
      </c>
      <c r="H1457" s="19" t="n">
        <v>200.4611339569092</v>
      </c>
      <c r="I1457" s="19" t="n">
        <v>437.5659332275391</v>
      </c>
      <c r="J1457" s="19" t="n">
        <v>764.6286487579346</v>
      </c>
      <c r="K1457" s="19" t="n">
        <v>437.5659332275391</v>
      </c>
      <c r="L1457" s="19" t="n">
        <v>641.9801304340363</v>
      </c>
      <c r="M1457" s="19" t="n">
        <v>764.6286487579346</v>
      </c>
      <c r="N1457" s="17" t="inlineStr">
        <is>
          <t>B</t>
        </is>
      </c>
      <c r="O1457" s="19" t="n">
        <v>291.927383852005</v>
      </c>
      <c r="P1457" s="18" t="inlineStr">
        <is>
          <t>CÂN NHẮC THỬ NGHIỆM</t>
        </is>
      </c>
      <c r="Q1457" s="17" t="inlineStr">
        <is>
          <t>Không</t>
        </is>
      </c>
      <c r="R1457" s="20" t="n"/>
      <c r="S1457" s="20" t="n"/>
      <c r="T1457" s="21" t="n"/>
      <c r="U1457" s="21" t="n"/>
      <c r="V1457" s="22">
        <f>IF(U1457="A",K1457,IF(U1457="B",L1457,IF(U1457="C",M1457,IF(N1457="A",K1457,IF(N1457="B",L1457,M1457)))))</f>
        <v/>
      </c>
      <c r="W1457" s="22">
        <f>IF(R1457="",O1457,MAX(V1457-R1457-N(S1457),0))</f>
        <v/>
      </c>
      <c r="X1457" s="20" t="n"/>
      <c r="Y1457" s="23">
        <f>IF(OR(X1457="",W1457=0),"",X1457/W1457-1)</f>
        <v/>
      </c>
      <c r="Z1457" s="24" t="n"/>
      <c r="AA1457" s="21" t="n"/>
      <c r="AB1457" s="25" t="n"/>
      <c r="AC1457" s="26">
        <f>IF(T1457="","Chưa quyết định",IF(OR(Z1457="",AA1457=""),"⚠ Thiếu lý do/người duyệt",IF(AND(X1457&lt;&gt;"",N(X1457)+N(R1457)+N(S1457)&gt;M1457*1.001,R1457&lt;&gt;""),"⚠ Vượt mục tiêu P90",IF(AND(Y1457&lt;&gt;"",ABS(N(Y1457))&gt;0.3),"⚠ Lệch &gt; 30% so với nhu cầu",IF(Q1457="Có","ℹ Kiểm tra ngoại suy KM","✓ Hợp lệ")))))</f>
        <v/>
      </c>
    </row>
    <row r="1458">
      <c r="A1458" s="16" t="n">
        <v>1454</v>
      </c>
      <c r="B1458" s="17" t="inlineStr">
        <is>
          <t>DEC-S20-HOME_AND_KITCHEN_I</t>
        </is>
      </c>
      <c r="C1458" s="16" t="n">
        <v>20</v>
      </c>
      <c r="D1458" s="17" t="inlineStr">
        <is>
          <t>HOME AND KITCHEN I</t>
        </is>
      </c>
      <c r="E1458" s="17" t="inlineStr">
        <is>
          <t>HIGH</t>
        </is>
      </c>
      <c r="F1458" s="17" t="inlineStr">
        <is>
          <t>TRUNG BÌNH</t>
        </is>
      </c>
      <c r="G1458" s="18" t="inlineStr">
        <is>
          <t>RISK_HIGH</t>
        </is>
      </c>
      <c r="H1458" s="19" t="n">
        <v>194.7846555709839</v>
      </c>
      <c r="I1458" s="19" t="n">
        <v>431.8894548416138</v>
      </c>
      <c r="J1458" s="19" t="n">
        <v>758.9521703720093</v>
      </c>
      <c r="K1458" s="19" t="n">
        <v>431.8894548416138</v>
      </c>
      <c r="L1458" s="19" t="n">
        <v>636.303652048111</v>
      </c>
      <c r="M1458" s="19" t="n">
        <v>758.9521703720093</v>
      </c>
      <c r="N1458" s="17" t="inlineStr">
        <is>
          <t>B</t>
        </is>
      </c>
      <c r="O1458" s="19" t="n">
        <v>290.7920881748199</v>
      </c>
      <c r="P1458" s="18" t="inlineStr">
        <is>
          <t>CÂN NHẮC THỬ NGHIỆM</t>
        </is>
      </c>
      <c r="Q1458" s="17" t="inlineStr">
        <is>
          <t>Không</t>
        </is>
      </c>
      <c r="R1458" s="20" t="n"/>
      <c r="S1458" s="20" t="n"/>
      <c r="T1458" s="21" t="n"/>
      <c r="U1458" s="21" t="n"/>
      <c r="V1458" s="22">
        <f>IF(U1458="A",K1458,IF(U1458="B",L1458,IF(U1458="C",M1458,IF(N1458="A",K1458,IF(N1458="B",L1458,M1458)))))</f>
        <v/>
      </c>
      <c r="W1458" s="22">
        <f>IF(R1458="",O1458,MAX(V1458-R1458-N(S1458),0))</f>
        <v/>
      </c>
      <c r="X1458" s="20" t="n"/>
      <c r="Y1458" s="23">
        <f>IF(OR(X1458="",W1458=0),"",X1458/W1458-1)</f>
        <v/>
      </c>
      <c r="Z1458" s="24" t="n"/>
      <c r="AA1458" s="21" t="n"/>
      <c r="AB1458" s="25" t="n"/>
      <c r="AC1458" s="26">
        <f>IF(T1458="","Chưa quyết định",IF(OR(Z1458="",AA1458=""),"⚠ Thiếu lý do/người duyệt",IF(AND(X1458&lt;&gt;"",N(X1458)+N(R1458)+N(S1458)&gt;M1458*1.001,R1458&lt;&gt;""),"⚠ Vượt mục tiêu P90",IF(AND(Y1458&lt;&gt;"",ABS(N(Y1458))&gt;0.3),"⚠ Lệch &gt; 30% so với nhu cầu",IF(Q1458="Có","ℹ Kiểm tra ngoại suy KM","✓ Hợp lệ")))))</f>
        <v/>
      </c>
    </row>
    <row r="1459">
      <c r="A1459" s="16" t="n">
        <v>1455</v>
      </c>
      <c r="B1459" s="17" t="inlineStr">
        <is>
          <t>DEC-S10-FROZEN_FOODS</t>
        </is>
      </c>
      <c r="C1459" s="16" t="n">
        <v>10</v>
      </c>
      <c r="D1459" s="17" t="inlineStr">
        <is>
          <t>FROZEN FOODS</t>
        </is>
      </c>
      <c r="E1459" s="17" t="inlineStr">
        <is>
          <t>HIGH</t>
        </is>
      </c>
      <c r="F1459" s="17" t="inlineStr">
        <is>
          <t>TRUNG BÌNH</t>
        </is>
      </c>
      <c r="G1459" s="18" t="inlineStr">
        <is>
          <t>RISK_HIGH</t>
        </is>
      </c>
      <c r="H1459" s="19" t="n">
        <v>197.6894969940185</v>
      </c>
      <c r="I1459" s="19" t="n">
        <v>428.0608491897583</v>
      </c>
      <c r="J1459" s="19" t="n">
        <v>745.1243858337402</v>
      </c>
      <c r="K1459" s="19" t="n">
        <v>428.0608491897583</v>
      </c>
      <c r="L1459" s="19" t="n">
        <v>626.225559592247</v>
      </c>
      <c r="M1459" s="19" t="n">
        <v>745.1243858337402</v>
      </c>
      <c r="N1459" s="17" t="inlineStr">
        <is>
          <t>B</t>
        </is>
      </c>
      <c r="O1459" s="19" t="n">
        <v>283.7768802404403</v>
      </c>
      <c r="P1459" s="18" t="inlineStr">
        <is>
          <t>CÂN NHẮC THỬ NGHIỆM</t>
        </is>
      </c>
      <c r="Q1459" s="17" t="inlineStr">
        <is>
          <t>Không</t>
        </is>
      </c>
      <c r="R1459" s="20" t="n"/>
      <c r="S1459" s="20" t="n"/>
      <c r="T1459" s="21" t="n"/>
      <c r="U1459" s="21" t="n"/>
      <c r="V1459" s="22">
        <f>IF(U1459="A",K1459,IF(U1459="B",L1459,IF(U1459="C",M1459,IF(N1459="A",K1459,IF(N1459="B",L1459,M1459)))))</f>
        <v/>
      </c>
      <c r="W1459" s="22">
        <f>IF(R1459="",O1459,MAX(V1459-R1459-N(S1459),0))</f>
        <v/>
      </c>
      <c r="X1459" s="20" t="n"/>
      <c r="Y1459" s="23">
        <f>IF(OR(X1459="",W1459=0),"",X1459/W1459-1)</f>
        <v/>
      </c>
      <c r="Z1459" s="24" t="n"/>
      <c r="AA1459" s="21" t="n"/>
      <c r="AB1459" s="25" t="n"/>
      <c r="AC1459" s="26">
        <f>IF(T1459="","Chưa quyết định",IF(OR(Z1459="",AA1459=""),"⚠ Thiếu lý do/người duyệt",IF(AND(X1459&lt;&gt;"",N(X1459)+N(R1459)+N(S1459)&gt;M1459*1.001,R1459&lt;&gt;""),"⚠ Vượt mục tiêu P90",IF(AND(Y1459&lt;&gt;"",ABS(N(Y1459))&gt;0.3),"⚠ Lệch &gt; 30% so với nhu cầu",IF(Q1459="Có","ℹ Kiểm tra ngoại suy KM","✓ Hợp lệ")))))</f>
        <v/>
      </c>
    </row>
    <row r="1460">
      <c r="A1460" s="16" t="n">
        <v>1456</v>
      </c>
      <c r="B1460" s="17" t="inlineStr">
        <is>
          <t>DEC-S23-EGGS</t>
        </is>
      </c>
      <c r="C1460" s="16" t="n">
        <v>23</v>
      </c>
      <c r="D1460" s="17" t="inlineStr">
        <is>
          <t>EGGS</t>
        </is>
      </c>
      <c r="E1460" s="17" t="inlineStr">
        <is>
          <t>HIGH</t>
        </is>
      </c>
      <c r="F1460" s="17" t="inlineStr">
        <is>
          <t>TRUNG BÌNH</t>
        </is>
      </c>
      <c r="G1460" s="18" t="inlineStr">
        <is>
          <t>RISK_HIGH</t>
        </is>
      </c>
      <c r="H1460" s="19" t="n">
        <v>210.2521514892578</v>
      </c>
      <c r="I1460" s="19" t="n">
        <v>427.1566095352173</v>
      </c>
      <c r="J1460" s="19" t="n">
        <v>724.2217884063721</v>
      </c>
      <c r="K1460" s="19" t="n">
        <v>427.1566095352173</v>
      </c>
      <c r="L1460" s="19" t="n">
        <v>612.822346329689</v>
      </c>
      <c r="M1460" s="19" t="n">
        <v>724.2217884063721</v>
      </c>
      <c r="N1460" s="17" t="inlineStr">
        <is>
          <t>B</t>
        </is>
      </c>
      <c r="O1460" s="19" t="n">
        <v>271.0970587015152</v>
      </c>
      <c r="P1460" s="18" t="inlineStr">
        <is>
          <t>CÂN NHẮC THỬ NGHIỆM</t>
        </is>
      </c>
      <c r="Q1460" s="17" t="inlineStr">
        <is>
          <t>Không</t>
        </is>
      </c>
      <c r="R1460" s="20" t="n"/>
      <c r="S1460" s="20" t="n"/>
      <c r="T1460" s="21" t="n"/>
      <c r="U1460" s="21" t="n"/>
      <c r="V1460" s="22">
        <f>IF(U1460="A",K1460,IF(U1460="B",L1460,IF(U1460="C",M1460,IF(N1460="A",K1460,IF(N1460="B",L1460,M1460)))))</f>
        <v/>
      </c>
      <c r="W1460" s="22">
        <f>IF(R1460="",O1460,MAX(V1460-R1460-N(S1460),0))</f>
        <v/>
      </c>
      <c r="X1460" s="20" t="n"/>
      <c r="Y1460" s="23">
        <f>IF(OR(X1460="",W1460=0),"",X1460/W1460-1)</f>
        <v/>
      </c>
      <c r="Z1460" s="24" t="n"/>
      <c r="AA1460" s="21" t="n"/>
      <c r="AB1460" s="25" t="n"/>
      <c r="AC1460" s="26">
        <f>IF(T1460="","Chưa quyết định",IF(OR(Z1460="",AA1460=""),"⚠ Thiếu lý do/người duyệt",IF(AND(X1460&lt;&gt;"",N(X1460)+N(R1460)+N(S1460)&gt;M1460*1.001,R1460&lt;&gt;""),"⚠ Vượt mục tiêu P90",IF(AND(Y1460&lt;&gt;"",ABS(N(Y1460))&gt;0.3),"⚠ Lệch &gt; 30% so với nhu cầu",IF(Q1460="Có","ℹ Kiểm tra ngoại suy KM","✓ Hợp lệ")))))</f>
        <v/>
      </c>
    </row>
    <row r="1461">
      <c r="A1461" s="16" t="n">
        <v>1457</v>
      </c>
      <c r="B1461" s="17" t="inlineStr">
        <is>
          <t>DEC-S24-HOME_AND_KITCHEN_I</t>
        </is>
      </c>
      <c r="C1461" s="16" t="n">
        <v>24</v>
      </c>
      <c r="D1461" s="17" t="inlineStr">
        <is>
          <t>HOME AND KITCHEN I</t>
        </is>
      </c>
      <c r="E1461" s="17" t="inlineStr">
        <is>
          <t>HIGH</t>
        </is>
      </c>
      <c r="F1461" s="17" t="inlineStr">
        <is>
          <t>TRUNG BÌNH</t>
        </is>
      </c>
      <c r="G1461" s="18" t="inlineStr">
        <is>
          <t>RISK_HIGH</t>
        </is>
      </c>
      <c r="H1461" s="19" t="n">
        <v>201.6954860687256</v>
      </c>
      <c r="I1461" s="19" t="n">
        <v>425.3333911895752</v>
      </c>
      <c r="J1461" s="19" t="n">
        <v>732.3977489471436</v>
      </c>
      <c r="K1461" s="19" t="n">
        <v>425.3333911895752</v>
      </c>
      <c r="L1461" s="19" t="n">
        <v>617.2486147880554</v>
      </c>
      <c r="M1461" s="19" t="n">
        <v>732.3977489471436</v>
      </c>
      <c r="N1461" s="17" t="inlineStr">
        <is>
          <t>B</t>
        </is>
      </c>
      <c r="O1461" s="19" t="n">
        <v>276.9819018363953</v>
      </c>
      <c r="P1461" s="18" t="inlineStr">
        <is>
          <t>CÂN NHẮC THỬ NGHIỆM</t>
        </is>
      </c>
      <c r="Q1461" s="17" t="inlineStr">
        <is>
          <t>Không</t>
        </is>
      </c>
      <c r="R1461" s="20" t="n"/>
      <c r="S1461" s="20" t="n"/>
      <c r="T1461" s="21" t="n"/>
      <c r="U1461" s="21" t="n"/>
      <c r="V1461" s="22">
        <f>IF(U1461="A",K1461,IF(U1461="B",L1461,IF(U1461="C",M1461,IF(N1461="A",K1461,IF(N1461="B",L1461,M1461)))))</f>
        <v/>
      </c>
      <c r="W1461" s="22">
        <f>IF(R1461="",O1461,MAX(V1461-R1461-N(S1461),0))</f>
        <v/>
      </c>
      <c r="X1461" s="20" t="n"/>
      <c r="Y1461" s="23">
        <f>IF(OR(X1461="",W1461=0),"",X1461/W1461-1)</f>
        <v/>
      </c>
      <c r="Z1461" s="24" t="n"/>
      <c r="AA1461" s="21" t="n"/>
      <c r="AB1461" s="25" t="n"/>
      <c r="AC1461" s="26">
        <f>IF(T1461="","Chưa quyết định",IF(OR(Z1461="",AA1461=""),"⚠ Thiếu lý do/người duyệt",IF(AND(X1461&lt;&gt;"",N(X1461)+N(R1461)+N(S1461)&gt;M1461*1.001,R1461&lt;&gt;""),"⚠ Vượt mục tiêu P90",IF(AND(Y1461&lt;&gt;"",ABS(N(Y1461))&gt;0.3),"⚠ Lệch &gt; 30% so với nhu cầu",IF(Q1461="Có","ℹ Kiểm tra ngoại suy KM","✓ Hợp lệ")))))</f>
        <v/>
      </c>
    </row>
    <row r="1462">
      <c r="A1462" s="16" t="n">
        <v>1458</v>
      </c>
      <c r="B1462" s="17" t="inlineStr">
        <is>
          <t>DEC-S12-PREPARED_FOODS</t>
        </is>
      </c>
      <c r="C1462" s="16" t="n">
        <v>12</v>
      </c>
      <c r="D1462" s="17" t="inlineStr">
        <is>
          <t>PREPARED FOODS</t>
        </is>
      </c>
      <c r="E1462" s="17" t="inlineStr">
        <is>
          <t>HIGH</t>
        </is>
      </c>
      <c r="F1462" s="17" t="inlineStr">
        <is>
          <t>TRUNG BÌNH</t>
        </is>
      </c>
      <c r="G1462" s="18" t="inlineStr">
        <is>
          <t>RISK_HIGH</t>
        </is>
      </c>
      <c r="H1462" s="19" t="n">
        <v>200.8329277038575</v>
      </c>
      <c r="I1462" s="19" t="n">
        <v>424.470832824707</v>
      </c>
      <c r="J1462" s="19" t="n">
        <v>731.5351905822754</v>
      </c>
      <c r="K1462" s="19" t="n">
        <v>424.470832824707</v>
      </c>
      <c r="L1462" s="19" t="n">
        <v>616.3860564231873</v>
      </c>
      <c r="M1462" s="19" t="n">
        <v>731.5351905822754</v>
      </c>
      <c r="N1462" s="17" t="inlineStr">
        <is>
          <t>B</t>
        </is>
      </c>
      <c r="O1462" s="19" t="n">
        <v>276.8093901634216</v>
      </c>
      <c r="P1462" s="18" t="inlineStr">
        <is>
          <t>CÂN NHẮC THỬ NGHIỆM</t>
        </is>
      </c>
      <c r="Q1462" s="17" t="inlineStr">
        <is>
          <t>Không</t>
        </is>
      </c>
      <c r="R1462" s="20" t="n"/>
      <c r="S1462" s="20" t="n"/>
      <c r="T1462" s="21" t="n"/>
      <c r="U1462" s="21" t="n"/>
      <c r="V1462" s="22">
        <f>IF(U1462="A",K1462,IF(U1462="B",L1462,IF(U1462="C",M1462,IF(N1462="A",K1462,IF(N1462="B",L1462,M1462)))))</f>
        <v/>
      </c>
      <c r="W1462" s="22">
        <f>IF(R1462="",O1462,MAX(V1462-R1462-N(S1462),0))</f>
        <v/>
      </c>
      <c r="X1462" s="20" t="n"/>
      <c r="Y1462" s="23">
        <f>IF(OR(X1462="",W1462=0),"",X1462/W1462-1)</f>
        <v/>
      </c>
      <c r="Z1462" s="24" t="n"/>
      <c r="AA1462" s="21" t="n"/>
      <c r="AB1462" s="25" t="n"/>
      <c r="AC1462" s="26">
        <f>IF(T1462="","Chưa quyết định",IF(OR(Z1462="",AA1462=""),"⚠ Thiếu lý do/người duyệt",IF(AND(X1462&lt;&gt;"",N(X1462)+N(R1462)+N(S1462)&gt;M1462*1.001,R1462&lt;&gt;""),"⚠ Vượt mục tiêu P90",IF(AND(Y1462&lt;&gt;"",ABS(N(Y1462))&gt;0.3),"⚠ Lệch &gt; 30% so với nhu cầu",IF(Q1462="Có","ℹ Kiểm tra ngoại suy KM","✓ Hợp lệ")))))</f>
        <v/>
      </c>
    </row>
    <row r="1463">
      <c r="A1463" s="16" t="n">
        <v>1459</v>
      </c>
      <c r="B1463" s="17" t="inlineStr">
        <is>
          <t>DEC-S27-GROCERY_II</t>
        </is>
      </c>
      <c r="C1463" s="16" t="n">
        <v>27</v>
      </c>
      <c r="D1463" s="17" t="inlineStr">
        <is>
          <t>GROCERY II</t>
        </is>
      </c>
      <c r="E1463" s="17" t="inlineStr">
        <is>
          <t>HIGH</t>
        </is>
      </c>
      <c r="F1463" s="17" t="inlineStr">
        <is>
          <t>TRUNG BÌNH</t>
        </is>
      </c>
      <c r="G1463" s="18" t="inlineStr">
        <is>
          <t>RISK_HIGH</t>
        </is>
      </c>
      <c r="H1463" s="19" t="n">
        <v>206.1010208129883</v>
      </c>
      <c r="I1463" s="19" t="n">
        <v>423.0054788589478</v>
      </c>
      <c r="J1463" s="19" t="n">
        <v>720.0706577301025</v>
      </c>
      <c r="K1463" s="19" t="n">
        <v>423.0054788589478</v>
      </c>
      <c r="L1463" s="19" t="n">
        <v>608.6712156534195</v>
      </c>
      <c r="M1463" s="19" t="n">
        <v>720.0706577301025</v>
      </c>
      <c r="N1463" s="17" t="inlineStr">
        <is>
          <t>B</t>
        </is>
      </c>
      <c r="O1463" s="19" t="n">
        <v>270.2668325662613</v>
      </c>
      <c r="P1463" s="18" t="inlineStr">
        <is>
          <t>CÂN NHẮC THỬ NGHIỆM</t>
        </is>
      </c>
      <c r="Q1463" s="17" t="inlineStr">
        <is>
          <t>Không</t>
        </is>
      </c>
      <c r="R1463" s="20" t="n"/>
      <c r="S1463" s="20" t="n"/>
      <c r="T1463" s="21" t="n"/>
      <c r="U1463" s="21" t="n"/>
      <c r="V1463" s="22">
        <f>IF(U1463="A",K1463,IF(U1463="B",L1463,IF(U1463="C",M1463,IF(N1463="A",K1463,IF(N1463="B",L1463,M1463)))))</f>
        <v/>
      </c>
      <c r="W1463" s="22">
        <f>IF(R1463="",O1463,MAX(V1463-R1463-N(S1463),0))</f>
        <v/>
      </c>
      <c r="X1463" s="20" t="n"/>
      <c r="Y1463" s="23">
        <f>IF(OR(X1463="",W1463=0),"",X1463/W1463-1)</f>
        <v/>
      </c>
      <c r="Z1463" s="24" t="n"/>
      <c r="AA1463" s="21" t="n"/>
      <c r="AB1463" s="25" t="n"/>
      <c r="AC1463" s="26">
        <f>IF(T1463="","Chưa quyết định",IF(OR(Z1463="",AA1463=""),"⚠ Thiếu lý do/người duyệt",IF(AND(X1463&lt;&gt;"",N(X1463)+N(R1463)+N(S1463)&gt;M1463*1.001,R1463&lt;&gt;""),"⚠ Vượt mục tiêu P90",IF(AND(Y1463&lt;&gt;"",ABS(N(Y1463))&gt;0.3),"⚠ Lệch &gt; 30% so với nhu cầu",IF(Q1463="Có","ℹ Kiểm tra ngoại suy KM","✓ Hợp lệ")))))</f>
        <v/>
      </c>
    </row>
    <row r="1464">
      <c r="A1464" s="16" t="n">
        <v>1460</v>
      </c>
      <c r="B1464" s="17" t="inlineStr">
        <is>
          <t>DEC-S38-LADIESWEAR</t>
        </is>
      </c>
      <c r="C1464" s="16" t="n">
        <v>38</v>
      </c>
      <c r="D1464" s="17" t="inlineStr">
        <is>
          <t>LADIESWEAR</t>
        </is>
      </c>
      <c r="E1464" s="17" t="inlineStr">
        <is>
          <t>HIGH</t>
        </is>
      </c>
      <c r="F1464" s="17" t="inlineStr">
        <is>
          <t>TRUNG BÌNH</t>
        </is>
      </c>
      <c r="G1464" s="18" t="inlineStr">
        <is>
          <t>RISK_HIGH</t>
        </is>
      </c>
      <c r="H1464" s="19" t="n">
        <v>198.426498413086</v>
      </c>
      <c r="I1464" s="19" t="n">
        <v>422.0644035339356</v>
      </c>
      <c r="J1464" s="19" t="n">
        <v>729.1287612915039</v>
      </c>
      <c r="K1464" s="19" t="n">
        <v>422.0644035339356</v>
      </c>
      <c r="L1464" s="19" t="n">
        <v>613.9796271324158</v>
      </c>
      <c r="M1464" s="19" t="n">
        <v>729.1287612915039</v>
      </c>
      <c r="N1464" s="17" t="inlineStr">
        <is>
          <t>B</t>
        </is>
      </c>
      <c r="O1464" s="19" t="n">
        <v>276.3281043052673</v>
      </c>
      <c r="P1464" s="18" t="inlineStr">
        <is>
          <t>CÂN NHẮC THỬ NGHIỆM</t>
        </is>
      </c>
      <c r="Q1464" s="17" t="inlineStr">
        <is>
          <t>Không</t>
        </is>
      </c>
      <c r="R1464" s="20" t="n"/>
      <c r="S1464" s="20" t="n"/>
      <c r="T1464" s="21" t="n"/>
      <c r="U1464" s="21" t="n"/>
      <c r="V1464" s="22">
        <f>IF(U1464="A",K1464,IF(U1464="B",L1464,IF(U1464="C",M1464,IF(N1464="A",K1464,IF(N1464="B",L1464,M1464)))))</f>
        <v/>
      </c>
      <c r="W1464" s="22">
        <f>IF(R1464="",O1464,MAX(V1464-R1464-N(S1464),0))</f>
        <v/>
      </c>
      <c r="X1464" s="20" t="n"/>
      <c r="Y1464" s="23">
        <f>IF(OR(X1464="",W1464=0),"",X1464/W1464-1)</f>
        <v/>
      </c>
      <c r="Z1464" s="24" t="n"/>
      <c r="AA1464" s="21" t="n"/>
      <c r="AB1464" s="25" t="n"/>
      <c r="AC1464" s="26">
        <f>IF(T1464="","Chưa quyết định",IF(OR(Z1464="",AA1464=""),"⚠ Thiếu lý do/người duyệt",IF(AND(X1464&lt;&gt;"",N(X1464)+N(R1464)+N(S1464)&gt;M1464*1.001,R1464&lt;&gt;""),"⚠ Vượt mục tiêu P90",IF(AND(Y1464&lt;&gt;"",ABS(N(Y1464))&gt;0.3),"⚠ Lệch &gt; 30% so với nhu cầu",IF(Q1464="Có","ℹ Kiểm tra ngoại suy KM","✓ Hợp lệ")))))</f>
        <v/>
      </c>
    </row>
    <row r="1465">
      <c r="A1465" s="16" t="n">
        <v>1461</v>
      </c>
      <c r="B1465" s="17" t="inlineStr">
        <is>
          <t>DEC-S45-CELEBRATION</t>
        </is>
      </c>
      <c r="C1465" s="16" t="n">
        <v>45</v>
      </c>
      <c r="D1465" s="17" t="inlineStr">
        <is>
          <t>CELEBRATION</t>
        </is>
      </c>
      <c r="E1465" s="17" t="inlineStr">
        <is>
          <t>HIGH</t>
        </is>
      </c>
      <c r="F1465" s="17" t="inlineStr">
        <is>
          <t>TRUNG BÌNH</t>
        </is>
      </c>
      <c r="G1465" s="18" t="inlineStr">
        <is>
          <t>RISK_HIGH</t>
        </is>
      </c>
      <c r="H1465" s="19" t="n">
        <v>203.2821426391602</v>
      </c>
      <c r="I1465" s="19" t="n">
        <v>420.1866006851196</v>
      </c>
      <c r="J1465" s="19" t="n">
        <v>717.2517795562744</v>
      </c>
      <c r="K1465" s="19" t="n">
        <v>420.1866006851196</v>
      </c>
      <c r="L1465" s="19" t="n">
        <v>605.8523374795914</v>
      </c>
      <c r="M1465" s="19" t="n">
        <v>717.2517795562744</v>
      </c>
      <c r="N1465" s="17" t="inlineStr">
        <is>
          <t>B</t>
        </is>
      </c>
      <c r="O1465" s="19" t="n">
        <v>269.7030569314957</v>
      </c>
      <c r="P1465" s="18" t="inlineStr">
        <is>
          <t>CÂN NHẮC THỬ NGHIỆM</t>
        </is>
      </c>
      <c r="Q1465" s="17" t="inlineStr">
        <is>
          <t>Không</t>
        </is>
      </c>
      <c r="R1465" s="20" t="n"/>
      <c r="S1465" s="20" t="n"/>
      <c r="T1465" s="21" t="n"/>
      <c r="U1465" s="21" t="n"/>
      <c r="V1465" s="22">
        <f>IF(U1465="A",K1465,IF(U1465="B",L1465,IF(U1465="C",M1465,IF(N1465="A",K1465,IF(N1465="B",L1465,M1465)))))</f>
        <v/>
      </c>
      <c r="W1465" s="22">
        <f>IF(R1465="",O1465,MAX(V1465-R1465-N(S1465),0))</f>
        <v/>
      </c>
      <c r="X1465" s="20" t="n"/>
      <c r="Y1465" s="23">
        <f>IF(OR(X1465="",W1465=0),"",X1465/W1465-1)</f>
        <v/>
      </c>
      <c r="Z1465" s="24" t="n"/>
      <c r="AA1465" s="21" t="n"/>
      <c r="AB1465" s="25" t="n"/>
      <c r="AC1465" s="26">
        <f>IF(T1465="","Chưa quyết định",IF(OR(Z1465="",AA1465=""),"⚠ Thiếu lý do/người duyệt",IF(AND(X1465&lt;&gt;"",N(X1465)+N(R1465)+N(S1465)&gt;M1465*1.001,R1465&lt;&gt;""),"⚠ Vượt mục tiêu P90",IF(AND(Y1465&lt;&gt;"",ABS(N(Y1465))&gt;0.3),"⚠ Lệch &gt; 30% so với nhu cầu",IF(Q1465="Có","ℹ Kiểm tra ngoại suy KM","✓ Hợp lệ")))))</f>
        <v/>
      </c>
    </row>
    <row r="1466">
      <c r="A1466" s="16" t="n">
        <v>1462</v>
      </c>
      <c r="B1466" s="17" t="inlineStr">
        <is>
          <t>DEC-S42-HOME_AND_KITCHEN_I</t>
        </is>
      </c>
      <c r="C1466" s="16" t="n">
        <v>42</v>
      </c>
      <c r="D1466" s="17" t="inlineStr">
        <is>
          <t>HOME AND KITCHEN I</t>
        </is>
      </c>
      <c r="E1466" s="17" t="inlineStr">
        <is>
          <t>HIGH</t>
        </is>
      </c>
      <c r="F1466" s="17" t="inlineStr">
        <is>
          <t>TRUNG BÌNH</t>
        </is>
      </c>
      <c r="G1466" s="18" t="inlineStr">
        <is>
          <t>RISK_HIGH</t>
        </is>
      </c>
      <c r="H1466" s="19" t="n">
        <v>208.5485725402832</v>
      </c>
      <c r="I1466" s="19" t="n">
        <v>418.7195835113525</v>
      </c>
      <c r="J1466" s="19" t="n">
        <v>705.7855834960938</v>
      </c>
      <c r="K1466" s="19" t="n">
        <v>418.7195835113525</v>
      </c>
      <c r="L1466" s="19" t="n">
        <v>598.1358335018158</v>
      </c>
      <c r="M1466" s="19" t="n">
        <v>705.7855834960938</v>
      </c>
      <c r="N1466" s="17" t="inlineStr">
        <is>
          <t>B</t>
        </is>
      </c>
      <c r="O1466" s="19" t="n">
        <v>263.1601666927337</v>
      </c>
      <c r="P1466" s="18" t="inlineStr">
        <is>
          <t>CÂN NHẮC THỬ NGHIỆM</t>
        </is>
      </c>
      <c r="Q1466" s="17" t="inlineStr">
        <is>
          <t>Không</t>
        </is>
      </c>
      <c r="R1466" s="20" t="n"/>
      <c r="S1466" s="20" t="n"/>
      <c r="T1466" s="21" t="n"/>
      <c r="U1466" s="21" t="n"/>
      <c r="V1466" s="22">
        <f>IF(U1466="A",K1466,IF(U1466="B",L1466,IF(U1466="C",M1466,IF(N1466="A",K1466,IF(N1466="B",L1466,M1466)))))</f>
        <v/>
      </c>
      <c r="W1466" s="22">
        <f>IF(R1466="",O1466,MAX(V1466-R1466-N(S1466),0))</f>
        <v/>
      </c>
      <c r="X1466" s="20" t="n"/>
      <c r="Y1466" s="23">
        <f>IF(OR(X1466="",W1466=0),"",X1466/W1466-1)</f>
        <v/>
      </c>
      <c r="Z1466" s="24" t="n"/>
      <c r="AA1466" s="21" t="n"/>
      <c r="AB1466" s="25" t="n"/>
      <c r="AC1466" s="26">
        <f>IF(T1466="","Chưa quyết định",IF(OR(Z1466="",AA1466=""),"⚠ Thiếu lý do/người duyệt",IF(AND(X1466&lt;&gt;"",N(X1466)+N(R1466)+N(S1466)&gt;M1466*1.001,R1466&lt;&gt;""),"⚠ Vượt mục tiêu P90",IF(AND(Y1466&lt;&gt;"",ABS(N(Y1466))&gt;0.3),"⚠ Lệch &gt; 30% so với nhu cầu",IF(Q1466="Có","ℹ Kiểm tra ngoại suy KM","✓ Hợp lệ")))))</f>
        <v/>
      </c>
    </row>
    <row r="1467">
      <c r="A1467" s="16" t="n">
        <v>1463</v>
      </c>
      <c r="B1467" s="17" t="inlineStr">
        <is>
          <t>DEC-S44-LAWN_AND_GARDEN</t>
        </is>
      </c>
      <c r="C1467" s="16" t="n">
        <v>44</v>
      </c>
      <c r="D1467" s="17" t="inlineStr">
        <is>
          <t>LAWN AND GARDEN</t>
        </is>
      </c>
      <c r="E1467" s="17" t="inlineStr">
        <is>
          <t>HIGH</t>
        </is>
      </c>
      <c r="F1467" s="17" t="inlineStr">
        <is>
          <t>TRUNG BÌNH</t>
        </is>
      </c>
      <c r="G1467" s="18" t="inlineStr">
        <is>
          <t>RISK_HIGH</t>
        </is>
      </c>
      <c r="H1467" s="19" t="n">
        <v>199.023847579956</v>
      </c>
      <c r="I1467" s="19" t="n">
        <v>415.9283056259155</v>
      </c>
      <c r="J1467" s="19" t="n">
        <v>712.9934844970703</v>
      </c>
      <c r="K1467" s="19" t="n">
        <v>415.9283056259155</v>
      </c>
      <c r="L1467" s="19" t="n">
        <v>601.5940424203873</v>
      </c>
      <c r="M1467" s="19" t="n">
        <v>712.9934844970703</v>
      </c>
      <c r="N1467" s="17" t="inlineStr">
        <is>
          <t>B</t>
        </is>
      </c>
      <c r="O1467" s="19" t="n">
        <v>268.8513979196548</v>
      </c>
      <c r="P1467" s="18" t="inlineStr">
        <is>
          <t>CÂN NHẮC THỬ NGHIỆM</t>
        </is>
      </c>
      <c r="Q1467" s="17" t="inlineStr">
        <is>
          <t>Không</t>
        </is>
      </c>
      <c r="R1467" s="20" t="n"/>
      <c r="S1467" s="20" t="n"/>
      <c r="T1467" s="21" t="n"/>
      <c r="U1467" s="21" t="n"/>
      <c r="V1467" s="22">
        <f>IF(U1467="A",K1467,IF(U1467="B",L1467,IF(U1467="C",M1467,IF(N1467="A",K1467,IF(N1467="B",L1467,M1467)))))</f>
        <v/>
      </c>
      <c r="W1467" s="22">
        <f>IF(R1467="",O1467,MAX(V1467-R1467-N(S1467),0))</f>
        <v/>
      </c>
      <c r="X1467" s="20" t="n"/>
      <c r="Y1467" s="23">
        <f>IF(OR(X1467="",W1467=0),"",X1467/W1467-1)</f>
        <v/>
      </c>
      <c r="Z1467" s="24" t="n"/>
      <c r="AA1467" s="21" t="n"/>
      <c r="AB1467" s="25" t="n"/>
      <c r="AC1467" s="26">
        <f>IF(T1467="","Chưa quyết định",IF(OR(Z1467="",AA1467=""),"⚠ Thiếu lý do/người duyệt",IF(AND(X1467&lt;&gt;"",N(X1467)+N(R1467)+N(S1467)&gt;M1467*1.001,R1467&lt;&gt;""),"⚠ Vượt mục tiêu P90",IF(AND(Y1467&lt;&gt;"",ABS(N(Y1467))&gt;0.3),"⚠ Lệch &gt; 30% so với nhu cầu",IF(Q1467="Có","ℹ Kiểm tra ngoại suy KM","✓ Hợp lệ")))))</f>
        <v/>
      </c>
    </row>
    <row r="1468">
      <c r="A1468" s="16" t="n">
        <v>1464</v>
      </c>
      <c r="B1468" s="17" t="inlineStr">
        <is>
          <t>DEC-S45-PLAYERS_AND_ELECTRONICS</t>
        </is>
      </c>
      <c r="C1468" s="16" t="n">
        <v>45</v>
      </c>
      <c r="D1468" s="17" t="inlineStr">
        <is>
          <t>PLAYERS AND ELECTRONICS</t>
        </is>
      </c>
      <c r="E1468" s="17" t="inlineStr">
        <is>
          <t>HIGH</t>
        </is>
      </c>
      <c r="F1468" s="17" t="inlineStr">
        <is>
          <t>TRUNG BÌNH</t>
        </is>
      </c>
      <c r="G1468" s="18" t="inlineStr">
        <is>
          <t>RISK_HIGH</t>
        </is>
      </c>
      <c r="H1468" s="19" t="n">
        <v>191.4294948577881</v>
      </c>
      <c r="I1468" s="19" t="n">
        <v>415.0673999786377</v>
      </c>
      <c r="J1468" s="19" t="n">
        <v>722.1317577362061</v>
      </c>
      <c r="K1468" s="19" t="n">
        <v>415.0673999786377</v>
      </c>
      <c r="L1468" s="19" t="n">
        <v>606.9826235771179</v>
      </c>
      <c r="M1468" s="19" t="n">
        <v>722.1317577362061</v>
      </c>
      <c r="N1468" s="17" t="inlineStr">
        <is>
          <t>B</t>
        </is>
      </c>
      <c r="O1468" s="19" t="n">
        <v>274.9287035942077</v>
      </c>
      <c r="P1468" s="18" t="inlineStr">
        <is>
          <t>CÂN NHẮC THỬ NGHIỆM</t>
        </is>
      </c>
      <c r="Q1468" s="17" t="inlineStr">
        <is>
          <t>Không</t>
        </is>
      </c>
      <c r="R1468" s="20" t="n"/>
      <c r="S1468" s="20" t="n"/>
      <c r="T1468" s="21" t="n"/>
      <c r="U1468" s="21" t="n"/>
      <c r="V1468" s="22">
        <f>IF(U1468="A",K1468,IF(U1468="B",L1468,IF(U1468="C",M1468,IF(N1468="A",K1468,IF(N1468="B",L1468,M1468)))))</f>
        <v/>
      </c>
      <c r="W1468" s="22">
        <f>IF(R1468="",O1468,MAX(V1468-R1468-N(S1468),0))</f>
        <v/>
      </c>
      <c r="X1468" s="20" t="n"/>
      <c r="Y1468" s="23">
        <f>IF(OR(X1468="",W1468=0),"",X1468/W1468-1)</f>
        <v/>
      </c>
      <c r="Z1468" s="24" t="n"/>
      <c r="AA1468" s="21" t="n"/>
      <c r="AB1468" s="25" t="n"/>
      <c r="AC1468" s="26">
        <f>IF(T1468="","Chưa quyết định",IF(OR(Z1468="",AA1468=""),"⚠ Thiếu lý do/người duyệt",IF(AND(X1468&lt;&gt;"",N(X1468)+N(R1468)+N(S1468)&gt;M1468*1.001,R1468&lt;&gt;""),"⚠ Vượt mục tiêu P90",IF(AND(Y1468&lt;&gt;"",ABS(N(Y1468))&gt;0.3),"⚠ Lệch &gt; 30% so với nhu cầu",IF(Q1468="Có","ℹ Kiểm tra ngoại suy KM","✓ Hợp lệ")))))</f>
        <v/>
      </c>
    </row>
    <row r="1469">
      <c r="A1469" s="16" t="n">
        <v>1465</v>
      </c>
      <c r="B1469" s="17" t="inlineStr">
        <is>
          <t>DEC-S41-HOME_AND_KITCHEN_I</t>
        </is>
      </c>
      <c r="C1469" s="16" t="n">
        <v>41</v>
      </c>
      <c r="D1469" s="17" t="inlineStr">
        <is>
          <t>HOME AND KITCHEN I</t>
        </is>
      </c>
      <c r="E1469" s="17" t="inlineStr">
        <is>
          <t>HIGH</t>
        </is>
      </c>
      <c r="F1469" s="17" t="inlineStr">
        <is>
          <t>TRUNG BÌNH</t>
        </is>
      </c>
      <c r="G1469" s="18" t="inlineStr">
        <is>
          <t>RISK_HIGH</t>
        </is>
      </c>
      <c r="H1469" s="19" t="n">
        <v>197.5324954986572</v>
      </c>
      <c r="I1469" s="19" t="n">
        <v>413.8044109344482</v>
      </c>
      <c r="J1469" s="19" t="n">
        <v>710.869589805603</v>
      </c>
      <c r="K1469" s="19" t="n">
        <v>413.8044109344482</v>
      </c>
      <c r="L1469" s="19" t="n">
        <v>599.47014772892</v>
      </c>
      <c r="M1469" s="19" t="n">
        <v>710.869589805603</v>
      </c>
      <c r="N1469" s="17" t="inlineStr">
        <is>
          <t>B</t>
        </is>
      </c>
      <c r="O1469" s="19" t="n">
        <v>268.4266189813613</v>
      </c>
      <c r="P1469" s="18" t="inlineStr">
        <is>
          <t>CÂN NHẮC THỬ NGHIỆM</t>
        </is>
      </c>
      <c r="Q1469" s="17" t="inlineStr">
        <is>
          <t>Không</t>
        </is>
      </c>
      <c r="R1469" s="20" t="n"/>
      <c r="S1469" s="20" t="n"/>
      <c r="T1469" s="21" t="n"/>
      <c r="U1469" s="21" t="n"/>
      <c r="V1469" s="22">
        <f>IF(U1469="A",K1469,IF(U1469="B",L1469,IF(U1469="C",M1469,IF(N1469="A",K1469,IF(N1469="B",L1469,M1469)))))</f>
        <v/>
      </c>
      <c r="W1469" s="22">
        <f>IF(R1469="",O1469,MAX(V1469-R1469-N(S1469),0))</f>
        <v/>
      </c>
      <c r="X1469" s="20" t="n"/>
      <c r="Y1469" s="23">
        <f>IF(OR(X1469="",W1469=0),"",X1469/W1469-1)</f>
        <v/>
      </c>
      <c r="Z1469" s="24" t="n"/>
      <c r="AA1469" s="21" t="n"/>
      <c r="AB1469" s="25" t="n"/>
      <c r="AC1469" s="26">
        <f>IF(T1469="","Chưa quyết định",IF(OR(Z1469="",AA1469=""),"⚠ Thiếu lý do/người duyệt",IF(AND(X1469&lt;&gt;"",N(X1469)+N(R1469)+N(S1469)&gt;M1469*1.001,R1469&lt;&gt;""),"⚠ Vượt mục tiêu P90",IF(AND(Y1469&lt;&gt;"",ABS(N(Y1469))&gt;0.3),"⚠ Lệch &gt; 30% so với nhu cầu",IF(Q1469="Có","ℹ Kiểm tra ngoại suy KM","✓ Hợp lệ")))))</f>
        <v/>
      </c>
    </row>
    <row r="1470">
      <c r="A1470" s="16" t="n">
        <v>1466</v>
      </c>
      <c r="B1470" s="17" t="inlineStr">
        <is>
          <t>DEC-S48-SEAFOOD</t>
        </is>
      </c>
      <c r="C1470" s="16" t="n">
        <v>48</v>
      </c>
      <c r="D1470" s="17" t="inlineStr">
        <is>
          <t>SEAFOOD</t>
        </is>
      </c>
      <c r="E1470" s="17" t="inlineStr">
        <is>
          <t>HIGH</t>
        </is>
      </c>
      <c r="F1470" s="17" t="inlineStr">
        <is>
          <t>TRUNG BÌNH</t>
        </is>
      </c>
      <c r="G1470" s="18" t="inlineStr">
        <is>
          <t>RISK_HIGH</t>
        </is>
      </c>
      <c r="H1470" s="19" t="n">
        <v>178.559736251831</v>
      </c>
      <c r="I1470" s="19" t="n">
        <v>413.3895320892334</v>
      </c>
      <c r="J1470" s="19" t="n">
        <v>740.4522476196289</v>
      </c>
      <c r="K1470" s="19" t="n">
        <v>413.3895320892334</v>
      </c>
      <c r="L1470" s="19" t="n">
        <v>617.8037292957306</v>
      </c>
      <c r="M1470" s="19" t="n">
        <v>740.4522476196289</v>
      </c>
      <c r="N1470" s="17" t="inlineStr">
        <is>
          <t>B</t>
        </is>
      </c>
      <c r="O1470" s="19" t="n">
        <v>287.0921036243438</v>
      </c>
      <c r="P1470" s="18" t="inlineStr">
        <is>
          <t>CÂN NHẮC THỬ NGHIỆM</t>
        </is>
      </c>
      <c r="Q1470" s="17" t="inlineStr">
        <is>
          <t>Không</t>
        </is>
      </c>
      <c r="R1470" s="20" t="n"/>
      <c r="S1470" s="20" t="n"/>
      <c r="T1470" s="21" t="n"/>
      <c r="U1470" s="21" t="n"/>
      <c r="V1470" s="22">
        <f>IF(U1470="A",K1470,IF(U1470="B",L1470,IF(U1470="C",M1470,IF(N1470="A",K1470,IF(N1470="B",L1470,M1470)))))</f>
        <v/>
      </c>
      <c r="W1470" s="22">
        <f>IF(R1470="",O1470,MAX(V1470-R1470-N(S1470),0))</f>
        <v/>
      </c>
      <c r="X1470" s="20" t="n"/>
      <c r="Y1470" s="23">
        <f>IF(OR(X1470="",W1470=0),"",X1470/W1470-1)</f>
        <v/>
      </c>
      <c r="Z1470" s="24" t="n"/>
      <c r="AA1470" s="21" t="n"/>
      <c r="AB1470" s="25" t="n"/>
      <c r="AC1470" s="26">
        <f>IF(T1470="","Chưa quyết định",IF(OR(Z1470="",AA1470=""),"⚠ Thiếu lý do/người duyệt",IF(AND(X1470&lt;&gt;"",N(X1470)+N(R1470)+N(S1470)&gt;M1470*1.001,R1470&lt;&gt;""),"⚠ Vượt mục tiêu P90",IF(AND(Y1470&lt;&gt;"",ABS(N(Y1470))&gt;0.3),"⚠ Lệch &gt; 30% so với nhu cầu",IF(Q1470="Có","ℹ Kiểm tra ngoại suy KM","✓ Hợp lệ")))))</f>
        <v/>
      </c>
    </row>
    <row r="1471">
      <c r="A1471" s="16" t="n">
        <v>1467</v>
      </c>
      <c r="B1471" s="17" t="inlineStr">
        <is>
          <t>DEC-S47-CELEBRATION</t>
        </is>
      </c>
      <c r="C1471" s="16" t="n">
        <v>47</v>
      </c>
      <c r="D1471" s="17" t="inlineStr">
        <is>
          <t>CELEBRATION</t>
        </is>
      </c>
      <c r="E1471" s="17" t="inlineStr">
        <is>
          <t>HIGH</t>
        </is>
      </c>
      <c r="F1471" s="17" t="inlineStr">
        <is>
          <t>TRUNG BÌNH</t>
        </is>
      </c>
      <c r="G1471" s="18" t="inlineStr">
        <is>
          <t>RISK_HIGH</t>
        </is>
      </c>
      <c r="H1471" s="19" t="n">
        <v>195.9282474517822</v>
      </c>
      <c r="I1471" s="19" t="n">
        <v>412.8327054977417</v>
      </c>
      <c r="J1471" s="19" t="n">
        <v>709.8978843688965</v>
      </c>
      <c r="K1471" s="19" t="n">
        <v>412.8327054977417</v>
      </c>
      <c r="L1471" s="19" t="n">
        <v>598.4984422922134</v>
      </c>
      <c r="M1471" s="19" t="n">
        <v>709.8978843688965</v>
      </c>
      <c r="N1471" s="17" t="inlineStr">
        <is>
          <t>B</t>
        </is>
      </c>
      <c r="O1471" s="19" t="n">
        <v>268.2322778940201</v>
      </c>
      <c r="P1471" s="18" t="inlineStr">
        <is>
          <t>CÂN NHẮC THỬ NGHIỆM</t>
        </is>
      </c>
      <c r="Q1471" s="17" t="inlineStr">
        <is>
          <t>Không</t>
        </is>
      </c>
      <c r="R1471" s="20" t="n"/>
      <c r="S1471" s="20" t="n"/>
      <c r="T1471" s="21" t="n"/>
      <c r="U1471" s="21" t="n"/>
      <c r="V1471" s="22">
        <f>IF(U1471="A",K1471,IF(U1471="B",L1471,IF(U1471="C",M1471,IF(N1471="A",K1471,IF(N1471="B",L1471,M1471)))))</f>
        <v/>
      </c>
      <c r="W1471" s="22">
        <f>IF(R1471="",O1471,MAX(V1471-R1471-N(S1471),0))</f>
        <v/>
      </c>
      <c r="X1471" s="20" t="n"/>
      <c r="Y1471" s="23">
        <f>IF(OR(X1471="",W1471=0),"",X1471/W1471-1)</f>
        <v/>
      </c>
      <c r="Z1471" s="24" t="n"/>
      <c r="AA1471" s="21" t="n"/>
      <c r="AB1471" s="25" t="n"/>
      <c r="AC1471" s="26">
        <f>IF(T1471="","Chưa quyết định",IF(OR(Z1471="",AA1471=""),"⚠ Thiếu lý do/người duyệt",IF(AND(X1471&lt;&gt;"",N(X1471)+N(R1471)+N(S1471)&gt;M1471*1.001,R1471&lt;&gt;""),"⚠ Vượt mục tiêu P90",IF(AND(Y1471&lt;&gt;"",ABS(N(Y1471))&gt;0.3),"⚠ Lệch &gt; 30% so với nhu cầu",IF(Q1471="Có","ℹ Kiểm tra ngoại suy KM","✓ Hợp lệ")))))</f>
        <v/>
      </c>
    </row>
    <row r="1472">
      <c r="A1472" s="16" t="n">
        <v>1468</v>
      </c>
      <c r="B1472" s="17" t="inlineStr">
        <is>
          <t>DEC-S16-PREPARED_FOODS</t>
        </is>
      </c>
      <c r="C1472" s="16" t="n">
        <v>16</v>
      </c>
      <c r="D1472" s="17" t="inlineStr">
        <is>
          <t>PREPARED FOODS</t>
        </is>
      </c>
      <c r="E1472" s="17" t="inlineStr">
        <is>
          <t>HIGH</t>
        </is>
      </c>
      <c r="F1472" s="17" t="inlineStr">
        <is>
          <t>TRUNG BÌNH</t>
        </is>
      </c>
      <c r="G1472" s="18" t="inlineStr">
        <is>
          <t>RISK_HIGH</t>
        </is>
      </c>
      <c r="H1472" s="19" t="n">
        <v>181.6847229003907</v>
      </c>
      <c r="I1472" s="19" t="n">
        <v>405.3226280212402</v>
      </c>
      <c r="J1472" s="19" t="n">
        <v>712.3869857788086</v>
      </c>
      <c r="K1472" s="19" t="n">
        <v>405.3226280212402</v>
      </c>
      <c r="L1472" s="19" t="n">
        <v>597.2378516197205</v>
      </c>
      <c r="M1472" s="19" t="n">
        <v>712.3869857788086</v>
      </c>
      <c r="N1472" s="17" t="inlineStr">
        <is>
          <t>B</t>
        </is>
      </c>
      <c r="O1472" s="19" t="n">
        <v>272.9797492027283</v>
      </c>
      <c r="P1472" s="18" t="inlineStr">
        <is>
          <t>CÂN NHẮC THỬ NGHIỆM</t>
        </is>
      </c>
      <c r="Q1472" s="17" t="inlineStr">
        <is>
          <t>Không</t>
        </is>
      </c>
      <c r="R1472" s="20" t="n"/>
      <c r="S1472" s="20" t="n"/>
      <c r="T1472" s="21" t="n"/>
      <c r="U1472" s="21" t="n"/>
      <c r="V1472" s="22">
        <f>IF(U1472="A",K1472,IF(U1472="B",L1472,IF(U1472="C",M1472,IF(N1472="A",K1472,IF(N1472="B",L1472,M1472)))))</f>
        <v/>
      </c>
      <c r="W1472" s="22">
        <f>IF(R1472="",O1472,MAX(V1472-R1472-N(S1472),0))</f>
        <v/>
      </c>
      <c r="X1472" s="20" t="n"/>
      <c r="Y1472" s="23">
        <f>IF(OR(X1472="",W1472=0),"",X1472/W1472-1)</f>
        <v/>
      </c>
      <c r="Z1472" s="24" t="n"/>
      <c r="AA1472" s="21" t="n"/>
      <c r="AB1472" s="25" t="n"/>
      <c r="AC1472" s="26">
        <f>IF(T1472="","Chưa quyết định",IF(OR(Z1472="",AA1472=""),"⚠ Thiếu lý do/người duyệt",IF(AND(X1472&lt;&gt;"",N(X1472)+N(R1472)+N(S1472)&gt;M1472*1.001,R1472&lt;&gt;""),"⚠ Vượt mục tiêu P90",IF(AND(Y1472&lt;&gt;"",ABS(N(Y1472))&gt;0.3),"⚠ Lệch &gt; 30% so với nhu cầu",IF(Q1472="Có","ℹ Kiểm tra ngoại suy KM","✓ Hợp lệ")))))</f>
        <v/>
      </c>
    </row>
    <row r="1473">
      <c r="A1473" s="16" t="n">
        <v>1469</v>
      </c>
      <c r="B1473" s="17" t="inlineStr">
        <is>
          <t>DEC-S06-LADIESWEAR</t>
        </is>
      </c>
      <c r="C1473" s="16" t="n">
        <v>6</v>
      </c>
      <c r="D1473" s="17" t="inlineStr">
        <is>
          <t>LADIESWEAR</t>
        </is>
      </c>
      <c r="E1473" s="17" t="inlineStr">
        <is>
          <t>HIGH</t>
        </is>
      </c>
      <c r="F1473" s="17" t="inlineStr">
        <is>
          <t>TRUNG BÌNH</t>
        </is>
      </c>
      <c r="G1473" s="18" t="inlineStr">
        <is>
          <t>RISK_HIGH</t>
        </is>
      </c>
      <c r="H1473" s="19" t="n">
        <v>181.1616306304932</v>
      </c>
      <c r="I1473" s="19" t="n">
        <v>404.7995357513428</v>
      </c>
      <c r="J1473" s="19" t="n">
        <v>711.8638935089111</v>
      </c>
      <c r="K1473" s="19" t="n">
        <v>404.7995357513428</v>
      </c>
      <c r="L1473" s="19" t="n">
        <v>596.714759349823</v>
      </c>
      <c r="M1473" s="19" t="n">
        <v>711.8638935089111</v>
      </c>
      <c r="N1473" s="17" t="inlineStr">
        <is>
          <t>B</t>
        </is>
      </c>
      <c r="O1473" s="19" t="n">
        <v>272.8751307487487</v>
      </c>
      <c r="P1473" s="18" t="inlineStr">
        <is>
          <t>CÂN NHẮC THỬ NGHIỆM</t>
        </is>
      </c>
      <c r="Q1473" s="17" t="inlineStr">
        <is>
          <t>Không</t>
        </is>
      </c>
      <c r="R1473" s="20" t="n"/>
      <c r="S1473" s="20" t="n"/>
      <c r="T1473" s="21" t="n"/>
      <c r="U1473" s="21" t="n"/>
      <c r="V1473" s="22">
        <f>IF(U1473="A",K1473,IF(U1473="B",L1473,IF(U1473="C",M1473,IF(N1473="A",K1473,IF(N1473="B",L1473,M1473)))))</f>
        <v/>
      </c>
      <c r="W1473" s="22">
        <f>IF(R1473="",O1473,MAX(V1473-R1473-N(S1473),0))</f>
        <v/>
      </c>
      <c r="X1473" s="20" t="n"/>
      <c r="Y1473" s="23">
        <f>IF(OR(X1473="",W1473=0),"",X1473/W1473-1)</f>
        <v/>
      </c>
      <c r="Z1473" s="24" t="n"/>
      <c r="AA1473" s="21" t="n"/>
      <c r="AB1473" s="25" t="n"/>
      <c r="AC1473" s="26">
        <f>IF(T1473="","Chưa quyết định",IF(OR(Z1473="",AA1473=""),"⚠ Thiếu lý do/người duyệt",IF(AND(X1473&lt;&gt;"",N(X1473)+N(R1473)+N(S1473)&gt;M1473*1.001,R1473&lt;&gt;""),"⚠ Vượt mục tiêu P90",IF(AND(Y1473&lt;&gt;"",ABS(N(Y1473))&gt;0.3),"⚠ Lệch &gt; 30% so với nhu cầu",IF(Q1473="Có","ℹ Kiểm tra ngoại suy KM","✓ Hợp lệ")))))</f>
        <v/>
      </c>
    </row>
    <row r="1474">
      <c r="A1474" s="16" t="n">
        <v>1470</v>
      </c>
      <c r="B1474" s="17" t="inlineStr">
        <is>
          <t>DEC-S05-HOME_AND_KITCHEN_I</t>
        </is>
      </c>
      <c r="C1474" s="16" t="n">
        <v>5</v>
      </c>
      <c r="D1474" s="17" t="inlineStr">
        <is>
          <t>HOME AND KITCHEN I</t>
        </is>
      </c>
      <c r="E1474" s="17" t="inlineStr">
        <is>
          <t>HIGH</t>
        </is>
      </c>
      <c r="F1474" s="17" t="inlineStr">
        <is>
          <t>TRUNG BÌNH</t>
        </is>
      </c>
      <c r="G1474" s="18" t="inlineStr">
        <is>
          <t>RISK_HIGH</t>
        </is>
      </c>
      <c r="H1474" s="19" t="n">
        <v>187.4469518661499</v>
      </c>
      <c r="I1474" s="19" t="n">
        <v>404.3514099121094</v>
      </c>
      <c r="J1474" s="19" t="n">
        <v>701.4165887832642</v>
      </c>
      <c r="K1474" s="19" t="n">
        <v>404.3514099121094</v>
      </c>
      <c r="L1474" s="19" t="n">
        <v>590.0171467065811</v>
      </c>
      <c r="M1474" s="19" t="n">
        <v>701.4165887832642</v>
      </c>
      <c r="N1474" s="17" t="inlineStr">
        <is>
          <t>B</t>
        </is>
      </c>
      <c r="O1474" s="19" t="n">
        <v>266.5360187768936</v>
      </c>
      <c r="P1474" s="18" t="inlineStr">
        <is>
          <t>CÂN NHẮC THỬ NGHIỆM</t>
        </is>
      </c>
      <c r="Q1474" s="17" t="inlineStr">
        <is>
          <t>Không</t>
        </is>
      </c>
      <c r="R1474" s="20" t="n"/>
      <c r="S1474" s="20" t="n"/>
      <c r="T1474" s="21" t="n"/>
      <c r="U1474" s="21" t="n"/>
      <c r="V1474" s="22">
        <f>IF(U1474="A",K1474,IF(U1474="B",L1474,IF(U1474="C",M1474,IF(N1474="A",K1474,IF(N1474="B",L1474,M1474)))))</f>
        <v/>
      </c>
      <c r="W1474" s="22">
        <f>IF(R1474="",O1474,MAX(V1474-R1474-N(S1474),0))</f>
        <v/>
      </c>
      <c r="X1474" s="20" t="n"/>
      <c r="Y1474" s="23">
        <f>IF(OR(X1474="",W1474=0),"",X1474/W1474-1)</f>
        <v/>
      </c>
      <c r="Z1474" s="24" t="n"/>
      <c r="AA1474" s="21" t="n"/>
      <c r="AB1474" s="25" t="n"/>
      <c r="AC1474" s="26">
        <f>IF(T1474="","Chưa quyết định",IF(OR(Z1474="",AA1474=""),"⚠ Thiếu lý do/người duyệt",IF(AND(X1474&lt;&gt;"",N(X1474)+N(R1474)+N(S1474)&gt;M1474*1.001,R1474&lt;&gt;""),"⚠ Vượt mục tiêu P90",IF(AND(Y1474&lt;&gt;"",ABS(N(Y1474))&gt;0.3),"⚠ Lệch &gt; 30% so với nhu cầu",IF(Q1474="Có","ℹ Kiểm tra ngoại suy KM","✓ Hợp lệ")))))</f>
        <v/>
      </c>
    </row>
    <row r="1475">
      <c r="A1475" s="16" t="n">
        <v>1471</v>
      </c>
      <c r="B1475" s="17" t="inlineStr">
        <is>
          <t>DEC-S31-HOME_AND_KITCHEN_I</t>
        </is>
      </c>
      <c r="C1475" s="16" t="n">
        <v>31</v>
      </c>
      <c r="D1475" s="17" t="inlineStr">
        <is>
          <t>HOME AND KITCHEN I</t>
        </is>
      </c>
      <c r="E1475" s="17" t="inlineStr">
        <is>
          <t>HIGH</t>
        </is>
      </c>
      <c r="F1475" s="17" t="inlineStr">
        <is>
          <t>TRUNG BÌNH</t>
        </is>
      </c>
      <c r="G1475" s="18" t="inlineStr">
        <is>
          <t>RISK_HIGH</t>
        </is>
      </c>
      <c r="H1475" s="19" t="n">
        <v>171.8994541168213</v>
      </c>
      <c r="I1475" s="19" t="n">
        <v>395.5373592376709</v>
      </c>
      <c r="J1475" s="19" t="n">
        <v>702.6017169952393</v>
      </c>
      <c r="K1475" s="19" t="n">
        <v>395.5373592376709</v>
      </c>
      <c r="L1475" s="19" t="n">
        <v>587.4525828361511</v>
      </c>
      <c r="M1475" s="19" t="n">
        <v>702.6017169952393</v>
      </c>
      <c r="N1475" s="17" t="inlineStr">
        <is>
          <t>B</t>
        </is>
      </c>
      <c r="O1475" s="19" t="n">
        <v>271.0226954460144</v>
      </c>
      <c r="P1475" s="18" t="inlineStr">
        <is>
          <t>CÂN NHẮC THỬ NGHIỆM</t>
        </is>
      </c>
      <c r="Q1475" s="17" t="inlineStr">
        <is>
          <t>Không</t>
        </is>
      </c>
      <c r="R1475" s="20" t="n"/>
      <c r="S1475" s="20" t="n"/>
      <c r="T1475" s="21" t="n"/>
      <c r="U1475" s="21" t="n"/>
      <c r="V1475" s="22">
        <f>IF(U1475="A",K1475,IF(U1475="B",L1475,IF(U1475="C",M1475,IF(N1475="A",K1475,IF(N1475="B",L1475,M1475)))))</f>
        <v/>
      </c>
      <c r="W1475" s="22">
        <f>IF(R1475="",O1475,MAX(V1475-R1475-N(S1475),0))</f>
        <v/>
      </c>
      <c r="X1475" s="20" t="n"/>
      <c r="Y1475" s="23">
        <f>IF(OR(X1475="",W1475=0),"",X1475/W1475-1)</f>
        <v/>
      </c>
      <c r="Z1475" s="24" t="n"/>
      <c r="AA1475" s="21" t="n"/>
      <c r="AB1475" s="25" t="n"/>
      <c r="AC1475" s="26">
        <f>IF(T1475="","Chưa quyết định",IF(OR(Z1475="",AA1475=""),"⚠ Thiếu lý do/người duyệt",IF(AND(X1475&lt;&gt;"",N(X1475)+N(R1475)+N(S1475)&gt;M1475*1.001,R1475&lt;&gt;""),"⚠ Vượt mục tiêu P90",IF(AND(Y1475&lt;&gt;"",ABS(N(Y1475))&gt;0.3),"⚠ Lệch &gt; 30% so với nhu cầu",IF(Q1475="Có","ℹ Kiểm tra ngoại suy KM","✓ Hợp lệ")))))</f>
        <v/>
      </c>
    </row>
    <row r="1476">
      <c r="A1476" s="16" t="n">
        <v>1472</v>
      </c>
      <c r="B1476" s="17" t="inlineStr">
        <is>
          <t>DEC-S44-MAGAZINES</t>
        </is>
      </c>
      <c r="C1476" s="16" t="n">
        <v>44</v>
      </c>
      <c r="D1476" s="17" t="inlineStr">
        <is>
          <t>MAGAZINES</t>
        </is>
      </c>
      <c r="E1476" s="17" t="inlineStr">
        <is>
          <t>HIGH</t>
        </is>
      </c>
      <c r="F1476" s="17" t="inlineStr">
        <is>
          <t>TRUNG BÌNH</t>
        </is>
      </c>
      <c r="G1476" s="18" t="inlineStr">
        <is>
          <t>RISK_HIGH</t>
        </is>
      </c>
      <c r="H1476" s="19" t="n">
        <v>171.394365310669</v>
      </c>
      <c r="I1476" s="19" t="n">
        <v>395.0322704315186</v>
      </c>
      <c r="J1476" s="19" t="n">
        <v>702.0966281890869</v>
      </c>
      <c r="K1476" s="19" t="n">
        <v>395.0322704315186</v>
      </c>
      <c r="L1476" s="19" t="n">
        <v>586.9474940299988</v>
      </c>
      <c r="M1476" s="19" t="n">
        <v>702.0966281890869</v>
      </c>
      <c r="N1476" s="17" t="inlineStr">
        <is>
          <t>B</t>
        </is>
      </c>
      <c r="O1476" s="19" t="n">
        <v>270.9216776847839</v>
      </c>
      <c r="P1476" s="18" t="inlineStr">
        <is>
          <t>CÂN NHẮC THỬ NGHIỆM</t>
        </is>
      </c>
      <c r="Q1476" s="17" t="inlineStr">
        <is>
          <t>Không</t>
        </is>
      </c>
      <c r="R1476" s="20" t="n"/>
      <c r="S1476" s="20" t="n"/>
      <c r="T1476" s="21" t="n"/>
      <c r="U1476" s="21" t="n"/>
      <c r="V1476" s="22">
        <f>IF(U1476="A",K1476,IF(U1476="B",L1476,IF(U1476="C",M1476,IF(N1476="A",K1476,IF(N1476="B",L1476,M1476)))))</f>
        <v/>
      </c>
      <c r="W1476" s="22">
        <f>IF(R1476="",O1476,MAX(V1476-R1476-N(S1476),0))</f>
        <v/>
      </c>
      <c r="X1476" s="20" t="n"/>
      <c r="Y1476" s="23">
        <f>IF(OR(X1476="",W1476=0),"",X1476/W1476-1)</f>
        <v/>
      </c>
      <c r="Z1476" s="24" t="n"/>
      <c r="AA1476" s="21" t="n"/>
      <c r="AB1476" s="25" t="n"/>
      <c r="AC1476" s="26">
        <f>IF(T1476="","Chưa quyết định",IF(OR(Z1476="",AA1476=""),"⚠ Thiếu lý do/người duyệt",IF(AND(X1476&lt;&gt;"",N(X1476)+N(R1476)+N(S1476)&gt;M1476*1.001,R1476&lt;&gt;""),"⚠ Vượt mục tiêu P90",IF(AND(Y1476&lt;&gt;"",ABS(N(Y1476))&gt;0.3),"⚠ Lệch &gt; 30% so với nhu cầu",IF(Q1476="Có","ℹ Kiểm tra ngoại suy KM","✓ Hợp lệ")))))</f>
        <v/>
      </c>
    </row>
    <row r="1477">
      <c r="A1477" s="16" t="n">
        <v>1473</v>
      </c>
      <c r="B1477" s="17" t="inlineStr">
        <is>
          <t>DEC-S23-GROCERY_II</t>
        </is>
      </c>
      <c r="C1477" s="16" t="n">
        <v>23</v>
      </c>
      <c r="D1477" s="17" t="inlineStr">
        <is>
          <t>GROCERY II</t>
        </is>
      </c>
      <c r="E1477" s="17" t="inlineStr">
        <is>
          <t>HIGH</t>
        </is>
      </c>
      <c r="F1477" s="17" t="inlineStr">
        <is>
          <t>TRUNG BÌNH</t>
        </is>
      </c>
      <c r="G1477" s="18" t="inlineStr">
        <is>
          <t>RISK_HIGH</t>
        </is>
      </c>
      <c r="H1477" s="19" t="n">
        <v>182.7052993774414</v>
      </c>
      <c r="I1477" s="19" t="n">
        <v>392.8763103485107</v>
      </c>
      <c r="J1477" s="19" t="n">
        <v>679.942310333252</v>
      </c>
      <c r="K1477" s="19" t="n">
        <v>392.8763103485107</v>
      </c>
      <c r="L1477" s="19" t="n">
        <v>572.292560338974</v>
      </c>
      <c r="M1477" s="19" t="n">
        <v>679.942310333252</v>
      </c>
      <c r="N1477" s="17" t="inlineStr">
        <is>
          <t>B</t>
        </is>
      </c>
      <c r="O1477" s="19" t="n">
        <v>257.9915120601654</v>
      </c>
      <c r="P1477" s="18" t="inlineStr">
        <is>
          <t>CÂN NHẮC THỬ NGHIỆM</t>
        </is>
      </c>
      <c r="Q1477" s="17" t="inlineStr">
        <is>
          <t>Không</t>
        </is>
      </c>
      <c r="R1477" s="20" t="n"/>
      <c r="S1477" s="20" t="n"/>
      <c r="T1477" s="21" t="n"/>
      <c r="U1477" s="21" t="n"/>
      <c r="V1477" s="22">
        <f>IF(U1477="A",K1477,IF(U1477="B",L1477,IF(U1477="C",M1477,IF(N1477="A",K1477,IF(N1477="B",L1477,M1477)))))</f>
        <v/>
      </c>
      <c r="W1477" s="22">
        <f>IF(R1477="",O1477,MAX(V1477-R1477-N(S1477),0))</f>
        <v/>
      </c>
      <c r="X1477" s="20" t="n"/>
      <c r="Y1477" s="23">
        <f>IF(OR(X1477="",W1477=0),"",X1477/W1477-1)</f>
        <v/>
      </c>
      <c r="Z1477" s="24" t="n"/>
      <c r="AA1477" s="21" t="n"/>
      <c r="AB1477" s="25" t="n"/>
      <c r="AC1477" s="26">
        <f>IF(T1477="","Chưa quyết định",IF(OR(Z1477="",AA1477=""),"⚠ Thiếu lý do/người duyệt",IF(AND(X1477&lt;&gt;"",N(X1477)+N(R1477)+N(S1477)&gt;M1477*1.001,R1477&lt;&gt;""),"⚠ Vượt mục tiêu P90",IF(AND(Y1477&lt;&gt;"",ABS(N(Y1477))&gt;0.3),"⚠ Lệch &gt; 30% so với nhu cầu",IF(Q1477="Có","ℹ Kiểm tra ngoại suy KM","✓ Hợp lệ")))))</f>
        <v/>
      </c>
    </row>
    <row r="1478">
      <c r="A1478" s="16" t="n">
        <v>1474</v>
      </c>
      <c r="B1478" s="17" t="inlineStr">
        <is>
          <t>DEC-S38-GROCERY_II</t>
        </is>
      </c>
      <c r="C1478" s="16" t="n">
        <v>38</v>
      </c>
      <c r="D1478" s="17" t="inlineStr">
        <is>
          <t>GROCERY II</t>
        </is>
      </c>
      <c r="E1478" s="17" t="inlineStr">
        <is>
          <t>HIGH</t>
        </is>
      </c>
      <c r="F1478" s="17" t="inlineStr">
        <is>
          <t>TRUNG BÌNH</t>
        </is>
      </c>
      <c r="G1478" s="18" t="inlineStr">
        <is>
          <t>RISK_HIGH</t>
        </is>
      </c>
      <c r="H1478" s="19" t="n">
        <v>174.9976034164429</v>
      </c>
      <c r="I1478" s="19" t="n">
        <v>391.9020614624024</v>
      </c>
      <c r="J1478" s="19" t="n">
        <v>688.9672403335571</v>
      </c>
      <c r="K1478" s="19" t="n">
        <v>391.9020614624024</v>
      </c>
      <c r="L1478" s="19" t="n">
        <v>577.5677982568741</v>
      </c>
      <c r="M1478" s="19" t="n">
        <v>688.9672403335571</v>
      </c>
      <c r="N1478" s="17" t="inlineStr">
        <is>
          <t>B</t>
        </is>
      </c>
      <c r="O1478" s="19" t="n">
        <v>264.0461490869522</v>
      </c>
      <c r="P1478" s="18" t="inlineStr">
        <is>
          <t>CÂN NHẮC THỬ NGHIỆM</t>
        </is>
      </c>
      <c r="Q1478" s="17" t="inlineStr">
        <is>
          <t>Không</t>
        </is>
      </c>
      <c r="R1478" s="20" t="n"/>
      <c r="S1478" s="20" t="n"/>
      <c r="T1478" s="21" t="n"/>
      <c r="U1478" s="21" t="n"/>
      <c r="V1478" s="22">
        <f>IF(U1478="A",K1478,IF(U1478="B",L1478,IF(U1478="C",M1478,IF(N1478="A",K1478,IF(N1478="B",L1478,M1478)))))</f>
        <v/>
      </c>
      <c r="W1478" s="22">
        <f>IF(R1478="",O1478,MAX(V1478-R1478-N(S1478),0))</f>
        <v/>
      </c>
      <c r="X1478" s="20" t="n"/>
      <c r="Y1478" s="23">
        <f>IF(OR(X1478="",W1478=0),"",X1478/W1478-1)</f>
        <v/>
      </c>
      <c r="Z1478" s="24" t="n"/>
      <c r="AA1478" s="21" t="n"/>
      <c r="AB1478" s="25" t="n"/>
      <c r="AC1478" s="26">
        <f>IF(T1478="","Chưa quyết định",IF(OR(Z1478="",AA1478=""),"⚠ Thiếu lý do/người duyệt",IF(AND(X1478&lt;&gt;"",N(X1478)+N(R1478)+N(S1478)&gt;M1478*1.001,R1478&lt;&gt;""),"⚠ Vượt mục tiêu P90",IF(AND(Y1478&lt;&gt;"",ABS(N(Y1478))&gt;0.3),"⚠ Lệch &gt; 30% so với nhu cầu",IF(Q1478="Có","ℹ Kiểm tra ngoại suy KM","✓ Hợp lệ")))))</f>
        <v/>
      </c>
    </row>
    <row r="1479">
      <c r="A1479" s="16" t="n">
        <v>1475</v>
      </c>
      <c r="B1479" s="17" t="inlineStr">
        <is>
          <t>DEC-S49-PLAYERS_AND_ELECTRONICS</t>
        </is>
      </c>
      <c r="C1479" s="16" t="n">
        <v>49</v>
      </c>
      <c r="D1479" s="17" t="inlineStr">
        <is>
          <t>PLAYERS AND ELECTRONICS</t>
        </is>
      </c>
      <c r="E1479" s="17" t="inlineStr">
        <is>
          <t>HIGH</t>
        </is>
      </c>
      <c r="F1479" s="17" t="inlineStr">
        <is>
          <t>TRUNG BÌNH</t>
        </is>
      </c>
      <c r="G1479" s="18" t="inlineStr">
        <is>
          <t>RISK_HIGH</t>
        </is>
      </c>
      <c r="H1479" s="19" t="n">
        <v>179.5231332778931</v>
      </c>
      <c r="I1479" s="19" t="n">
        <v>389.6941442489624</v>
      </c>
      <c r="J1479" s="19" t="n">
        <v>676.7601442337036</v>
      </c>
      <c r="K1479" s="19" t="n">
        <v>389.6941442489624</v>
      </c>
      <c r="L1479" s="19" t="n">
        <v>569.1103942394257</v>
      </c>
      <c r="M1479" s="19" t="n">
        <v>676.7601442337036</v>
      </c>
      <c r="N1479" s="17" t="inlineStr">
        <is>
          <t>B</t>
        </is>
      </c>
      <c r="O1479" s="19" t="n">
        <v>257.3550788402557</v>
      </c>
      <c r="P1479" s="18" t="inlineStr">
        <is>
          <t>CÂN NHẮC THỬ NGHIỆM</t>
        </is>
      </c>
      <c r="Q1479" s="17" t="inlineStr">
        <is>
          <t>Không</t>
        </is>
      </c>
      <c r="R1479" s="20" t="n"/>
      <c r="S1479" s="20" t="n"/>
      <c r="T1479" s="21" t="n"/>
      <c r="U1479" s="21" t="n"/>
      <c r="V1479" s="22">
        <f>IF(U1479="A",K1479,IF(U1479="B",L1479,IF(U1479="C",M1479,IF(N1479="A",K1479,IF(N1479="B",L1479,M1479)))))</f>
        <v/>
      </c>
      <c r="W1479" s="22">
        <f>IF(R1479="",O1479,MAX(V1479-R1479-N(S1479),0))</f>
        <v/>
      </c>
      <c r="X1479" s="20" t="n"/>
      <c r="Y1479" s="23">
        <f>IF(OR(X1479="",W1479=0),"",X1479/W1479-1)</f>
        <v/>
      </c>
      <c r="Z1479" s="24" t="n"/>
      <c r="AA1479" s="21" t="n"/>
      <c r="AB1479" s="25" t="n"/>
      <c r="AC1479" s="26">
        <f>IF(T1479="","Chưa quyết định",IF(OR(Z1479="",AA1479=""),"⚠ Thiếu lý do/người duyệt",IF(AND(X1479&lt;&gt;"",N(X1479)+N(R1479)+N(S1479)&gt;M1479*1.001,R1479&lt;&gt;""),"⚠ Vượt mục tiêu P90",IF(AND(Y1479&lt;&gt;"",ABS(N(Y1479))&gt;0.3),"⚠ Lệch &gt; 30% so với nhu cầu",IF(Q1479="Có","ℹ Kiểm tra ngoại suy KM","✓ Hợp lệ")))))</f>
        <v/>
      </c>
    </row>
    <row r="1480">
      <c r="A1480" s="16" t="n">
        <v>1476</v>
      </c>
      <c r="B1480" s="17" t="inlineStr">
        <is>
          <t>DEC-S54-HOME_AND_KITCHEN_I</t>
        </is>
      </c>
      <c r="C1480" s="16" t="n">
        <v>54</v>
      </c>
      <c r="D1480" s="17" t="inlineStr">
        <is>
          <t>HOME AND KITCHEN I</t>
        </is>
      </c>
      <c r="E1480" s="17" t="inlineStr">
        <is>
          <t>HIGH</t>
        </is>
      </c>
      <c r="F1480" s="17" t="inlineStr">
        <is>
          <t>TRUNG BÌNH</t>
        </is>
      </c>
      <c r="G1480" s="18" t="inlineStr">
        <is>
          <t>RISK_HIGH</t>
        </is>
      </c>
      <c r="H1480" s="19" t="n">
        <v>168.6723880767822</v>
      </c>
      <c r="I1480" s="19" t="n">
        <v>383.720142364502</v>
      </c>
      <c r="J1480" s="19" t="n">
        <v>682.6106643676758</v>
      </c>
      <c r="K1480" s="19" t="n">
        <v>383.720142364502</v>
      </c>
      <c r="L1480" s="19" t="n">
        <v>570.5267186164856</v>
      </c>
      <c r="M1480" s="19" t="n">
        <v>682.6106643676758</v>
      </c>
      <c r="N1480" s="17" t="inlineStr">
        <is>
          <t>B</t>
        </is>
      </c>
      <c r="O1480" s="19" t="n">
        <v>263.550604724884</v>
      </c>
      <c r="P1480" s="18" t="inlineStr">
        <is>
          <t>CÂN NHẮC THỬ NGHIỆM</t>
        </is>
      </c>
      <c r="Q1480" s="17" t="inlineStr">
        <is>
          <t>Không</t>
        </is>
      </c>
      <c r="R1480" s="20" t="n"/>
      <c r="S1480" s="20" t="n"/>
      <c r="T1480" s="21" t="n"/>
      <c r="U1480" s="21" t="n"/>
      <c r="V1480" s="22">
        <f>IF(U1480="A",K1480,IF(U1480="B",L1480,IF(U1480="C",M1480,IF(N1480="A",K1480,IF(N1480="B",L1480,M1480)))))</f>
        <v/>
      </c>
      <c r="W1480" s="22">
        <f>IF(R1480="",O1480,MAX(V1480-R1480-N(S1480),0))</f>
        <v/>
      </c>
      <c r="X1480" s="20" t="n"/>
      <c r="Y1480" s="23">
        <f>IF(OR(X1480="",W1480=0),"",X1480/W1480-1)</f>
        <v/>
      </c>
      <c r="Z1480" s="24" t="n"/>
      <c r="AA1480" s="21" t="n"/>
      <c r="AB1480" s="25" t="n"/>
      <c r="AC1480" s="26">
        <f>IF(T1480="","Chưa quyết định",IF(OR(Z1480="",AA1480=""),"⚠ Thiếu lý do/người duyệt",IF(AND(X1480&lt;&gt;"",N(X1480)+N(R1480)+N(S1480)&gt;M1480*1.001,R1480&lt;&gt;""),"⚠ Vượt mục tiêu P90",IF(AND(Y1480&lt;&gt;"",ABS(N(Y1480))&gt;0.3),"⚠ Lệch &gt; 30% so với nhu cầu",IF(Q1480="Có","ℹ Kiểm tra ngoại suy KM","✓ Hợp lệ")))))</f>
        <v/>
      </c>
    </row>
    <row r="1481">
      <c r="A1481" s="16" t="n">
        <v>1477</v>
      </c>
      <c r="B1481" s="17" t="inlineStr">
        <is>
          <t>DEC-S23-PREPARED_FOODS</t>
        </is>
      </c>
      <c r="C1481" s="16" t="n">
        <v>23</v>
      </c>
      <c r="D1481" s="17" t="inlineStr">
        <is>
          <t>PREPARED FOODS</t>
        </is>
      </c>
      <c r="E1481" s="17" t="inlineStr">
        <is>
          <t>HIGH</t>
        </is>
      </c>
      <c r="F1481" s="17" t="inlineStr">
        <is>
          <t>TRUNG BÌNH</t>
        </is>
      </c>
      <c r="G1481" s="18" t="inlineStr">
        <is>
          <t>RISK_HIGH</t>
        </is>
      </c>
      <c r="H1481" s="19" t="n">
        <v>186.451286315918</v>
      </c>
      <c r="I1481" s="19" t="n">
        <v>383.155403137207</v>
      </c>
      <c r="J1481" s="19" t="n">
        <v>650.2230453491211</v>
      </c>
      <c r="K1481" s="19" t="n">
        <v>383.155403137207</v>
      </c>
      <c r="L1481" s="19" t="n">
        <v>550.0726795196533</v>
      </c>
      <c r="M1481" s="19" t="n">
        <v>650.2230453491211</v>
      </c>
      <c r="N1481" s="17" t="inlineStr">
        <is>
          <t>B</t>
        </is>
      </c>
      <c r="O1481" s="19" t="n">
        <v>243.5483570098877</v>
      </c>
      <c r="P1481" s="18" t="inlineStr">
        <is>
          <t>CÂN NHẮC THỬ NGHIỆM</t>
        </is>
      </c>
      <c r="Q1481" s="17" t="inlineStr">
        <is>
          <t>Không</t>
        </is>
      </c>
      <c r="R1481" s="20" t="n"/>
      <c r="S1481" s="20" t="n"/>
      <c r="T1481" s="21" t="n"/>
      <c r="U1481" s="21" t="n"/>
      <c r="V1481" s="22">
        <f>IF(U1481="A",K1481,IF(U1481="B",L1481,IF(U1481="C",M1481,IF(N1481="A",K1481,IF(N1481="B",L1481,M1481)))))</f>
        <v/>
      </c>
      <c r="W1481" s="22">
        <f>IF(R1481="",O1481,MAX(V1481-R1481-N(S1481),0))</f>
        <v/>
      </c>
      <c r="X1481" s="20" t="n"/>
      <c r="Y1481" s="23">
        <f>IF(OR(X1481="",W1481=0),"",X1481/W1481-1)</f>
        <v/>
      </c>
      <c r="Z1481" s="24" t="n"/>
      <c r="AA1481" s="21" t="n"/>
      <c r="AB1481" s="25" t="n"/>
      <c r="AC1481" s="26">
        <f>IF(T1481="","Chưa quyết định",IF(OR(Z1481="",AA1481=""),"⚠ Thiếu lý do/người duyệt",IF(AND(X1481&lt;&gt;"",N(X1481)+N(R1481)+N(S1481)&gt;M1481*1.001,R1481&lt;&gt;""),"⚠ Vượt mục tiêu P90",IF(AND(Y1481&lt;&gt;"",ABS(N(Y1481))&gt;0.3),"⚠ Lệch &gt; 30% so với nhu cầu",IF(Q1481="Có","ℹ Kiểm tra ngoại suy KM","✓ Hợp lệ")))))</f>
        <v/>
      </c>
    </row>
    <row r="1482">
      <c r="A1482" s="16" t="n">
        <v>1478</v>
      </c>
      <c r="B1482" s="17" t="inlineStr">
        <is>
          <t>DEC-S48-PLAYERS_AND_ELECTRONICS</t>
        </is>
      </c>
      <c r="C1482" s="16" t="n">
        <v>48</v>
      </c>
      <c r="D1482" s="17" t="inlineStr">
        <is>
          <t>PLAYERS AND ELECTRONICS</t>
        </is>
      </c>
      <c r="E1482" s="17" t="inlineStr">
        <is>
          <t>HIGH</t>
        </is>
      </c>
      <c r="F1482" s="17" t="inlineStr">
        <is>
          <t>TRUNG BÌNH</t>
        </is>
      </c>
      <c r="G1482" s="18" t="inlineStr">
        <is>
          <t>RISK_HIGH</t>
        </is>
      </c>
      <c r="H1482" s="19" t="n">
        <v>158.2829456329346</v>
      </c>
      <c r="I1482" s="19" t="n">
        <v>381.9208507537842</v>
      </c>
      <c r="J1482" s="19" t="n">
        <v>688.9852085113525</v>
      </c>
      <c r="K1482" s="19" t="n">
        <v>381.9208507537842</v>
      </c>
      <c r="L1482" s="19" t="n">
        <v>573.8360743522644</v>
      </c>
      <c r="M1482" s="19" t="n">
        <v>688.9852085113525</v>
      </c>
      <c r="N1482" s="17" t="inlineStr">
        <is>
          <t>B</t>
        </is>
      </c>
      <c r="O1482" s="19" t="n">
        <v>268.299393749237</v>
      </c>
      <c r="P1482" s="18" t="inlineStr">
        <is>
          <t>CÂN NHẮC THỬ NGHIỆM</t>
        </is>
      </c>
      <c r="Q1482" s="17" t="inlineStr">
        <is>
          <t>Không</t>
        </is>
      </c>
      <c r="R1482" s="20" t="n"/>
      <c r="S1482" s="20" t="n"/>
      <c r="T1482" s="21" t="n"/>
      <c r="U1482" s="21" t="n"/>
      <c r="V1482" s="22">
        <f>IF(U1482="A",K1482,IF(U1482="B",L1482,IF(U1482="C",M1482,IF(N1482="A",K1482,IF(N1482="B",L1482,M1482)))))</f>
        <v/>
      </c>
      <c r="W1482" s="22">
        <f>IF(R1482="",O1482,MAX(V1482-R1482-N(S1482),0))</f>
        <v/>
      </c>
      <c r="X1482" s="20" t="n"/>
      <c r="Y1482" s="23">
        <f>IF(OR(X1482="",W1482=0),"",X1482/W1482-1)</f>
        <v/>
      </c>
      <c r="Z1482" s="24" t="n"/>
      <c r="AA1482" s="21" t="n"/>
      <c r="AB1482" s="25" t="n"/>
      <c r="AC1482" s="26">
        <f>IF(T1482="","Chưa quyết định",IF(OR(Z1482="",AA1482=""),"⚠ Thiếu lý do/người duyệt",IF(AND(X1482&lt;&gt;"",N(X1482)+N(R1482)+N(S1482)&gt;M1482*1.001,R1482&lt;&gt;""),"⚠ Vượt mục tiêu P90",IF(AND(Y1482&lt;&gt;"",ABS(N(Y1482))&gt;0.3),"⚠ Lệch &gt; 30% so với nhu cầu",IF(Q1482="Có","ℹ Kiểm tra ngoại suy KM","✓ Hợp lệ")))))</f>
        <v/>
      </c>
    </row>
    <row r="1483">
      <c r="A1483" s="16" t="n">
        <v>1479</v>
      </c>
      <c r="B1483" s="17" t="inlineStr">
        <is>
          <t>DEC-S02-SEAFOOD</t>
        </is>
      </c>
      <c r="C1483" s="16" t="n">
        <v>2</v>
      </c>
      <c r="D1483" s="17" t="inlineStr">
        <is>
          <t>SEAFOOD</t>
        </is>
      </c>
      <c r="E1483" s="17" t="inlineStr">
        <is>
          <t>HIGH</t>
        </is>
      </c>
      <c r="F1483" s="17" t="inlineStr">
        <is>
          <t>TRUNG BÌNH</t>
        </is>
      </c>
      <c r="G1483" s="18" t="inlineStr">
        <is>
          <t>RISK_HIGH</t>
        </is>
      </c>
      <c r="H1483" s="19" t="n">
        <v>152.4777088165283</v>
      </c>
      <c r="I1483" s="19" t="n">
        <v>381.0925045013428</v>
      </c>
      <c r="J1483" s="19" t="n">
        <v>698.1560411453247</v>
      </c>
      <c r="K1483" s="19" t="n">
        <v>381.0925045013428</v>
      </c>
      <c r="L1483" s="19" t="n">
        <v>579.2572149038315</v>
      </c>
      <c r="M1483" s="19" t="n">
        <v>698.1560411453247</v>
      </c>
      <c r="N1483" s="17" t="inlineStr">
        <is>
          <t>B</t>
        </is>
      </c>
      <c r="O1483" s="19" t="n">
        <v>274.3832113027573</v>
      </c>
      <c r="P1483" s="18" t="inlineStr">
        <is>
          <t>CÂN NHẮC THỬ NGHIỆM</t>
        </is>
      </c>
      <c r="Q1483" s="17" t="inlineStr">
        <is>
          <t>Không</t>
        </is>
      </c>
      <c r="R1483" s="20" t="n"/>
      <c r="S1483" s="20" t="n"/>
      <c r="T1483" s="21" t="n"/>
      <c r="U1483" s="21" t="n"/>
      <c r="V1483" s="22">
        <f>IF(U1483="A",K1483,IF(U1483="B",L1483,IF(U1483="C",M1483,IF(N1483="A",K1483,IF(N1483="B",L1483,M1483)))))</f>
        <v/>
      </c>
      <c r="W1483" s="22">
        <f>IF(R1483="",O1483,MAX(V1483-R1483-N(S1483),0))</f>
        <v/>
      </c>
      <c r="X1483" s="20" t="n"/>
      <c r="Y1483" s="23">
        <f>IF(OR(X1483="",W1483=0),"",X1483/W1483-1)</f>
        <v/>
      </c>
      <c r="Z1483" s="24" t="n"/>
      <c r="AA1483" s="21" t="n"/>
      <c r="AB1483" s="25" t="n"/>
      <c r="AC1483" s="26">
        <f>IF(T1483="","Chưa quyết định",IF(OR(Z1483="",AA1483=""),"⚠ Thiếu lý do/người duyệt",IF(AND(X1483&lt;&gt;"",N(X1483)+N(R1483)+N(S1483)&gt;M1483*1.001,R1483&lt;&gt;""),"⚠ Vượt mục tiêu P90",IF(AND(Y1483&lt;&gt;"",ABS(N(Y1483))&gt;0.3),"⚠ Lệch &gt; 30% so với nhu cầu",IF(Q1483="Có","ℹ Kiểm tra ngoại suy KM","✓ Hợp lệ")))))</f>
        <v/>
      </c>
    </row>
    <row r="1484">
      <c r="A1484" s="16" t="n">
        <v>1480</v>
      </c>
      <c r="B1484" s="17" t="inlineStr">
        <is>
          <t>DEC-S25-PREPARED_FOODS</t>
        </is>
      </c>
      <c r="C1484" s="16" t="n">
        <v>25</v>
      </c>
      <c r="D1484" s="17" t="inlineStr">
        <is>
          <t>PREPARED FOODS</t>
        </is>
      </c>
      <c r="E1484" s="17" t="inlineStr">
        <is>
          <t>HIGH</t>
        </is>
      </c>
      <c r="F1484" s="17" t="inlineStr">
        <is>
          <t>TRUNG BÌNH</t>
        </is>
      </c>
      <c r="G1484" s="18" t="inlineStr">
        <is>
          <t>RISK_HIGH</t>
        </is>
      </c>
      <c r="H1484" s="19" t="n">
        <v>170.8579921722412</v>
      </c>
      <c r="I1484" s="19" t="n">
        <v>381.0290031433105</v>
      </c>
      <c r="J1484" s="19" t="n">
        <v>668.0950031280518</v>
      </c>
      <c r="K1484" s="19" t="n">
        <v>381.0290031433105</v>
      </c>
      <c r="L1484" s="19" t="n">
        <v>560.4452531337738</v>
      </c>
      <c r="M1484" s="19" t="n">
        <v>668.0950031280518</v>
      </c>
      <c r="N1484" s="17" t="inlineStr">
        <is>
          <t>B</t>
        </is>
      </c>
      <c r="O1484" s="19" t="n">
        <v>255.6220506191253</v>
      </c>
      <c r="P1484" s="18" t="inlineStr">
        <is>
          <t>CÂN NHẮC THỬ NGHIỆM</t>
        </is>
      </c>
      <c r="Q1484" s="17" t="inlineStr">
        <is>
          <t>Không</t>
        </is>
      </c>
      <c r="R1484" s="20" t="n"/>
      <c r="S1484" s="20" t="n"/>
      <c r="T1484" s="21" t="n"/>
      <c r="U1484" s="21" t="n"/>
      <c r="V1484" s="22">
        <f>IF(U1484="A",K1484,IF(U1484="B",L1484,IF(U1484="C",M1484,IF(N1484="A",K1484,IF(N1484="B",L1484,M1484)))))</f>
        <v/>
      </c>
      <c r="W1484" s="22">
        <f>IF(R1484="",O1484,MAX(V1484-R1484-N(S1484),0))</f>
        <v/>
      </c>
      <c r="X1484" s="20" t="n"/>
      <c r="Y1484" s="23">
        <f>IF(OR(X1484="",W1484=0),"",X1484/W1484-1)</f>
        <v/>
      </c>
      <c r="Z1484" s="24" t="n"/>
      <c r="AA1484" s="21" t="n"/>
      <c r="AB1484" s="25" t="n"/>
      <c r="AC1484" s="26">
        <f>IF(T1484="","Chưa quyết định",IF(OR(Z1484="",AA1484=""),"⚠ Thiếu lý do/người duyệt",IF(AND(X1484&lt;&gt;"",N(X1484)+N(R1484)+N(S1484)&gt;M1484*1.001,R1484&lt;&gt;""),"⚠ Vượt mục tiêu P90",IF(AND(Y1484&lt;&gt;"",ABS(N(Y1484))&gt;0.3),"⚠ Lệch &gt; 30% so với nhu cầu",IF(Q1484="Có","ℹ Kiểm tra ngoại suy KM","✓ Hợp lệ")))))</f>
        <v/>
      </c>
    </row>
    <row r="1485">
      <c r="A1485" s="16" t="n">
        <v>1481</v>
      </c>
      <c r="B1485" s="17" t="inlineStr">
        <is>
          <t>DEC-S41-HOME_AND_KITCHEN_II</t>
        </is>
      </c>
      <c r="C1485" s="16" t="n">
        <v>41</v>
      </c>
      <c r="D1485" s="17" t="inlineStr">
        <is>
          <t>HOME AND KITCHEN II</t>
        </is>
      </c>
      <c r="E1485" s="17" t="inlineStr">
        <is>
          <t>HIGH</t>
        </is>
      </c>
      <c r="F1485" s="17" t="inlineStr">
        <is>
          <t>TRUNG BÌNH</t>
        </is>
      </c>
      <c r="G1485" s="18" t="inlineStr">
        <is>
          <t>RISK_HIGH</t>
        </is>
      </c>
      <c r="H1485" s="19" t="n">
        <v>170.3242378234863</v>
      </c>
      <c r="I1485" s="19" t="n">
        <v>380.4952487945557</v>
      </c>
      <c r="J1485" s="19" t="n">
        <v>667.5612487792969</v>
      </c>
      <c r="K1485" s="19" t="n">
        <v>380.4952487945557</v>
      </c>
      <c r="L1485" s="19" t="n">
        <v>559.9114987850189</v>
      </c>
      <c r="M1485" s="19" t="n">
        <v>667.5612487792969</v>
      </c>
      <c r="N1485" s="17" t="inlineStr">
        <is>
          <t>B</t>
        </is>
      </c>
      <c r="O1485" s="19" t="n">
        <v>255.5152997493744</v>
      </c>
      <c r="P1485" s="18" t="inlineStr">
        <is>
          <t>CÂN NHẮC THỬ NGHIỆM</t>
        </is>
      </c>
      <c r="Q1485" s="17" t="inlineStr">
        <is>
          <t>Không</t>
        </is>
      </c>
      <c r="R1485" s="20" t="n"/>
      <c r="S1485" s="20" t="n"/>
      <c r="T1485" s="21" t="n"/>
      <c r="U1485" s="21" t="n"/>
      <c r="V1485" s="22">
        <f>IF(U1485="A",K1485,IF(U1485="B",L1485,IF(U1485="C",M1485,IF(N1485="A",K1485,IF(N1485="B",L1485,M1485)))))</f>
        <v/>
      </c>
      <c r="W1485" s="22">
        <f>IF(R1485="",O1485,MAX(V1485-R1485-N(S1485),0))</f>
        <v/>
      </c>
      <c r="X1485" s="20" t="n"/>
      <c r="Y1485" s="23">
        <f>IF(OR(X1485="",W1485=0),"",X1485/W1485-1)</f>
        <v/>
      </c>
      <c r="Z1485" s="24" t="n"/>
      <c r="AA1485" s="21" t="n"/>
      <c r="AB1485" s="25" t="n"/>
      <c r="AC1485" s="26">
        <f>IF(T1485="","Chưa quyết định",IF(OR(Z1485="",AA1485=""),"⚠ Thiếu lý do/người duyệt",IF(AND(X1485&lt;&gt;"",N(X1485)+N(R1485)+N(S1485)&gt;M1485*1.001,R1485&lt;&gt;""),"⚠ Vượt mục tiêu P90",IF(AND(Y1485&lt;&gt;"",ABS(N(Y1485))&gt;0.3),"⚠ Lệch &gt; 30% so với nhu cầu",IF(Q1485="Có","ℹ Kiểm tra ngoại suy KM","✓ Hợp lệ")))))</f>
        <v/>
      </c>
    </row>
    <row r="1486">
      <c r="A1486" s="16" t="n">
        <v>1482</v>
      </c>
      <c r="B1486" s="17" t="inlineStr">
        <is>
          <t>DEC-S14-LIQUOR_WINE_BEER</t>
        </is>
      </c>
      <c r="C1486" s="16" t="n">
        <v>14</v>
      </c>
      <c r="D1486" s="17" t="inlineStr">
        <is>
          <t>LIQUOR,WINE,BEER</t>
        </is>
      </c>
      <c r="E1486" s="17" t="inlineStr">
        <is>
          <t>HIGH</t>
        </is>
      </c>
      <c r="F1486" s="17" t="inlineStr">
        <is>
          <t>TRUNG BÌNH</t>
        </is>
      </c>
      <c r="G1486" s="18" t="inlineStr">
        <is>
          <t>RISK_HIGH</t>
        </is>
      </c>
      <c r="H1486" s="19" t="n">
        <v>157.0395374298096</v>
      </c>
      <c r="I1486" s="19" t="n">
        <v>380.0655097961426</v>
      </c>
      <c r="J1486" s="19" t="n">
        <v>687.1298675537109</v>
      </c>
      <c r="K1486" s="19" t="n">
        <v>380.0655097961426</v>
      </c>
      <c r="L1486" s="19" t="n">
        <v>571.9807333946228</v>
      </c>
      <c r="M1486" s="19" t="n">
        <v>687.1298675537109</v>
      </c>
      <c r="N1486" s="17" t="inlineStr">
        <is>
          <t>B</t>
        </is>
      </c>
      <c r="O1486" s="19" t="n">
        <v>267.9283255577087</v>
      </c>
      <c r="P1486" s="18" t="inlineStr">
        <is>
          <t>CÂN NHẮC THỬ NGHIỆM</t>
        </is>
      </c>
      <c r="Q1486" s="17" t="inlineStr">
        <is>
          <t>Không</t>
        </is>
      </c>
      <c r="R1486" s="20" t="n"/>
      <c r="S1486" s="20" t="n"/>
      <c r="T1486" s="21" t="n"/>
      <c r="U1486" s="21" t="n"/>
      <c r="V1486" s="22">
        <f>IF(U1486="A",K1486,IF(U1486="B",L1486,IF(U1486="C",M1486,IF(N1486="A",K1486,IF(N1486="B",L1486,M1486)))))</f>
        <v/>
      </c>
      <c r="W1486" s="22">
        <f>IF(R1486="",O1486,MAX(V1486-R1486-N(S1486),0))</f>
        <v/>
      </c>
      <c r="X1486" s="20" t="n"/>
      <c r="Y1486" s="23">
        <f>IF(OR(X1486="",W1486=0),"",X1486/W1486-1)</f>
        <v/>
      </c>
      <c r="Z1486" s="24" t="n"/>
      <c r="AA1486" s="21" t="n"/>
      <c r="AB1486" s="25" t="n"/>
      <c r="AC1486" s="26">
        <f>IF(T1486="","Chưa quyết định",IF(OR(Z1486="",AA1486=""),"⚠ Thiếu lý do/người duyệt",IF(AND(X1486&lt;&gt;"",N(X1486)+N(R1486)+N(S1486)&gt;M1486*1.001,R1486&lt;&gt;""),"⚠ Vượt mục tiêu P90",IF(AND(Y1486&lt;&gt;"",ABS(N(Y1486))&gt;0.3),"⚠ Lệch &gt; 30% so với nhu cầu",IF(Q1486="Có","ℹ Kiểm tra ngoại suy KM","✓ Hợp lệ")))))</f>
        <v/>
      </c>
    </row>
    <row r="1487">
      <c r="A1487" s="16" t="n">
        <v>1483</v>
      </c>
      <c r="B1487" s="17" t="inlineStr">
        <is>
          <t>DEC-S26-PREPARED_FOODS</t>
        </is>
      </c>
      <c r="C1487" s="16" t="n">
        <v>26</v>
      </c>
      <c r="D1487" s="17" t="inlineStr">
        <is>
          <t>PREPARED FOODS</t>
        </is>
      </c>
      <c r="E1487" s="17" t="inlineStr">
        <is>
          <t>HIGH</t>
        </is>
      </c>
      <c r="F1487" s="17" t="inlineStr">
        <is>
          <t>TRUNG BÌNH</t>
        </is>
      </c>
      <c r="G1487" s="18" t="inlineStr">
        <is>
          <t>RISK_HIGH</t>
        </is>
      </c>
      <c r="H1487" s="19" t="n">
        <v>168.7882785797119</v>
      </c>
      <c r="I1487" s="19" t="n">
        <v>378.9592895507813</v>
      </c>
      <c r="J1487" s="19" t="n">
        <v>666.0252895355225</v>
      </c>
      <c r="K1487" s="19" t="n">
        <v>378.9592895507813</v>
      </c>
      <c r="L1487" s="19" t="n">
        <v>558.3755395412445</v>
      </c>
      <c r="M1487" s="19" t="n">
        <v>666.0252895355225</v>
      </c>
      <c r="N1487" s="17" t="inlineStr">
        <is>
          <t>B</t>
        </is>
      </c>
      <c r="O1487" s="19" t="n">
        <v>255.2081079006195</v>
      </c>
      <c r="P1487" s="18" t="inlineStr">
        <is>
          <t>CÂN NHẮC THỬ NGHIỆM</t>
        </is>
      </c>
      <c r="Q1487" s="17" t="inlineStr">
        <is>
          <t>Không</t>
        </is>
      </c>
      <c r="R1487" s="20" t="n"/>
      <c r="S1487" s="20" t="n"/>
      <c r="T1487" s="21" t="n"/>
      <c r="U1487" s="21" t="n"/>
      <c r="V1487" s="22">
        <f>IF(U1487="A",K1487,IF(U1487="B",L1487,IF(U1487="C",M1487,IF(N1487="A",K1487,IF(N1487="B",L1487,M1487)))))</f>
        <v/>
      </c>
      <c r="W1487" s="22">
        <f>IF(R1487="",O1487,MAX(V1487-R1487-N(S1487),0))</f>
        <v/>
      </c>
      <c r="X1487" s="20" t="n"/>
      <c r="Y1487" s="23">
        <f>IF(OR(X1487="",W1487=0),"",X1487/W1487-1)</f>
        <v/>
      </c>
      <c r="Z1487" s="24" t="n"/>
      <c r="AA1487" s="21" t="n"/>
      <c r="AB1487" s="25" t="n"/>
      <c r="AC1487" s="26">
        <f>IF(T1487="","Chưa quyết định",IF(OR(Z1487="",AA1487=""),"⚠ Thiếu lý do/người duyệt",IF(AND(X1487&lt;&gt;"",N(X1487)+N(R1487)+N(S1487)&gt;M1487*1.001,R1487&lt;&gt;""),"⚠ Vượt mục tiêu P90",IF(AND(Y1487&lt;&gt;"",ABS(N(Y1487))&gt;0.3),"⚠ Lệch &gt; 30% so với nhu cầu",IF(Q1487="Có","ℹ Kiểm tra ngoại suy KM","✓ Hợp lệ")))))</f>
        <v/>
      </c>
    </row>
    <row r="1488">
      <c r="A1488" s="16" t="n">
        <v>1484</v>
      </c>
      <c r="B1488" s="17" t="inlineStr">
        <is>
          <t>DEC-S45-PET_SUPPLIES</t>
        </is>
      </c>
      <c r="C1488" s="16" t="n">
        <v>45</v>
      </c>
      <c r="D1488" s="17" t="inlineStr">
        <is>
          <t>PET SUPPLIES</t>
        </is>
      </c>
      <c r="E1488" s="17" t="inlineStr">
        <is>
          <t>HIGH</t>
        </is>
      </c>
      <c r="F1488" s="17" t="inlineStr">
        <is>
          <t>TRUNG BÌNH</t>
        </is>
      </c>
      <c r="G1488" s="18" t="inlineStr">
        <is>
          <t>RISK_HIGH</t>
        </is>
      </c>
      <c r="H1488" s="19" t="n">
        <v>154.1954412460327</v>
      </c>
      <c r="I1488" s="19" t="n">
        <v>377.8333463668823</v>
      </c>
      <c r="J1488" s="19" t="n">
        <v>684.8977041244507</v>
      </c>
      <c r="K1488" s="19" t="n">
        <v>377.8333463668823</v>
      </c>
      <c r="L1488" s="19" t="n">
        <v>569.7485699653625</v>
      </c>
      <c r="M1488" s="19" t="n">
        <v>684.8977041244507</v>
      </c>
      <c r="N1488" s="17" t="inlineStr">
        <is>
          <t>B</t>
        </is>
      </c>
      <c r="O1488" s="19" t="n">
        <v>267.4818928718567</v>
      </c>
      <c r="P1488" s="18" t="inlineStr">
        <is>
          <t>CÂN NHẮC THỬ NGHIỆM</t>
        </is>
      </c>
      <c r="Q1488" s="17" t="inlineStr">
        <is>
          <t>Không</t>
        </is>
      </c>
      <c r="R1488" s="20" t="n"/>
      <c r="S1488" s="20" t="n"/>
      <c r="T1488" s="21" t="n"/>
      <c r="U1488" s="21" t="n"/>
      <c r="V1488" s="22">
        <f>IF(U1488="A",K1488,IF(U1488="B",L1488,IF(U1488="C",M1488,IF(N1488="A",K1488,IF(N1488="B",L1488,M1488)))))</f>
        <v/>
      </c>
      <c r="W1488" s="22">
        <f>IF(R1488="",O1488,MAX(V1488-R1488-N(S1488),0))</f>
        <v/>
      </c>
      <c r="X1488" s="20" t="n"/>
      <c r="Y1488" s="23">
        <f>IF(OR(X1488="",W1488=0),"",X1488/W1488-1)</f>
        <v/>
      </c>
      <c r="Z1488" s="24" t="n"/>
      <c r="AA1488" s="21" t="n"/>
      <c r="AB1488" s="25" t="n"/>
      <c r="AC1488" s="26">
        <f>IF(T1488="","Chưa quyết định",IF(OR(Z1488="",AA1488=""),"⚠ Thiếu lý do/người duyệt",IF(AND(X1488&lt;&gt;"",N(X1488)+N(R1488)+N(S1488)&gt;M1488*1.001,R1488&lt;&gt;""),"⚠ Vượt mục tiêu P90",IF(AND(Y1488&lt;&gt;"",ABS(N(Y1488))&gt;0.3),"⚠ Lệch &gt; 30% so với nhu cầu",IF(Q1488="Có","ℹ Kiểm tra ngoại suy KM","✓ Hợp lệ")))))</f>
        <v/>
      </c>
    </row>
    <row r="1489">
      <c r="A1489" s="16" t="n">
        <v>1485</v>
      </c>
      <c r="B1489" s="17" t="inlineStr">
        <is>
          <t>DEC-S31-HOME_AND_KITCHEN_II</t>
        </is>
      </c>
      <c r="C1489" s="16" t="n">
        <v>31</v>
      </c>
      <c r="D1489" s="17" t="inlineStr">
        <is>
          <t>HOME AND KITCHEN II</t>
        </is>
      </c>
      <c r="E1489" s="17" t="inlineStr">
        <is>
          <t>HIGH</t>
        </is>
      </c>
      <c r="F1489" s="17" t="inlineStr">
        <is>
          <t>TRUNG BÌNH</t>
        </is>
      </c>
      <c r="G1489" s="18" t="inlineStr">
        <is>
          <t>RISK_HIGH</t>
        </is>
      </c>
      <c r="H1489" s="19" t="n">
        <v>179.0750007629395</v>
      </c>
      <c r="I1489" s="19" t="n">
        <v>375.7791175842285</v>
      </c>
      <c r="J1489" s="19" t="n">
        <v>642.8467597961426</v>
      </c>
      <c r="K1489" s="19" t="n">
        <v>375.7791175842285</v>
      </c>
      <c r="L1489" s="19" t="n">
        <v>542.6963939666748</v>
      </c>
      <c r="M1489" s="19" t="n">
        <v>642.8467597961426</v>
      </c>
      <c r="N1489" s="17" t="inlineStr">
        <is>
          <t>B</t>
        </is>
      </c>
      <c r="O1489" s="19" t="n">
        <v>242.073099899292</v>
      </c>
      <c r="P1489" s="18" t="inlineStr">
        <is>
          <t>CÂN NHẮC THỬ NGHIỆM</t>
        </is>
      </c>
      <c r="Q1489" s="17" t="inlineStr">
        <is>
          <t>Không</t>
        </is>
      </c>
      <c r="R1489" s="20" t="n"/>
      <c r="S1489" s="20" t="n"/>
      <c r="T1489" s="21" t="n"/>
      <c r="U1489" s="21" t="n"/>
      <c r="V1489" s="22">
        <f>IF(U1489="A",K1489,IF(U1489="B",L1489,IF(U1489="C",M1489,IF(N1489="A",K1489,IF(N1489="B",L1489,M1489)))))</f>
        <v/>
      </c>
      <c r="W1489" s="22">
        <f>IF(R1489="",O1489,MAX(V1489-R1489-N(S1489),0))</f>
        <v/>
      </c>
      <c r="X1489" s="20" t="n"/>
      <c r="Y1489" s="23">
        <f>IF(OR(X1489="",W1489=0),"",X1489/W1489-1)</f>
        <v/>
      </c>
      <c r="Z1489" s="24" t="n"/>
      <c r="AA1489" s="21" t="n"/>
      <c r="AB1489" s="25" t="n"/>
      <c r="AC1489" s="26">
        <f>IF(T1489="","Chưa quyết định",IF(OR(Z1489="",AA1489=""),"⚠ Thiếu lý do/người duyệt",IF(AND(X1489&lt;&gt;"",N(X1489)+N(R1489)+N(S1489)&gt;M1489*1.001,R1489&lt;&gt;""),"⚠ Vượt mục tiêu P90",IF(AND(Y1489&lt;&gt;"",ABS(N(Y1489))&gt;0.3),"⚠ Lệch &gt; 30% so với nhu cầu",IF(Q1489="Có","ℹ Kiểm tra ngoại suy KM","✓ Hợp lệ")))))</f>
        <v/>
      </c>
    </row>
    <row r="1490">
      <c r="A1490" s="16" t="n">
        <v>1486</v>
      </c>
      <c r="B1490" s="17" t="inlineStr">
        <is>
          <t>DEC-S41-LADIESWEAR</t>
        </is>
      </c>
      <c r="C1490" s="16" t="n">
        <v>41</v>
      </c>
      <c r="D1490" s="17" t="inlineStr">
        <is>
          <t>LADIESWEAR</t>
        </is>
      </c>
      <c r="E1490" s="17" t="inlineStr">
        <is>
          <t>HIGH</t>
        </is>
      </c>
      <c r="F1490" s="17" t="inlineStr">
        <is>
          <t>TRUNG BÌNH</t>
        </is>
      </c>
      <c r="G1490" s="18" t="inlineStr">
        <is>
          <t>RISK_HIGH</t>
        </is>
      </c>
      <c r="H1490" s="19" t="n">
        <v>164.8964424133301</v>
      </c>
      <c r="I1490" s="19" t="n">
        <v>375.0425262451172</v>
      </c>
      <c r="J1490" s="19" t="n">
        <v>662.1085262298584</v>
      </c>
      <c r="K1490" s="19" t="n">
        <v>375.0425262451172</v>
      </c>
      <c r="L1490" s="19" t="n">
        <v>554.4587762355804</v>
      </c>
      <c r="M1490" s="19" t="n">
        <v>662.1085262298584</v>
      </c>
      <c r="N1490" s="17" t="inlineStr">
        <is>
          <t>B</t>
        </is>
      </c>
      <c r="O1490" s="19" t="n">
        <v>254.4247552394867</v>
      </c>
      <c r="P1490" s="18" t="inlineStr">
        <is>
          <t>CÂN NHẮC THỬ NGHIỆM</t>
        </is>
      </c>
      <c r="Q1490" s="17" t="inlineStr">
        <is>
          <t>Không</t>
        </is>
      </c>
      <c r="R1490" s="20" t="n"/>
      <c r="S1490" s="20" t="n"/>
      <c r="T1490" s="21" t="n"/>
      <c r="U1490" s="21" t="n"/>
      <c r="V1490" s="22">
        <f>IF(U1490="A",K1490,IF(U1490="B",L1490,IF(U1490="C",M1490,IF(N1490="A",K1490,IF(N1490="B",L1490,M1490)))))</f>
        <v/>
      </c>
      <c r="W1490" s="22">
        <f>IF(R1490="",O1490,MAX(V1490-R1490-N(S1490),0))</f>
        <v/>
      </c>
      <c r="X1490" s="20" t="n"/>
      <c r="Y1490" s="23">
        <f>IF(OR(X1490="",W1490=0),"",X1490/W1490-1)</f>
        <v/>
      </c>
      <c r="Z1490" s="24" t="n"/>
      <c r="AA1490" s="21" t="n"/>
      <c r="AB1490" s="25" t="n"/>
      <c r="AC1490" s="26">
        <f>IF(T1490="","Chưa quyết định",IF(OR(Z1490="",AA1490=""),"⚠ Thiếu lý do/người duyệt",IF(AND(X1490&lt;&gt;"",N(X1490)+N(R1490)+N(S1490)&gt;M1490*1.001,R1490&lt;&gt;""),"⚠ Vượt mục tiêu P90",IF(AND(Y1490&lt;&gt;"",ABS(N(Y1490))&gt;0.3),"⚠ Lệch &gt; 30% so với nhu cầu",IF(Q1490="Có","ℹ Kiểm tra ngoại suy KM","✓ Hợp lệ")))))</f>
        <v/>
      </c>
    </row>
    <row r="1491">
      <c r="A1491" s="16" t="n">
        <v>1487</v>
      </c>
      <c r="B1491" s="17" t="inlineStr">
        <is>
          <t>DEC-S37-LADIESWEAR</t>
        </is>
      </c>
      <c r="C1491" s="16" t="n">
        <v>37</v>
      </c>
      <c r="D1491" s="17" t="inlineStr">
        <is>
          <t>LADIESWEAR</t>
        </is>
      </c>
      <c r="E1491" s="17" t="inlineStr">
        <is>
          <t>HIGH</t>
        </is>
      </c>
      <c r="F1491" s="17" t="inlineStr">
        <is>
          <t>TRUNG BÌNH</t>
        </is>
      </c>
      <c r="G1491" s="18" t="inlineStr">
        <is>
          <t>RISK_HIGH</t>
        </is>
      </c>
      <c r="H1491" s="19" t="n">
        <v>156.7175769805908</v>
      </c>
      <c r="I1491" s="19" t="n">
        <v>373.4020023345947</v>
      </c>
      <c r="J1491" s="19" t="n">
        <v>670.4671812057495</v>
      </c>
      <c r="K1491" s="19" t="n">
        <v>373.4020023345947</v>
      </c>
      <c r="L1491" s="19" t="n">
        <v>559.0677391290665</v>
      </c>
      <c r="M1491" s="19" t="n">
        <v>670.4671812057495</v>
      </c>
      <c r="N1491" s="17" t="inlineStr">
        <is>
          <t>B</t>
        </is>
      </c>
      <c r="O1491" s="19" t="n">
        <v>260.3461372613907</v>
      </c>
      <c r="P1491" s="18" t="inlineStr">
        <is>
          <t>CÂN NHẮC THỬ NGHIỆM</t>
        </is>
      </c>
      <c r="Q1491" s="17" t="inlineStr">
        <is>
          <t>Không</t>
        </is>
      </c>
      <c r="R1491" s="20" t="n"/>
      <c r="S1491" s="20" t="n"/>
      <c r="T1491" s="21" t="n"/>
      <c r="U1491" s="21" t="n"/>
      <c r="V1491" s="22">
        <f>IF(U1491="A",K1491,IF(U1491="B",L1491,IF(U1491="C",M1491,IF(N1491="A",K1491,IF(N1491="B",L1491,M1491)))))</f>
        <v/>
      </c>
      <c r="W1491" s="22">
        <f>IF(R1491="",O1491,MAX(V1491-R1491-N(S1491),0))</f>
        <v/>
      </c>
      <c r="X1491" s="20" t="n"/>
      <c r="Y1491" s="23">
        <f>IF(OR(X1491="",W1491=0),"",X1491/W1491-1)</f>
        <v/>
      </c>
      <c r="Z1491" s="24" t="n"/>
      <c r="AA1491" s="21" t="n"/>
      <c r="AB1491" s="25" t="n"/>
      <c r="AC1491" s="26">
        <f>IF(T1491="","Chưa quyết định",IF(OR(Z1491="",AA1491=""),"⚠ Thiếu lý do/người duyệt",IF(AND(X1491&lt;&gt;"",N(X1491)+N(R1491)+N(S1491)&gt;M1491*1.001,R1491&lt;&gt;""),"⚠ Vượt mục tiêu P90",IF(AND(Y1491&lt;&gt;"",ABS(N(Y1491))&gt;0.3),"⚠ Lệch &gt; 30% so với nhu cầu",IF(Q1491="Có","ℹ Kiểm tra ngoại suy KM","✓ Hợp lệ")))))</f>
        <v/>
      </c>
    </row>
    <row r="1492">
      <c r="A1492" s="16" t="n">
        <v>1488</v>
      </c>
      <c r="B1492" s="17" t="inlineStr">
        <is>
          <t>DEC-S48-BEAUTY</t>
        </is>
      </c>
      <c r="C1492" s="16" t="n">
        <v>48</v>
      </c>
      <c r="D1492" s="17" t="inlineStr">
        <is>
          <t>BEAUTY</t>
        </is>
      </c>
      <c r="E1492" s="17" t="inlineStr">
        <is>
          <t>HIGH</t>
        </is>
      </c>
      <c r="F1492" s="17" t="inlineStr">
        <is>
          <t>TRUNG BÌNH</t>
        </is>
      </c>
      <c r="G1492" s="18" t="inlineStr">
        <is>
          <t>RISK_HIGH</t>
        </is>
      </c>
      <c r="H1492" s="19" t="n">
        <v>164.2158470153809</v>
      </c>
      <c r="I1492" s="19" t="n">
        <v>370.009578704834</v>
      </c>
      <c r="J1492" s="19" t="n">
        <v>657.0755786895752</v>
      </c>
      <c r="K1492" s="19" t="n">
        <v>370.009578704834</v>
      </c>
      <c r="L1492" s="19" t="n">
        <v>549.4258286952972</v>
      </c>
      <c r="M1492" s="19" t="n">
        <v>657.0755786895752</v>
      </c>
      <c r="N1492" s="17" t="inlineStr">
        <is>
          <t>B</t>
        </is>
      </c>
      <c r="O1492" s="19" t="n">
        <v>253.4181657314301</v>
      </c>
      <c r="P1492" s="18" t="inlineStr">
        <is>
          <t>CÂN NHẮC THỬ NGHIỆM</t>
        </is>
      </c>
      <c r="Q1492" s="17" t="inlineStr">
        <is>
          <t>Không</t>
        </is>
      </c>
      <c r="R1492" s="20" t="n"/>
      <c r="S1492" s="20" t="n"/>
      <c r="T1492" s="21" t="n"/>
      <c r="U1492" s="21" t="n"/>
      <c r="V1492" s="22">
        <f>IF(U1492="A",K1492,IF(U1492="B",L1492,IF(U1492="C",M1492,IF(N1492="A",K1492,IF(N1492="B",L1492,M1492)))))</f>
        <v/>
      </c>
      <c r="W1492" s="22">
        <f>IF(R1492="",O1492,MAX(V1492-R1492-N(S1492),0))</f>
        <v/>
      </c>
      <c r="X1492" s="20" t="n"/>
      <c r="Y1492" s="23">
        <f>IF(OR(X1492="",W1492=0),"",X1492/W1492-1)</f>
        <v/>
      </c>
      <c r="Z1492" s="24" t="n"/>
      <c r="AA1492" s="21" t="n"/>
      <c r="AB1492" s="25" t="n"/>
      <c r="AC1492" s="26">
        <f>IF(T1492="","Chưa quyết định",IF(OR(Z1492="",AA1492=""),"⚠ Thiếu lý do/người duyệt",IF(AND(X1492&lt;&gt;"",N(X1492)+N(R1492)+N(S1492)&gt;M1492*1.001,R1492&lt;&gt;""),"⚠ Vượt mục tiêu P90",IF(AND(Y1492&lt;&gt;"",ABS(N(Y1492))&gt;0.3),"⚠ Lệch &gt; 30% so với nhu cầu",IF(Q1492="Có","ℹ Kiểm tra ngoại suy KM","✓ Hợp lệ")))))</f>
        <v/>
      </c>
    </row>
    <row r="1493">
      <c r="A1493" s="16" t="n">
        <v>1489</v>
      </c>
      <c r="B1493" s="17" t="inlineStr">
        <is>
          <t>DEC-S02-LADIESWEAR</t>
        </is>
      </c>
      <c r="C1493" s="16" t="n">
        <v>2</v>
      </c>
      <c r="D1493" s="17" t="inlineStr">
        <is>
          <t>LADIESWEAR</t>
        </is>
      </c>
      <c r="E1493" s="17" t="inlineStr">
        <is>
          <t>HIGH</t>
        </is>
      </c>
      <c r="F1493" s="17" t="inlineStr">
        <is>
          <t>TRUNG BÌNH</t>
        </is>
      </c>
      <c r="G1493" s="18" t="inlineStr">
        <is>
          <t>RISK_HIGH</t>
        </is>
      </c>
      <c r="H1493" s="19" t="n">
        <v>158.9604873657227</v>
      </c>
      <c r="I1493" s="19" t="n">
        <v>369.131498336792</v>
      </c>
      <c r="J1493" s="19" t="n">
        <v>656.1974983215332</v>
      </c>
      <c r="K1493" s="19" t="n">
        <v>369.131498336792</v>
      </c>
      <c r="L1493" s="19" t="n">
        <v>548.5477483272552</v>
      </c>
      <c r="M1493" s="19" t="n">
        <v>656.1974983215332</v>
      </c>
      <c r="N1493" s="17" t="inlineStr">
        <is>
          <t>B</t>
        </is>
      </c>
      <c r="O1493" s="19" t="n">
        <v>253.2425496578217</v>
      </c>
      <c r="P1493" s="18" t="inlineStr">
        <is>
          <t>CÂN NHẮC THỬ NGHIỆM</t>
        </is>
      </c>
      <c r="Q1493" s="17" t="inlineStr">
        <is>
          <t>Không</t>
        </is>
      </c>
      <c r="R1493" s="20" t="n"/>
      <c r="S1493" s="20" t="n"/>
      <c r="T1493" s="21" t="n"/>
      <c r="U1493" s="21" t="n"/>
      <c r="V1493" s="22">
        <f>IF(U1493="A",K1493,IF(U1493="B",L1493,IF(U1493="C",M1493,IF(N1493="A",K1493,IF(N1493="B",L1493,M1493)))))</f>
        <v/>
      </c>
      <c r="W1493" s="22">
        <f>IF(R1493="",O1493,MAX(V1493-R1493-N(S1493),0))</f>
        <v/>
      </c>
      <c r="X1493" s="20" t="n"/>
      <c r="Y1493" s="23">
        <f>IF(OR(X1493="",W1493=0),"",X1493/W1493-1)</f>
        <v/>
      </c>
      <c r="Z1493" s="24" t="n"/>
      <c r="AA1493" s="21" t="n"/>
      <c r="AB1493" s="25" t="n"/>
      <c r="AC1493" s="26">
        <f>IF(T1493="","Chưa quyết định",IF(OR(Z1493="",AA1493=""),"⚠ Thiếu lý do/người duyệt",IF(AND(X1493&lt;&gt;"",N(X1493)+N(R1493)+N(S1493)&gt;M1493*1.001,R1493&lt;&gt;""),"⚠ Vượt mục tiêu P90",IF(AND(Y1493&lt;&gt;"",ABS(N(Y1493))&gt;0.3),"⚠ Lệch &gt; 30% so với nhu cầu",IF(Q1493="Có","ℹ Kiểm tra ngoại suy KM","✓ Hợp lệ")))))</f>
        <v/>
      </c>
    </row>
    <row r="1494">
      <c r="A1494" s="16" t="n">
        <v>1490</v>
      </c>
      <c r="B1494" s="17" t="inlineStr">
        <is>
          <t>DEC-S10-PREPARED_FOODS</t>
        </is>
      </c>
      <c r="C1494" s="16" t="n">
        <v>10</v>
      </c>
      <c r="D1494" s="17" t="inlineStr">
        <is>
          <t>PREPARED FOODS</t>
        </is>
      </c>
      <c r="E1494" s="17" t="inlineStr">
        <is>
          <t>HIGH</t>
        </is>
      </c>
      <c r="F1494" s="17" t="inlineStr">
        <is>
          <t>TRUNG BÌNH</t>
        </is>
      </c>
      <c r="G1494" s="18" t="inlineStr">
        <is>
          <t>RISK_HIGH</t>
        </is>
      </c>
      <c r="H1494" s="19" t="n">
        <v>158.792911529541</v>
      </c>
      <c r="I1494" s="19" t="n">
        <v>368.9639225006104</v>
      </c>
      <c r="J1494" s="19" t="n">
        <v>656.0299224853516</v>
      </c>
      <c r="K1494" s="19" t="n">
        <v>368.9639225006104</v>
      </c>
      <c r="L1494" s="19" t="n">
        <v>548.3801724910736</v>
      </c>
      <c r="M1494" s="19" t="n">
        <v>656.0299224853516</v>
      </c>
      <c r="N1494" s="17" t="inlineStr">
        <is>
          <t>B</t>
        </is>
      </c>
      <c r="O1494" s="19" t="n">
        <v>253.2090344905853</v>
      </c>
      <c r="P1494" s="18" t="inlineStr">
        <is>
          <t>CÂN NHẮC THỬ NGHIỆM</t>
        </is>
      </c>
      <c r="Q1494" s="17" t="inlineStr">
        <is>
          <t>Không</t>
        </is>
      </c>
      <c r="R1494" s="20" t="n"/>
      <c r="S1494" s="20" t="n"/>
      <c r="T1494" s="21" t="n"/>
      <c r="U1494" s="21" t="n"/>
      <c r="V1494" s="22">
        <f>IF(U1494="A",K1494,IF(U1494="B",L1494,IF(U1494="C",M1494,IF(N1494="A",K1494,IF(N1494="B",L1494,M1494)))))</f>
        <v/>
      </c>
      <c r="W1494" s="22">
        <f>IF(R1494="",O1494,MAX(V1494-R1494-N(S1494),0))</f>
        <v/>
      </c>
      <c r="X1494" s="20" t="n"/>
      <c r="Y1494" s="23">
        <f>IF(OR(X1494="",W1494=0),"",X1494/W1494-1)</f>
        <v/>
      </c>
      <c r="Z1494" s="24" t="n"/>
      <c r="AA1494" s="21" t="n"/>
      <c r="AB1494" s="25" t="n"/>
      <c r="AC1494" s="26">
        <f>IF(T1494="","Chưa quyết định",IF(OR(Z1494="",AA1494=""),"⚠ Thiếu lý do/người duyệt",IF(AND(X1494&lt;&gt;"",N(X1494)+N(R1494)+N(S1494)&gt;M1494*1.001,R1494&lt;&gt;""),"⚠ Vượt mục tiêu P90",IF(AND(Y1494&lt;&gt;"",ABS(N(Y1494))&gt;0.3),"⚠ Lệch &gt; 30% so với nhu cầu",IF(Q1494="Có","ℹ Kiểm tra ngoại suy KM","✓ Hợp lệ")))))</f>
        <v/>
      </c>
    </row>
    <row r="1495">
      <c r="A1495" s="16" t="n">
        <v>1491</v>
      </c>
      <c r="B1495" s="17" t="inlineStr">
        <is>
          <t>DEC-S28-HOME_AND_KITCHEN_II</t>
        </is>
      </c>
      <c r="C1495" s="16" t="n">
        <v>28</v>
      </c>
      <c r="D1495" s="17" t="inlineStr">
        <is>
          <t>HOME AND KITCHEN II</t>
        </is>
      </c>
      <c r="E1495" s="17" t="inlineStr">
        <is>
          <t>HIGH</t>
        </is>
      </c>
      <c r="F1495" s="17" t="inlineStr">
        <is>
          <t>TRUNG BÌNH</t>
        </is>
      </c>
      <c r="G1495" s="18" t="inlineStr">
        <is>
          <t>RISK_HIGH</t>
        </is>
      </c>
      <c r="H1495" s="19" t="n">
        <v>157.6755781173706</v>
      </c>
      <c r="I1495" s="19" t="n">
        <v>367.84658908844</v>
      </c>
      <c r="J1495" s="19" t="n">
        <v>654.9125890731812</v>
      </c>
      <c r="K1495" s="19" t="n">
        <v>367.84658908844</v>
      </c>
      <c r="L1495" s="19" t="n">
        <v>547.2628390789032</v>
      </c>
      <c r="M1495" s="19" t="n">
        <v>654.9125890731812</v>
      </c>
      <c r="N1495" s="17" t="inlineStr">
        <is>
          <t>B</t>
        </is>
      </c>
      <c r="O1495" s="19" t="n">
        <v>252.9855678081512</v>
      </c>
      <c r="P1495" s="18" t="inlineStr">
        <is>
          <t>CÂN NHẮC THỬ NGHIỆM</t>
        </is>
      </c>
      <c r="Q1495" s="17" t="inlineStr">
        <is>
          <t>Không</t>
        </is>
      </c>
      <c r="R1495" s="20" t="n"/>
      <c r="S1495" s="20" t="n"/>
      <c r="T1495" s="21" t="n"/>
      <c r="U1495" s="21" t="n"/>
      <c r="V1495" s="22">
        <f>IF(U1495="A",K1495,IF(U1495="B",L1495,IF(U1495="C",M1495,IF(N1495="A",K1495,IF(N1495="B",L1495,M1495)))))</f>
        <v/>
      </c>
      <c r="W1495" s="22">
        <f>IF(R1495="",O1495,MAX(V1495-R1495-N(S1495),0))</f>
        <v/>
      </c>
      <c r="X1495" s="20" t="n"/>
      <c r="Y1495" s="23">
        <f>IF(OR(X1495="",W1495=0),"",X1495/W1495-1)</f>
        <v/>
      </c>
      <c r="Z1495" s="24" t="n"/>
      <c r="AA1495" s="21" t="n"/>
      <c r="AB1495" s="25" t="n"/>
      <c r="AC1495" s="26">
        <f>IF(T1495="","Chưa quyết định",IF(OR(Z1495="",AA1495=""),"⚠ Thiếu lý do/người duyệt",IF(AND(X1495&lt;&gt;"",N(X1495)+N(R1495)+N(S1495)&gt;M1495*1.001,R1495&lt;&gt;""),"⚠ Vượt mục tiêu P90",IF(AND(Y1495&lt;&gt;"",ABS(N(Y1495))&gt;0.3),"⚠ Lệch &gt; 30% so với nhu cầu",IF(Q1495="Có","ℹ Kiểm tra ngoại suy KM","✓ Hợp lệ")))))</f>
        <v/>
      </c>
    </row>
    <row r="1496">
      <c r="A1496" s="16" t="n">
        <v>1492</v>
      </c>
      <c r="B1496" s="17" t="inlineStr">
        <is>
          <t>DEC-S03-LINGERIE</t>
        </is>
      </c>
      <c r="C1496" s="16" t="n">
        <v>3</v>
      </c>
      <c r="D1496" s="17" t="inlineStr">
        <is>
          <t>LINGERIE</t>
        </is>
      </c>
      <c r="E1496" s="17" t="inlineStr">
        <is>
          <t>HIGH</t>
        </is>
      </c>
      <c r="F1496" s="17" t="inlineStr">
        <is>
          <t>TRUNG BÌNH</t>
        </is>
      </c>
      <c r="G1496" s="18" t="inlineStr">
        <is>
          <t>RISK_HIGH</t>
        </is>
      </c>
      <c r="H1496" s="19" t="n">
        <v>138.4192924499512</v>
      </c>
      <c r="I1496" s="19" t="n">
        <v>367.0473318099976</v>
      </c>
      <c r="J1496" s="19" t="n">
        <v>684.1108684539795</v>
      </c>
      <c r="K1496" s="19" t="n">
        <v>367.0473318099976</v>
      </c>
      <c r="L1496" s="19" t="n">
        <v>565.2120422124863</v>
      </c>
      <c r="M1496" s="19" t="n">
        <v>684.1108684539795</v>
      </c>
      <c r="N1496" s="17" t="inlineStr">
        <is>
          <t>B</t>
        </is>
      </c>
      <c r="O1496" s="19" t="n">
        <v>271.5741767644882</v>
      </c>
      <c r="P1496" s="18" t="inlineStr">
        <is>
          <t>CÂN NHẮC THỬ NGHIỆM</t>
        </is>
      </c>
      <c r="Q1496" s="17" t="inlineStr">
        <is>
          <t>Không</t>
        </is>
      </c>
      <c r="R1496" s="20" t="n"/>
      <c r="S1496" s="20" t="n"/>
      <c r="T1496" s="21" t="n"/>
      <c r="U1496" s="21" t="n"/>
      <c r="V1496" s="22">
        <f>IF(U1496="A",K1496,IF(U1496="B",L1496,IF(U1496="C",M1496,IF(N1496="A",K1496,IF(N1496="B",L1496,M1496)))))</f>
        <v/>
      </c>
      <c r="W1496" s="22">
        <f>IF(R1496="",O1496,MAX(V1496-R1496-N(S1496),0))</f>
        <v/>
      </c>
      <c r="X1496" s="20" t="n"/>
      <c r="Y1496" s="23">
        <f>IF(OR(X1496="",W1496=0),"",X1496/W1496-1)</f>
        <v/>
      </c>
      <c r="Z1496" s="24" t="n"/>
      <c r="AA1496" s="21" t="n"/>
      <c r="AB1496" s="25" t="n"/>
      <c r="AC1496" s="26">
        <f>IF(T1496="","Chưa quyết định",IF(OR(Z1496="",AA1496=""),"⚠ Thiếu lý do/người duyệt",IF(AND(X1496&lt;&gt;"",N(X1496)+N(R1496)+N(S1496)&gt;M1496*1.001,R1496&lt;&gt;""),"⚠ Vượt mục tiêu P90",IF(AND(Y1496&lt;&gt;"",ABS(N(Y1496))&gt;0.3),"⚠ Lệch &gt; 30% so với nhu cầu",IF(Q1496="Có","ℹ Kiểm tra ngoại suy KM","✓ Hợp lệ")))))</f>
        <v/>
      </c>
    </row>
    <row r="1497">
      <c r="A1497" s="16" t="n">
        <v>1493</v>
      </c>
      <c r="B1497" s="17" t="inlineStr">
        <is>
          <t>DEC-S50-PLAYERS_AND_ELECTRONICS</t>
        </is>
      </c>
      <c r="C1497" s="16" t="n">
        <v>50</v>
      </c>
      <c r="D1497" s="17" t="inlineStr">
        <is>
          <t>PLAYERS AND ELECTRONICS</t>
        </is>
      </c>
      <c r="E1497" s="17" t="inlineStr">
        <is>
          <t>HIGH</t>
        </is>
      </c>
      <c r="F1497" s="17" t="inlineStr">
        <is>
          <t>TRUNG BÌNH</t>
        </is>
      </c>
      <c r="G1497" s="18" t="inlineStr">
        <is>
          <t>RISK_HIGH</t>
        </is>
      </c>
      <c r="H1497" s="19" t="n">
        <v>155.6235485076904</v>
      </c>
      <c r="I1497" s="19" t="n">
        <v>365.7945594787598</v>
      </c>
      <c r="J1497" s="19" t="n">
        <v>652.860559463501</v>
      </c>
      <c r="K1497" s="19" t="n">
        <v>365.7945594787598</v>
      </c>
      <c r="L1497" s="19" t="n">
        <v>545.210809469223</v>
      </c>
      <c r="M1497" s="19" t="n">
        <v>652.860559463501</v>
      </c>
      <c r="N1497" s="17" t="inlineStr">
        <is>
          <t>B</t>
        </is>
      </c>
      <c r="O1497" s="19" t="n">
        <v>252.5751618862152</v>
      </c>
      <c r="P1497" s="18" t="inlineStr">
        <is>
          <t>CÂN NHẮC THỬ NGHIỆM</t>
        </is>
      </c>
      <c r="Q1497" s="17" t="inlineStr">
        <is>
          <t>Không</t>
        </is>
      </c>
      <c r="R1497" s="20" t="n"/>
      <c r="S1497" s="20" t="n"/>
      <c r="T1497" s="21" t="n"/>
      <c r="U1497" s="21" t="n"/>
      <c r="V1497" s="22">
        <f>IF(U1497="A",K1497,IF(U1497="B",L1497,IF(U1497="C",M1497,IF(N1497="A",K1497,IF(N1497="B",L1497,M1497)))))</f>
        <v/>
      </c>
      <c r="W1497" s="22">
        <f>IF(R1497="",O1497,MAX(V1497-R1497-N(S1497),0))</f>
        <v/>
      </c>
      <c r="X1497" s="20" t="n"/>
      <c r="Y1497" s="23">
        <f>IF(OR(X1497="",W1497=0),"",X1497/W1497-1)</f>
        <v/>
      </c>
      <c r="Z1497" s="24" t="n"/>
      <c r="AA1497" s="21" t="n"/>
      <c r="AB1497" s="25" t="n"/>
      <c r="AC1497" s="26">
        <f>IF(T1497="","Chưa quyết định",IF(OR(Z1497="",AA1497=""),"⚠ Thiếu lý do/người duyệt",IF(AND(X1497&lt;&gt;"",N(X1497)+N(R1497)+N(S1497)&gt;M1497*1.001,R1497&lt;&gt;""),"⚠ Vượt mục tiêu P90",IF(AND(Y1497&lt;&gt;"",ABS(N(Y1497))&gt;0.3),"⚠ Lệch &gt; 30% so với nhu cầu",IF(Q1497="Có","ℹ Kiểm tra ngoại suy KM","✓ Hợp lệ")))))</f>
        <v/>
      </c>
    </row>
    <row r="1498">
      <c r="A1498" s="16" t="n">
        <v>1494</v>
      </c>
      <c r="B1498" s="17" t="inlineStr">
        <is>
          <t>DEC-S46-PET_SUPPLIES</t>
        </is>
      </c>
      <c r="C1498" s="16" t="n">
        <v>46</v>
      </c>
      <c r="D1498" s="17" t="inlineStr">
        <is>
          <t>PET SUPPLIES</t>
        </is>
      </c>
      <c r="E1498" s="17" t="inlineStr">
        <is>
          <t>HIGH</t>
        </is>
      </c>
      <c r="F1498" s="17" t="inlineStr">
        <is>
          <t>TRUNG BÌNH</t>
        </is>
      </c>
      <c r="G1498" s="18" t="inlineStr">
        <is>
          <t>RISK_HIGH</t>
        </is>
      </c>
      <c r="H1498" s="19" t="n">
        <v>147.7564306259155</v>
      </c>
      <c r="I1498" s="19" t="n">
        <v>364.660888671875</v>
      </c>
      <c r="J1498" s="19" t="n">
        <v>661.7260675430298</v>
      </c>
      <c r="K1498" s="19" t="n">
        <v>364.660888671875</v>
      </c>
      <c r="L1498" s="19" t="n">
        <v>550.3266254663467</v>
      </c>
      <c r="M1498" s="19" t="n">
        <v>661.7260675430298</v>
      </c>
      <c r="N1498" s="17" t="inlineStr">
        <is>
          <t>B</t>
        </is>
      </c>
      <c r="O1498" s="19" t="n">
        <v>258.5979145288468</v>
      </c>
      <c r="P1498" s="18" t="inlineStr">
        <is>
          <t>CÂN NHẮC THỬ NGHIỆM</t>
        </is>
      </c>
      <c r="Q1498" s="17" t="inlineStr">
        <is>
          <t>Không</t>
        </is>
      </c>
      <c r="R1498" s="20" t="n"/>
      <c r="S1498" s="20" t="n"/>
      <c r="T1498" s="21" t="n"/>
      <c r="U1498" s="21" t="n"/>
      <c r="V1498" s="22">
        <f>IF(U1498="A",K1498,IF(U1498="B",L1498,IF(U1498="C",M1498,IF(N1498="A",K1498,IF(N1498="B",L1498,M1498)))))</f>
        <v/>
      </c>
      <c r="W1498" s="22">
        <f>IF(R1498="",O1498,MAX(V1498-R1498-N(S1498),0))</f>
        <v/>
      </c>
      <c r="X1498" s="20" t="n"/>
      <c r="Y1498" s="23">
        <f>IF(OR(X1498="",W1498=0),"",X1498/W1498-1)</f>
        <v/>
      </c>
      <c r="Z1498" s="24" t="n"/>
      <c r="AA1498" s="21" t="n"/>
      <c r="AB1498" s="25" t="n"/>
      <c r="AC1498" s="26">
        <f>IF(T1498="","Chưa quyết định",IF(OR(Z1498="",AA1498=""),"⚠ Thiếu lý do/người duyệt",IF(AND(X1498&lt;&gt;"",N(X1498)+N(R1498)+N(S1498)&gt;M1498*1.001,R1498&lt;&gt;""),"⚠ Vượt mục tiêu P90",IF(AND(Y1498&lt;&gt;"",ABS(N(Y1498))&gt;0.3),"⚠ Lệch &gt; 30% so với nhu cầu",IF(Q1498="Có","ℹ Kiểm tra ngoại suy KM","✓ Hợp lệ")))))</f>
        <v/>
      </c>
    </row>
    <row r="1499">
      <c r="A1499" s="16" t="n">
        <v>1495</v>
      </c>
      <c r="B1499" s="17" t="inlineStr">
        <is>
          <t>DEC-S08-LINGERIE</t>
        </is>
      </c>
      <c r="C1499" s="16" t="n">
        <v>8</v>
      </c>
      <c r="D1499" s="17" t="inlineStr">
        <is>
          <t>LINGERIE</t>
        </is>
      </c>
      <c r="E1499" s="17" t="inlineStr">
        <is>
          <t>HIGH</t>
        </is>
      </c>
      <c r="F1499" s="17" t="inlineStr">
        <is>
          <t>TRUNG BÌNH</t>
        </is>
      </c>
      <c r="G1499" s="18" t="inlineStr">
        <is>
          <t>RISK_HIGH</t>
        </is>
      </c>
      <c r="H1499" s="19" t="n">
        <v>162.5951728820801</v>
      </c>
      <c r="I1499" s="19" t="n">
        <v>364.0002040863037</v>
      </c>
      <c r="J1499" s="19" t="n">
        <v>641.0670251846313</v>
      </c>
      <c r="K1499" s="19" t="n">
        <v>364.0002040863037</v>
      </c>
      <c r="L1499" s="19" t="n">
        <v>537.1669672727585</v>
      </c>
      <c r="M1499" s="19" t="n">
        <v>641.0670251846313</v>
      </c>
      <c r="N1499" s="17" t="inlineStr">
        <is>
          <t>B</t>
        </is>
      </c>
      <c r="O1499" s="19" t="n">
        <v>245.9668040037155</v>
      </c>
      <c r="P1499" s="18" t="inlineStr">
        <is>
          <t>CÂN NHẮC THỬ NGHIỆM</t>
        </is>
      </c>
      <c r="Q1499" s="17" t="inlineStr">
        <is>
          <t>Không</t>
        </is>
      </c>
      <c r="R1499" s="20" t="n"/>
      <c r="S1499" s="20" t="n"/>
      <c r="T1499" s="21" t="n"/>
      <c r="U1499" s="21" t="n"/>
      <c r="V1499" s="22">
        <f>IF(U1499="A",K1499,IF(U1499="B",L1499,IF(U1499="C",M1499,IF(N1499="A",K1499,IF(N1499="B",L1499,M1499)))))</f>
        <v/>
      </c>
      <c r="W1499" s="22">
        <f>IF(R1499="",O1499,MAX(V1499-R1499-N(S1499),0))</f>
        <v/>
      </c>
      <c r="X1499" s="20" t="n"/>
      <c r="Y1499" s="23">
        <f>IF(OR(X1499="",W1499=0),"",X1499/W1499-1)</f>
        <v/>
      </c>
      <c r="Z1499" s="24" t="n"/>
      <c r="AA1499" s="21" t="n"/>
      <c r="AB1499" s="25" t="n"/>
      <c r="AC1499" s="26">
        <f>IF(T1499="","Chưa quyết định",IF(OR(Z1499="",AA1499=""),"⚠ Thiếu lý do/người duyệt",IF(AND(X1499&lt;&gt;"",N(X1499)+N(R1499)+N(S1499)&gt;M1499*1.001,R1499&lt;&gt;""),"⚠ Vượt mục tiêu P90",IF(AND(Y1499&lt;&gt;"",ABS(N(Y1499))&gt;0.3),"⚠ Lệch &gt; 30% so với nhu cầu",IF(Q1499="Có","ℹ Kiểm tra ngoại suy KM","✓ Hợp lệ")))))</f>
        <v/>
      </c>
    </row>
    <row r="1500">
      <c r="A1500" s="16" t="n">
        <v>1496</v>
      </c>
      <c r="B1500" s="17" t="inlineStr">
        <is>
          <t>DEC-S24-SEAFOOD</t>
        </is>
      </c>
      <c r="C1500" s="16" t="n">
        <v>24</v>
      </c>
      <c r="D1500" s="17" t="inlineStr">
        <is>
          <t>SEAFOOD</t>
        </is>
      </c>
      <c r="E1500" s="17" t="inlineStr">
        <is>
          <t>HIGH</t>
        </is>
      </c>
      <c r="F1500" s="17" t="inlineStr">
        <is>
          <t>TRUNG BÌNH</t>
        </is>
      </c>
      <c r="G1500" s="18" t="inlineStr">
        <is>
          <t>RISK_HIGH</t>
        </is>
      </c>
      <c r="H1500" s="19" t="n">
        <v>149.1850805282593</v>
      </c>
      <c r="I1500" s="19" t="n">
        <v>359.3560914993286</v>
      </c>
      <c r="J1500" s="19" t="n">
        <v>646.4220914840698</v>
      </c>
      <c r="K1500" s="19" t="n">
        <v>359.3560914993286</v>
      </c>
      <c r="L1500" s="19" t="n">
        <v>538.7723414897919</v>
      </c>
      <c r="M1500" s="19" t="n">
        <v>646.4220914840698</v>
      </c>
      <c r="N1500" s="17" t="inlineStr">
        <is>
          <t>B</t>
        </is>
      </c>
      <c r="O1500" s="19" t="n">
        <v>251.2874682903289</v>
      </c>
      <c r="P1500" s="18" t="inlineStr">
        <is>
          <t>CÂN NHẮC THỬ NGHIỆM</t>
        </is>
      </c>
      <c r="Q1500" s="17" t="inlineStr">
        <is>
          <t>Không</t>
        </is>
      </c>
      <c r="R1500" s="20" t="n"/>
      <c r="S1500" s="20" t="n"/>
      <c r="T1500" s="21" t="n"/>
      <c r="U1500" s="21" t="n"/>
      <c r="V1500" s="22">
        <f>IF(U1500="A",K1500,IF(U1500="B",L1500,IF(U1500="C",M1500,IF(N1500="A",K1500,IF(N1500="B",L1500,M1500)))))</f>
        <v/>
      </c>
      <c r="W1500" s="22">
        <f>IF(R1500="",O1500,MAX(V1500-R1500-N(S1500),0))</f>
        <v/>
      </c>
      <c r="X1500" s="20" t="n"/>
      <c r="Y1500" s="23">
        <f>IF(OR(X1500="",W1500=0),"",X1500/W1500-1)</f>
        <v/>
      </c>
      <c r="Z1500" s="24" t="n"/>
      <c r="AA1500" s="21" t="n"/>
      <c r="AB1500" s="25" t="n"/>
      <c r="AC1500" s="26">
        <f>IF(T1500="","Chưa quyết định",IF(OR(Z1500="",AA1500=""),"⚠ Thiếu lý do/người duyệt",IF(AND(X1500&lt;&gt;"",N(X1500)+N(R1500)+N(S1500)&gt;M1500*1.001,R1500&lt;&gt;""),"⚠ Vượt mục tiêu P90",IF(AND(Y1500&lt;&gt;"",ABS(N(Y1500))&gt;0.3),"⚠ Lệch &gt; 30% so với nhu cầu",IF(Q1500="Có","ℹ Kiểm tra ngoại suy KM","✓ Hợp lệ")))))</f>
        <v/>
      </c>
    </row>
    <row r="1501">
      <c r="A1501" s="16" t="n">
        <v>1497</v>
      </c>
      <c r="B1501" s="17" t="inlineStr">
        <is>
          <t>DEC-S04-GROCERY_II</t>
        </is>
      </c>
      <c r="C1501" s="16" t="n">
        <v>4</v>
      </c>
      <c r="D1501" s="17" t="inlineStr">
        <is>
          <t>GROCERY II</t>
        </is>
      </c>
      <c r="E1501" s="17" t="inlineStr">
        <is>
          <t>HIGH</t>
        </is>
      </c>
      <c r="F1501" s="17" t="inlineStr">
        <is>
          <t>TRUNG BÌNH</t>
        </is>
      </c>
      <c r="G1501" s="18" t="inlineStr">
        <is>
          <t>RISK_HIGH</t>
        </is>
      </c>
      <c r="H1501" s="19" t="n">
        <v>151.1614036560059</v>
      </c>
      <c r="I1501" s="19" t="n">
        <v>359.1892862319946</v>
      </c>
      <c r="J1501" s="19" t="n">
        <v>646.2552862167358</v>
      </c>
      <c r="K1501" s="19" t="n">
        <v>359.1892862319946</v>
      </c>
      <c r="L1501" s="19" t="n">
        <v>538.6055362224579</v>
      </c>
      <c r="M1501" s="19" t="n">
        <v>646.2552862167358</v>
      </c>
      <c r="N1501" s="17" t="inlineStr">
        <is>
          <t>B</t>
        </is>
      </c>
      <c r="O1501" s="19" t="n">
        <v>251.2541072368622</v>
      </c>
      <c r="P1501" s="18" t="inlineStr">
        <is>
          <t>CÂN NHẮC THỬ NGHIỆM</t>
        </is>
      </c>
      <c r="Q1501" s="17" t="inlineStr">
        <is>
          <t>Không</t>
        </is>
      </c>
      <c r="R1501" s="20" t="n"/>
      <c r="S1501" s="20" t="n"/>
      <c r="T1501" s="21" t="n"/>
      <c r="U1501" s="21" t="n"/>
      <c r="V1501" s="22">
        <f>IF(U1501="A",K1501,IF(U1501="B",L1501,IF(U1501="C",M1501,IF(N1501="A",K1501,IF(N1501="B",L1501,M1501)))))</f>
        <v/>
      </c>
      <c r="W1501" s="22">
        <f>IF(R1501="",O1501,MAX(V1501-R1501-N(S1501),0))</f>
        <v/>
      </c>
      <c r="X1501" s="20" t="n"/>
      <c r="Y1501" s="23">
        <f>IF(OR(X1501="",W1501=0),"",X1501/W1501-1)</f>
        <v/>
      </c>
      <c r="Z1501" s="24" t="n"/>
      <c r="AA1501" s="21" t="n"/>
      <c r="AB1501" s="25" t="n"/>
      <c r="AC1501" s="26">
        <f>IF(T1501="","Chưa quyết định",IF(OR(Z1501="",AA1501=""),"⚠ Thiếu lý do/người duyệt",IF(AND(X1501&lt;&gt;"",N(X1501)+N(R1501)+N(S1501)&gt;M1501*1.001,R1501&lt;&gt;""),"⚠ Vượt mục tiêu P90",IF(AND(Y1501&lt;&gt;"",ABS(N(Y1501))&gt;0.3),"⚠ Lệch &gt; 30% so với nhu cầu",IF(Q1501="Có","ℹ Kiểm tra ngoại suy KM","✓ Hợp lệ")))))</f>
        <v/>
      </c>
    </row>
    <row r="1502">
      <c r="A1502" s="16" t="n">
        <v>1498</v>
      </c>
      <c r="B1502" s="17" t="inlineStr">
        <is>
          <t>DEC-S39-HOME_AND_KITCHEN_I</t>
        </is>
      </c>
      <c r="C1502" s="16" t="n">
        <v>39</v>
      </c>
      <c r="D1502" s="17" t="inlineStr">
        <is>
          <t>HOME AND KITCHEN I</t>
        </is>
      </c>
      <c r="E1502" s="17" t="inlineStr">
        <is>
          <t>HIGH</t>
        </is>
      </c>
      <c r="F1502" s="17" t="inlineStr">
        <is>
          <t>TRUNG BÌNH</t>
        </is>
      </c>
      <c r="G1502" s="18" t="inlineStr">
        <is>
          <t>RISK_HIGH</t>
        </is>
      </c>
      <c r="H1502" s="19" t="n">
        <v>138.6177043914795</v>
      </c>
      <c r="I1502" s="19" t="n">
        <v>348.3460187911988</v>
      </c>
      <c r="J1502" s="19" t="n">
        <v>635.4120187759399</v>
      </c>
      <c r="K1502" s="19" t="n">
        <v>348.3460187911988</v>
      </c>
      <c r="L1502" s="19" t="n">
        <v>527.762268781662</v>
      </c>
      <c r="M1502" s="19" t="n">
        <v>635.4120187759399</v>
      </c>
      <c r="N1502" s="17" t="inlineStr">
        <is>
          <t>B</t>
        </is>
      </c>
      <c r="O1502" s="19" t="n">
        <v>249.085453748703</v>
      </c>
      <c r="P1502" s="18" t="inlineStr">
        <is>
          <t>CÂN NHẮC THỬ NGHIỆM</t>
        </is>
      </c>
      <c r="Q1502" s="17" t="inlineStr">
        <is>
          <t>Không</t>
        </is>
      </c>
      <c r="R1502" s="20" t="n"/>
      <c r="S1502" s="20" t="n"/>
      <c r="T1502" s="21" t="n"/>
      <c r="U1502" s="21" t="n"/>
      <c r="V1502" s="22">
        <f>IF(U1502="A",K1502,IF(U1502="B",L1502,IF(U1502="C",M1502,IF(N1502="A",K1502,IF(N1502="B",L1502,M1502)))))</f>
        <v/>
      </c>
      <c r="W1502" s="22">
        <f>IF(R1502="",O1502,MAX(V1502-R1502-N(S1502),0))</f>
        <v/>
      </c>
      <c r="X1502" s="20" t="n"/>
      <c r="Y1502" s="23">
        <f>IF(OR(X1502="",W1502=0),"",X1502/W1502-1)</f>
        <v/>
      </c>
      <c r="Z1502" s="24" t="n"/>
      <c r="AA1502" s="21" t="n"/>
      <c r="AB1502" s="25" t="n"/>
      <c r="AC1502" s="26">
        <f>IF(T1502="","Chưa quyết định",IF(OR(Z1502="",AA1502=""),"⚠ Thiếu lý do/người duyệt",IF(AND(X1502&lt;&gt;"",N(X1502)+N(R1502)+N(S1502)&gt;M1502*1.001,R1502&lt;&gt;""),"⚠ Vượt mục tiêu P90",IF(AND(Y1502&lt;&gt;"",ABS(N(Y1502))&gt;0.3),"⚠ Lệch &gt; 30% so với nhu cầu",IF(Q1502="Có","ℹ Kiểm tra ngoại suy KM","✓ Hợp lệ")))))</f>
        <v/>
      </c>
    </row>
    <row r="1503">
      <c r="A1503" s="16" t="n">
        <v>1499</v>
      </c>
      <c r="B1503" s="17" t="inlineStr">
        <is>
          <t>DEC-S47-PET_SUPPLIES</t>
        </is>
      </c>
      <c r="C1503" s="16" t="n">
        <v>47</v>
      </c>
      <c r="D1503" s="17" t="inlineStr">
        <is>
          <t>PET SUPPLIES</t>
        </is>
      </c>
      <c r="E1503" s="17" t="inlineStr">
        <is>
          <t>HIGH</t>
        </is>
      </c>
      <c r="F1503" s="17" t="inlineStr">
        <is>
          <t>TRUNG BÌNH</t>
        </is>
      </c>
      <c r="G1503" s="18" t="inlineStr">
        <is>
          <t>RISK_HIGH</t>
        </is>
      </c>
      <c r="H1503" s="19" t="n">
        <v>138.1681337356567</v>
      </c>
      <c r="I1503" s="19" t="n">
        <v>347.6450614929199</v>
      </c>
      <c r="J1503" s="19" t="n">
        <v>634.7110614776611</v>
      </c>
      <c r="K1503" s="19" t="n">
        <v>347.6450614929199</v>
      </c>
      <c r="L1503" s="19" t="n">
        <v>527.0613114833832</v>
      </c>
      <c r="M1503" s="19" t="n">
        <v>634.7110614776611</v>
      </c>
      <c r="N1503" s="17" t="inlineStr">
        <is>
          <t>B</t>
        </is>
      </c>
      <c r="O1503" s="19" t="n">
        <v>248.9452622890472</v>
      </c>
      <c r="P1503" s="18" t="inlineStr">
        <is>
          <t>CÂN NHẮC THỬ NGHIỆM</t>
        </is>
      </c>
      <c r="Q1503" s="17" t="inlineStr">
        <is>
          <t>Không</t>
        </is>
      </c>
      <c r="R1503" s="20" t="n"/>
      <c r="S1503" s="20" t="n"/>
      <c r="T1503" s="21" t="n"/>
      <c r="U1503" s="21" t="n"/>
      <c r="V1503" s="22">
        <f>IF(U1503="A",K1503,IF(U1503="B",L1503,IF(U1503="C",M1503,IF(N1503="A",K1503,IF(N1503="B",L1503,M1503)))))</f>
        <v/>
      </c>
      <c r="W1503" s="22">
        <f>IF(R1503="",O1503,MAX(V1503-R1503-N(S1503),0))</f>
        <v/>
      </c>
      <c r="X1503" s="20" t="n"/>
      <c r="Y1503" s="23">
        <f>IF(OR(X1503="",W1503=0),"",X1503/W1503-1)</f>
        <v/>
      </c>
      <c r="Z1503" s="24" t="n"/>
      <c r="AA1503" s="21" t="n"/>
      <c r="AB1503" s="25" t="n"/>
      <c r="AC1503" s="26">
        <f>IF(T1503="","Chưa quyết định",IF(OR(Z1503="",AA1503=""),"⚠ Thiếu lý do/người duyệt",IF(AND(X1503&lt;&gt;"",N(X1503)+N(R1503)+N(S1503)&gt;M1503*1.001,R1503&lt;&gt;""),"⚠ Vượt mục tiêu P90",IF(AND(Y1503&lt;&gt;"",ABS(N(Y1503))&gt;0.3),"⚠ Lệch &gt; 30% so với nhu cầu",IF(Q1503="Có","ℹ Kiểm tra ngoại suy KM","✓ Hợp lệ")))))</f>
        <v/>
      </c>
    </row>
    <row r="1504">
      <c r="A1504" s="16" t="n">
        <v>1500</v>
      </c>
      <c r="B1504" s="17" t="inlineStr">
        <is>
          <t>DEC-S46-BEAUTY</t>
        </is>
      </c>
      <c r="C1504" s="16" t="n">
        <v>46</v>
      </c>
      <c r="D1504" s="17" t="inlineStr">
        <is>
          <t>BEAUTY</t>
        </is>
      </c>
      <c r="E1504" s="17" t="inlineStr">
        <is>
          <t>HIGH</t>
        </is>
      </c>
      <c r="F1504" s="17" t="inlineStr">
        <is>
          <t>TRUNG BÌNH</t>
        </is>
      </c>
      <c r="G1504" s="18" t="inlineStr">
        <is>
          <t>RISK_HIGH</t>
        </is>
      </c>
      <c r="H1504" s="19" t="n">
        <v>147.1486721038818</v>
      </c>
      <c r="I1504" s="19" t="n">
        <v>347.5809936523437</v>
      </c>
      <c r="J1504" s="19" t="n">
        <v>624.6478147506714</v>
      </c>
      <c r="K1504" s="19" t="n">
        <v>347.5809936523437</v>
      </c>
      <c r="L1504" s="19" t="n">
        <v>520.7477568387985</v>
      </c>
      <c r="M1504" s="19" t="n">
        <v>624.6478147506714</v>
      </c>
      <c r="N1504" s="17" t="inlineStr">
        <is>
          <t>B</t>
        </is>
      </c>
      <c r="O1504" s="19" t="n">
        <v>242.6829619169235</v>
      </c>
      <c r="P1504" s="18" t="inlineStr">
        <is>
          <t>CÂN NHẮC THỬ NGHIỆM</t>
        </is>
      </c>
      <c r="Q1504" s="17" t="inlineStr">
        <is>
          <t>Không</t>
        </is>
      </c>
      <c r="R1504" s="20" t="n"/>
      <c r="S1504" s="20" t="n"/>
      <c r="T1504" s="21" t="n"/>
      <c r="U1504" s="21" t="n"/>
      <c r="V1504" s="22">
        <f>IF(U1504="A",K1504,IF(U1504="B",L1504,IF(U1504="C",M1504,IF(N1504="A",K1504,IF(N1504="B",L1504,M1504)))))</f>
        <v/>
      </c>
      <c r="W1504" s="22">
        <f>IF(R1504="",O1504,MAX(V1504-R1504-N(S1504),0))</f>
        <v/>
      </c>
      <c r="X1504" s="20" t="n"/>
      <c r="Y1504" s="23">
        <f>IF(OR(X1504="",W1504=0),"",X1504/W1504-1)</f>
        <v/>
      </c>
      <c r="Z1504" s="24" t="n"/>
      <c r="AA1504" s="21" t="n"/>
      <c r="AB1504" s="25" t="n"/>
      <c r="AC1504" s="26">
        <f>IF(T1504="","Chưa quyết định",IF(OR(Z1504="",AA1504=""),"⚠ Thiếu lý do/người duyệt",IF(AND(X1504&lt;&gt;"",N(X1504)+N(R1504)+N(S1504)&gt;M1504*1.001,R1504&lt;&gt;""),"⚠ Vượt mục tiêu P90",IF(AND(Y1504&lt;&gt;"",ABS(N(Y1504))&gt;0.3),"⚠ Lệch &gt; 30% so với nhu cầu",IF(Q1504="Có","ℹ Kiểm tra ngoại suy KM","✓ Hợp lệ")))))</f>
        <v/>
      </c>
    </row>
    <row r="1505">
      <c r="A1505" s="16" t="n">
        <v>1501</v>
      </c>
      <c r="B1505" s="17" t="inlineStr">
        <is>
          <t>DEC-S39-HOME_AND_KITCHEN_II</t>
        </is>
      </c>
      <c r="C1505" s="16" t="n">
        <v>39</v>
      </c>
      <c r="D1505" s="17" t="inlineStr">
        <is>
          <t>HOME AND KITCHEN II</t>
        </is>
      </c>
      <c r="E1505" s="17" t="inlineStr">
        <is>
          <t>HIGH</t>
        </is>
      </c>
      <c r="F1505" s="17" t="inlineStr">
        <is>
          <t>TRUNG BÌNH</t>
        </is>
      </c>
      <c r="G1505" s="18" t="inlineStr">
        <is>
          <t>RISK_HIGH</t>
        </is>
      </c>
      <c r="H1505" s="19" t="n">
        <v>132.7874937057495</v>
      </c>
      <c r="I1505" s="19" t="n">
        <v>329.4916105270386</v>
      </c>
      <c r="J1505" s="19" t="n">
        <v>596.5592527389526</v>
      </c>
      <c r="K1505" s="19" t="n">
        <v>329.4916105270386</v>
      </c>
      <c r="L1505" s="19" t="n">
        <v>496.4088869094849</v>
      </c>
      <c r="M1505" s="19" t="n">
        <v>596.5592527389526</v>
      </c>
      <c r="N1505" s="17" t="inlineStr">
        <is>
          <t>B</t>
        </is>
      </c>
      <c r="O1505" s="19" t="n">
        <v>232.815598487854</v>
      </c>
      <c r="P1505" s="18" t="inlineStr">
        <is>
          <t>CÂN NHẮC THỬ NGHIỆM</t>
        </is>
      </c>
      <c r="Q1505" s="17" t="inlineStr">
        <is>
          <t>Không</t>
        </is>
      </c>
      <c r="R1505" s="20" t="n"/>
      <c r="S1505" s="20" t="n"/>
      <c r="T1505" s="21" t="n"/>
      <c r="U1505" s="21" t="n"/>
      <c r="V1505" s="22">
        <f>IF(U1505="A",K1505,IF(U1505="B",L1505,IF(U1505="C",M1505,IF(N1505="A",K1505,IF(N1505="B",L1505,M1505)))))</f>
        <v/>
      </c>
      <c r="W1505" s="22">
        <f>IF(R1505="",O1505,MAX(V1505-R1505-N(S1505),0))</f>
        <v/>
      </c>
      <c r="X1505" s="20" t="n"/>
      <c r="Y1505" s="23">
        <f>IF(OR(X1505="",W1505=0),"",X1505/W1505-1)</f>
        <v/>
      </c>
      <c r="Z1505" s="24" t="n"/>
      <c r="AA1505" s="21" t="n"/>
      <c r="AB1505" s="25" t="n"/>
      <c r="AC1505" s="26">
        <f>IF(T1505="","Chưa quyết định",IF(OR(Z1505="",AA1505=""),"⚠ Thiếu lý do/người duyệt",IF(AND(X1505&lt;&gt;"",N(X1505)+N(R1505)+N(S1505)&gt;M1505*1.001,R1505&lt;&gt;""),"⚠ Vượt mục tiêu P90",IF(AND(Y1505&lt;&gt;"",ABS(N(Y1505))&gt;0.3),"⚠ Lệch &gt; 30% so với nhu cầu",IF(Q1505="Có","ℹ Kiểm tra ngoại suy KM","✓ Hợp lệ")))))</f>
        <v/>
      </c>
    </row>
    <row r="1506">
      <c r="A1506" s="16" t="n">
        <v>1502</v>
      </c>
      <c r="B1506" s="17" t="inlineStr">
        <is>
          <t>DEC-S01-GROCERY_II</t>
        </is>
      </c>
      <c r="C1506" s="16" t="n">
        <v>1</v>
      </c>
      <c r="D1506" s="17" t="inlineStr">
        <is>
          <t>GROCERY II</t>
        </is>
      </c>
      <c r="E1506" s="17" t="inlineStr">
        <is>
          <t>HIGH</t>
        </is>
      </c>
      <c r="F1506" s="17" t="inlineStr">
        <is>
          <t>TRUNG BÌNH</t>
        </is>
      </c>
      <c r="G1506" s="18" t="inlineStr">
        <is>
          <t>RISK_HIGH</t>
        </is>
      </c>
      <c r="H1506" s="19" t="n">
        <v>126.0061779022217</v>
      </c>
      <c r="I1506" s="19" t="n">
        <v>329.4437417984009</v>
      </c>
      <c r="J1506" s="19" t="n">
        <v>606.5105628967285</v>
      </c>
      <c r="K1506" s="19" t="n">
        <v>329.4437417984009</v>
      </c>
      <c r="L1506" s="19" t="n">
        <v>502.6105049848557</v>
      </c>
      <c r="M1506" s="19" t="n">
        <v>606.5105628967285</v>
      </c>
      <c r="N1506" s="17" t="inlineStr">
        <is>
          <t>B</t>
        </is>
      </c>
      <c r="O1506" s="19" t="n">
        <v>239.0555115461349</v>
      </c>
      <c r="P1506" s="18" t="inlineStr">
        <is>
          <t>CÂN NHẮC THỬ NGHIỆM</t>
        </is>
      </c>
      <c r="Q1506" s="17" t="inlineStr">
        <is>
          <t>Không</t>
        </is>
      </c>
      <c r="R1506" s="20" t="n"/>
      <c r="S1506" s="20" t="n"/>
      <c r="T1506" s="21" t="n"/>
      <c r="U1506" s="21" t="n"/>
      <c r="V1506" s="22">
        <f>IF(U1506="A",K1506,IF(U1506="B",L1506,IF(U1506="C",M1506,IF(N1506="A",K1506,IF(N1506="B",L1506,M1506)))))</f>
        <v/>
      </c>
      <c r="W1506" s="22">
        <f>IF(R1506="",O1506,MAX(V1506-R1506-N(S1506),0))</f>
        <v/>
      </c>
      <c r="X1506" s="20" t="n"/>
      <c r="Y1506" s="23">
        <f>IF(OR(X1506="",W1506=0),"",X1506/W1506-1)</f>
        <v/>
      </c>
      <c r="Z1506" s="24" t="n"/>
      <c r="AA1506" s="21" t="n"/>
      <c r="AB1506" s="25" t="n"/>
      <c r="AC1506" s="26">
        <f>IF(T1506="","Chưa quyết định",IF(OR(Z1506="",AA1506=""),"⚠ Thiếu lý do/người duyệt",IF(AND(X1506&lt;&gt;"",N(X1506)+N(R1506)+N(S1506)&gt;M1506*1.001,R1506&lt;&gt;""),"⚠ Vượt mục tiêu P90",IF(AND(Y1506&lt;&gt;"",ABS(N(Y1506))&gt;0.3),"⚠ Lệch &gt; 30% so với nhu cầu",IF(Q1506="Có","ℹ Kiểm tra ngoại suy KM","✓ Hợp lệ")))))</f>
        <v/>
      </c>
    </row>
    <row r="1507">
      <c r="A1507" s="16" t="n">
        <v>1503</v>
      </c>
      <c r="B1507" s="17" t="inlineStr">
        <is>
          <t>DEC-S44-BEAUTY</t>
        </is>
      </c>
      <c r="C1507" s="16" t="n">
        <v>44</v>
      </c>
      <c r="D1507" s="17" t="inlineStr">
        <is>
          <t>BEAUTY</t>
        </is>
      </c>
      <c r="E1507" s="17" t="inlineStr">
        <is>
          <t>HIGH</t>
        </is>
      </c>
      <c r="F1507" s="17" t="inlineStr">
        <is>
          <t>TRUNG BÌNH</t>
        </is>
      </c>
      <c r="G1507" s="18" t="inlineStr">
        <is>
          <t>RISK_HIGH</t>
        </is>
      </c>
      <c r="H1507" s="19" t="n">
        <v>128.856707572937</v>
      </c>
      <c r="I1507" s="19" t="n">
        <v>327.0421724319458</v>
      </c>
      <c r="J1507" s="19" t="n">
        <v>597.7605009078979</v>
      </c>
      <c r="K1507" s="19" t="n">
        <v>327.0421724319458</v>
      </c>
      <c r="L1507" s="19" t="n">
        <v>496.2411277294159</v>
      </c>
      <c r="M1507" s="19" t="n">
        <v>597.7605009078979</v>
      </c>
      <c r="N1507" s="17" t="inlineStr">
        <is>
          <t>B</t>
        </is>
      </c>
      <c r="O1507" s="19" t="n">
        <v>234.6073897838592</v>
      </c>
      <c r="P1507" s="18" t="inlineStr">
        <is>
          <t>CÂN NHẮC THỬ NGHIỆM</t>
        </is>
      </c>
      <c r="Q1507" s="17" t="inlineStr">
        <is>
          <t>Không</t>
        </is>
      </c>
      <c r="R1507" s="20" t="n"/>
      <c r="S1507" s="20" t="n"/>
      <c r="T1507" s="21" t="n"/>
      <c r="U1507" s="21" t="n"/>
      <c r="V1507" s="22">
        <f>IF(U1507="A",K1507,IF(U1507="B",L1507,IF(U1507="C",M1507,IF(N1507="A",K1507,IF(N1507="B",L1507,M1507)))))</f>
        <v/>
      </c>
      <c r="W1507" s="22">
        <f>IF(R1507="",O1507,MAX(V1507-R1507-N(S1507),0))</f>
        <v/>
      </c>
      <c r="X1507" s="20" t="n"/>
      <c r="Y1507" s="23">
        <f>IF(OR(X1507="",W1507=0),"",X1507/W1507-1)</f>
        <v/>
      </c>
      <c r="Z1507" s="24" t="n"/>
      <c r="AA1507" s="21" t="n"/>
      <c r="AB1507" s="25" t="n"/>
      <c r="AC1507" s="26">
        <f>IF(T1507="","Chưa quyết định",IF(OR(Z1507="",AA1507=""),"⚠ Thiếu lý do/người duyệt",IF(AND(X1507&lt;&gt;"",N(X1507)+N(R1507)+N(S1507)&gt;M1507*1.001,R1507&lt;&gt;""),"⚠ Vượt mục tiêu P90",IF(AND(Y1507&lt;&gt;"",ABS(N(Y1507))&gt;0.3),"⚠ Lệch &gt; 30% so với nhu cầu",IF(Q1507="Có","ℹ Kiểm tra ngoại suy KM","✓ Hợp lệ")))))</f>
        <v/>
      </c>
    </row>
    <row r="1508">
      <c r="A1508" s="16" t="n">
        <v>1504</v>
      </c>
      <c r="B1508" s="17" t="inlineStr">
        <is>
          <t>DEC-S33-HOME_AND_KITCHEN_I</t>
        </is>
      </c>
      <c r="C1508" s="16" t="n">
        <v>33</v>
      </c>
      <c r="D1508" s="17" t="inlineStr">
        <is>
          <t>HOME AND KITCHEN I</t>
        </is>
      </c>
      <c r="E1508" s="17" t="inlineStr">
        <is>
          <t>HIGH</t>
        </is>
      </c>
      <c r="F1508" s="17" t="inlineStr">
        <is>
          <t>TRUNG BÌNH</t>
        </is>
      </c>
      <c r="G1508" s="18" t="inlineStr">
        <is>
          <t>RISK_HIGH</t>
        </is>
      </c>
      <c r="H1508" s="19" t="n">
        <v>121.8668308258057</v>
      </c>
      <c r="I1508" s="19" t="n">
        <v>324.5375680923462</v>
      </c>
      <c r="J1508" s="19" t="n">
        <v>601.6043891906738</v>
      </c>
      <c r="K1508" s="19" t="n">
        <v>324.5375680923462</v>
      </c>
      <c r="L1508" s="19" t="n">
        <v>497.704331278801</v>
      </c>
      <c r="M1508" s="19" t="n">
        <v>601.6043891906738</v>
      </c>
      <c r="N1508" s="17" t="inlineStr">
        <is>
          <t>B</t>
        </is>
      </c>
      <c r="O1508" s="19" t="n">
        <v>238.0742768049241</v>
      </c>
      <c r="P1508" s="18" t="inlineStr">
        <is>
          <t>CÂN NHẮC THỬ NGHIỆM</t>
        </is>
      </c>
      <c r="Q1508" s="17" t="inlineStr">
        <is>
          <t>Không</t>
        </is>
      </c>
      <c r="R1508" s="20" t="n"/>
      <c r="S1508" s="20" t="n"/>
      <c r="T1508" s="21" t="n"/>
      <c r="U1508" s="21" t="n"/>
      <c r="V1508" s="22">
        <f>IF(U1508="A",K1508,IF(U1508="B",L1508,IF(U1508="C",M1508,IF(N1508="A",K1508,IF(N1508="B",L1508,M1508)))))</f>
        <v/>
      </c>
      <c r="W1508" s="22">
        <f>IF(R1508="",O1508,MAX(V1508-R1508-N(S1508),0))</f>
        <v/>
      </c>
      <c r="X1508" s="20" t="n"/>
      <c r="Y1508" s="23">
        <f>IF(OR(X1508="",W1508=0),"",X1508/W1508-1)</f>
        <v/>
      </c>
      <c r="Z1508" s="24" t="n"/>
      <c r="AA1508" s="21" t="n"/>
      <c r="AB1508" s="25" t="n"/>
      <c r="AC1508" s="26">
        <f>IF(T1508="","Chưa quyết định",IF(OR(Z1508="",AA1508=""),"⚠ Thiếu lý do/người duyệt",IF(AND(X1508&lt;&gt;"",N(X1508)+N(R1508)+N(S1508)&gt;M1508*1.001,R1508&lt;&gt;""),"⚠ Vượt mục tiêu P90",IF(AND(Y1508&lt;&gt;"",ABS(N(Y1508))&gt;0.3),"⚠ Lệch &gt; 30% so với nhu cầu",IF(Q1508="Có","ℹ Kiểm tra ngoại suy KM","✓ Hợp lệ")))))</f>
        <v/>
      </c>
    </row>
    <row r="1509">
      <c r="A1509" s="16" t="n">
        <v>1505</v>
      </c>
      <c r="B1509" s="17" t="inlineStr">
        <is>
          <t>DEC-S42-LADIESWEAR</t>
        </is>
      </c>
      <c r="C1509" s="16" t="n">
        <v>42</v>
      </c>
      <c r="D1509" s="17" t="inlineStr">
        <is>
          <t>LADIESWEAR</t>
        </is>
      </c>
      <c r="E1509" s="17" t="inlineStr">
        <is>
          <t>HIGH</t>
        </is>
      </c>
      <c r="F1509" s="17" t="inlineStr">
        <is>
          <t>TRUNG BÌNH</t>
        </is>
      </c>
      <c r="G1509" s="18" t="inlineStr">
        <is>
          <t>RISK_HIGH</t>
        </is>
      </c>
      <c r="H1509" s="19" t="n">
        <v>113.1471729278564</v>
      </c>
      <c r="I1509" s="19" t="n">
        <v>321.1011171340942</v>
      </c>
      <c r="J1509" s="19" t="n">
        <v>608.1671171188354</v>
      </c>
      <c r="K1509" s="19" t="n">
        <v>321.1011171340942</v>
      </c>
      <c r="L1509" s="19" t="n">
        <v>500.5173671245575</v>
      </c>
      <c r="M1509" s="19" t="n">
        <v>608.1671171188354</v>
      </c>
      <c r="N1509" s="17" t="inlineStr">
        <is>
          <t>B</t>
        </is>
      </c>
      <c r="O1509" s="19" t="n">
        <v>243.6364734172821</v>
      </c>
      <c r="P1509" s="18" t="inlineStr">
        <is>
          <t>CÂN NHẮC THỬ NGHIỆM</t>
        </is>
      </c>
      <c r="Q1509" s="17" t="inlineStr">
        <is>
          <t>Không</t>
        </is>
      </c>
      <c r="R1509" s="20" t="n"/>
      <c r="S1509" s="20" t="n"/>
      <c r="T1509" s="21" t="n"/>
      <c r="U1509" s="21" t="n"/>
      <c r="V1509" s="22">
        <f>IF(U1509="A",K1509,IF(U1509="B",L1509,IF(U1509="C",M1509,IF(N1509="A",K1509,IF(N1509="B",L1509,M1509)))))</f>
        <v/>
      </c>
      <c r="W1509" s="22">
        <f>IF(R1509="",O1509,MAX(V1509-R1509-N(S1509),0))</f>
        <v/>
      </c>
      <c r="X1509" s="20" t="n"/>
      <c r="Y1509" s="23">
        <f>IF(OR(X1509="",W1509=0),"",X1509/W1509-1)</f>
        <v/>
      </c>
      <c r="Z1509" s="24" t="n"/>
      <c r="AA1509" s="21" t="n"/>
      <c r="AB1509" s="25" t="n"/>
      <c r="AC1509" s="26">
        <f>IF(T1509="","Chưa quyết định",IF(OR(Z1509="",AA1509=""),"⚠ Thiếu lý do/người duyệt",IF(AND(X1509&lt;&gt;"",N(X1509)+N(R1509)+N(S1509)&gt;M1509*1.001,R1509&lt;&gt;""),"⚠ Vượt mục tiêu P90",IF(AND(Y1509&lt;&gt;"",ABS(N(Y1509))&gt;0.3),"⚠ Lệch &gt; 30% so với nhu cầu",IF(Q1509="Có","ℹ Kiểm tra ngoại suy KM","✓ Hợp lệ")))))</f>
        <v/>
      </c>
    </row>
    <row r="1510">
      <c r="A1510" s="16" t="n">
        <v>1506</v>
      </c>
      <c r="B1510" s="17" t="inlineStr">
        <is>
          <t>DEC-S17-HOME_AND_KITCHEN_I</t>
        </is>
      </c>
      <c r="C1510" s="16" t="n">
        <v>17</v>
      </c>
      <c r="D1510" s="17" t="inlineStr">
        <is>
          <t>HOME AND KITCHEN I</t>
        </is>
      </c>
      <c r="E1510" s="17" t="inlineStr">
        <is>
          <t>HIGH</t>
        </is>
      </c>
      <c r="F1510" s="17" t="inlineStr">
        <is>
          <t>TRUNG BÌNH</t>
        </is>
      </c>
      <c r="G1510" s="18" t="inlineStr">
        <is>
          <t>RISK_HIGH</t>
        </is>
      </c>
      <c r="H1510" s="19" t="n">
        <v>124.5249519348144</v>
      </c>
      <c r="I1510" s="19" t="n">
        <v>317.7491273880005</v>
      </c>
      <c r="J1510" s="19" t="n">
        <v>584.8167695999146</v>
      </c>
      <c r="K1510" s="19" t="n">
        <v>317.7491273880005</v>
      </c>
      <c r="L1510" s="19" t="n">
        <v>484.6664037704468</v>
      </c>
      <c r="M1510" s="19" t="n">
        <v>584.8167695999146</v>
      </c>
      <c r="N1510" s="17" t="inlineStr">
        <is>
          <t>B</t>
        </is>
      </c>
      <c r="O1510" s="19" t="n">
        <v>230.4671018600464</v>
      </c>
      <c r="P1510" s="18" t="inlineStr">
        <is>
          <t>CÂN NHẮC THỬ NGHIỆM</t>
        </is>
      </c>
      <c r="Q1510" s="17" t="inlineStr">
        <is>
          <t>Không</t>
        </is>
      </c>
      <c r="R1510" s="20" t="n"/>
      <c r="S1510" s="20" t="n"/>
      <c r="T1510" s="21" t="n"/>
      <c r="U1510" s="21" t="n"/>
      <c r="V1510" s="22">
        <f>IF(U1510="A",K1510,IF(U1510="B",L1510,IF(U1510="C",M1510,IF(N1510="A",K1510,IF(N1510="B",L1510,M1510)))))</f>
        <v/>
      </c>
      <c r="W1510" s="22">
        <f>IF(R1510="",O1510,MAX(V1510-R1510-N(S1510),0))</f>
        <v/>
      </c>
      <c r="X1510" s="20" t="n"/>
      <c r="Y1510" s="23">
        <f>IF(OR(X1510="",W1510=0),"",X1510/W1510-1)</f>
        <v/>
      </c>
      <c r="Z1510" s="24" t="n"/>
      <c r="AA1510" s="21" t="n"/>
      <c r="AB1510" s="25" t="n"/>
      <c r="AC1510" s="26">
        <f>IF(T1510="","Chưa quyết định",IF(OR(Z1510="",AA1510=""),"⚠ Thiếu lý do/người duyệt",IF(AND(X1510&lt;&gt;"",N(X1510)+N(R1510)+N(S1510)&gt;M1510*1.001,R1510&lt;&gt;""),"⚠ Vượt mục tiêu P90",IF(AND(Y1510&lt;&gt;"",ABS(N(Y1510))&gt;0.3),"⚠ Lệch &gt; 30% so với nhu cầu",IF(Q1510="Có","ℹ Kiểm tra ngoại suy KM","✓ Hợp lệ")))))</f>
        <v/>
      </c>
    </row>
    <row r="1511">
      <c r="A1511" s="16" t="n">
        <v>1507</v>
      </c>
      <c r="B1511" s="17" t="inlineStr">
        <is>
          <t>DEC-S04-LADIESWEAR</t>
        </is>
      </c>
      <c r="C1511" s="16" t="n">
        <v>4</v>
      </c>
      <c r="D1511" s="17" t="inlineStr">
        <is>
          <t>LADIESWEAR</t>
        </is>
      </c>
      <c r="E1511" s="17" t="inlineStr">
        <is>
          <t>HIGH</t>
        </is>
      </c>
      <c r="F1511" s="17" t="inlineStr">
        <is>
          <t>TRUNG BÌNH</t>
        </is>
      </c>
      <c r="G1511" s="18" t="inlineStr">
        <is>
          <t>RISK_HIGH</t>
        </is>
      </c>
      <c r="H1511" s="19" t="n">
        <v>84.46287441253662</v>
      </c>
      <c r="I1511" s="19" t="n">
        <v>284.7847108840942</v>
      </c>
      <c r="J1511" s="19" t="n">
        <v>561.8515319824219</v>
      </c>
      <c r="K1511" s="19" t="n">
        <v>284.7847108840942</v>
      </c>
      <c r="L1511" s="19" t="n">
        <v>457.951474070549</v>
      </c>
      <c r="M1511" s="19" t="n">
        <v>561.8515319824219</v>
      </c>
      <c r="N1511" s="17" t="inlineStr">
        <is>
          <t>B</t>
        </is>
      </c>
      <c r="O1511" s="19" t="n">
        <v>230.1237053632736</v>
      </c>
      <c r="P1511" s="18" t="inlineStr">
        <is>
          <t>CÂN NHẮC THỬ NGHIỆM</t>
        </is>
      </c>
      <c r="Q1511" s="17" t="inlineStr">
        <is>
          <t>Không</t>
        </is>
      </c>
      <c r="R1511" s="20" t="n"/>
      <c r="S1511" s="20" t="n"/>
      <c r="T1511" s="21" t="n"/>
      <c r="U1511" s="21" t="n"/>
      <c r="V1511" s="22">
        <f>IF(U1511="A",K1511,IF(U1511="B",L1511,IF(U1511="C",M1511,IF(N1511="A",K1511,IF(N1511="B",L1511,M1511)))))</f>
        <v/>
      </c>
      <c r="W1511" s="22">
        <f>IF(R1511="",O1511,MAX(V1511-R1511-N(S1511),0))</f>
        <v/>
      </c>
      <c r="X1511" s="20" t="n"/>
      <c r="Y1511" s="23">
        <f>IF(OR(X1511="",W1511=0),"",X1511/W1511-1)</f>
        <v/>
      </c>
      <c r="Z1511" s="24" t="n"/>
      <c r="AA1511" s="21" t="n"/>
      <c r="AB1511" s="25" t="n"/>
      <c r="AC1511" s="26">
        <f>IF(T1511="","Chưa quyết định",IF(OR(Z1511="",AA1511=""),"⚠ Thiếu lý do/người duyệt",IF(AND(X1511&lt;&gt;"",N(X1511)+N(R1511)+N(S1511)&gt;M1511*1.001,R1511&lt;&gt;""),"⚠ Vượt mục tiêu P90",IF(AND(Y1511&lt;&gt;"",ABS(N(Y1511))&gt;0.3),"⚠ Lệch &gt; 30% so với nhu cầu",IF(Q1511="Có","ℹ Kiểm tra ngoại suy KM","✓ Hợp lệ")))))</f>
        <v/>
      </c>
    </row>
    <row r="1512">
      <c r="A1512" s="16" t="n">
        <v>1508</v>
      </c>
      <c r="B1512" s="17" t="inlineStr">
        <is>
          <t>DEC-S04-SEAFOOD</t>
        </is>
      </c>
      <c r="C1512" s="16" t="n">
        <v>4</v>
      </c>
      <c r="D1512" s="17" t="inlineStr">
        <is>
          <t>SEAFOOD</t>
        </is>
      </c>
      <c r="E1512" s="17" t="inlineStr">
        <is>
          <t>HIGH</t>
        </is>
      </c>
      <c r="F1512" s="17" t="inlineStr">
        <is>
          <t>TRUNG BÌNH</t>
        </is>
      </c>
      <c r="G1512" s="18" t="inlineStr">
        <is>
          <t>RISK_HIGH</t>
        </is>
      </c>
      <c r="H1512" s="19" t="n">
        <v>68.13142013549805</v>
      </c>
      <c r="I1512" s="19" t="n">
        <v>266.1230068206787</v>
      </c>
      <c r="J1512" s="19" t="n">
        <v>545.0151710510254</v>
      </c>
      <c r="K1512" s="19" t="n">
        <v>266.1230068206787</v>
      </c>
      <c r="L1512" s="19" t="n">
        <v>440.4306094646454</v>
      </c>
      <c r="M1512" s="19" t="n">
        <v>545.0151710510254</v>
      </c>
      <c r="N1512" s="17" t="inlineStr">
        <is>
          <t>B</t>
        </is>
      </c>
      <c r="O1512" s="19" t="n">
        <v>227.5322040081024</v>
      </c>
      <c r="P1512" s="18" t="inlineStr">
        <is>
          <t>CÂN NHẮC THỬ NGHIỆM</t>
        </is>
      </c>
      <c r="Q1512" s="17" t="inlineStr">
        <is>
          <t>Không</t>
        </is>
      </c>
      <c r="R1512" s="20" t="n"/>
      <c r="S1512" s="20" t="n"/>
      <c r="T1512" s="21" t="n"/>
      <c r="U1512" s="21" t="n"/>
      <c r="V1512" s="22">
        <f>IF(U1512="A",K1512,IF(U1512="B",L1512,IF(U1512="C",M1512,IF(N1512="A",K1512,IF(N1512="B",L1512,M1512)))))</f>
        <v/>
      </c>
      <c r="W1512" s="22">
        <f>IF(R1512="",O1512,MAX(V1512-R1512-N(S1512),0))</f>
        <v/>
      </c>
      <c r="X1512" s="20" t="n"/>
      <c r="Y1512" s="23">
        <f>IF(OR(X1512="",W1512=0),"",X1512/W1512-1)</f>
        <v/>
      </c>
      <c r="Z1512" s="24" t="n"/>
      <c r="AA1512" s="21" t="n"/>
      <c r="AB1512" s="25" t="n"/>
      <c r="AC1512" s="26">
        <f>IF(T1512="","Chưa quyết định",IF(OR(Z1512="",AA1512=""),"⚠ Thiếu lý do/người duyệt",IF(AND(X1512&lt;&gt;"",N(X1512)+N(R1512)+N(S1512)&gt;M1512*1.001,R1512&lt;&gt;""),"⚠ Vượt mục tiêu P90",IF(AND(Y1512&lt;&gt;"",ABS(N(Y1512))&gt;0.3),"⚠ Lệch &gt; 30% so với nhu cầu",IF(Q1512="Có","ℹ Kiểm tra ngoại suy KM","✓ Hợp lệ")))))</f>
        <v/>
      </c>
    </row>
    <row r="1513">
      <c r="A1513" s="16" t="n">
        <v>1509</v>
      </c>
      <c r="B1513" s="17" t="inlineStr">
        <is>
          <t>DEC-S05-HOME_AND_KITCHEN_II</t>
        </is>
      </c>
      <c r="C1513" s="16" t="n">
        <v>5</v>
      </c>
      <c r="D1513" s="17" t="inlineStr">
        <is>
          <t>HOME AND KITCHEN II</t>
        </is>
      </c>
      <c r="E1513" s="17" t="inlineStr">
        <is>
          <t>HIGH</t>
        </is>
      </c>
      <c r="F1513" s="17" t="inlineStr">
        <is>
          <t>TRUNG BÌNH</t>
        </is>
      </c>
      <c r="G1513" s="18" t="inlineStr">
        <is>
          <t>RISK_HIGH</t>
        </is>
      </c>
      <c r="H1513" s="19" t="n">
        <v>81.50014400482178</v>
      </c>
      <c r="I1513" s="19" t="n">
        <v>264.574670791626</v>
      </c>
      <c r="J1513" s="19" t="n">
        <v>523.4684772491455</v>
      </c>
      <c r="K1513" s="19" t="n">
        <v>264.574670791626</v>
      </c>
      <c r="L1513" s="19" t="n">
        <v>426.3832998275757</v>
      </c>
      <c r="M1513" s="19" t="n">
        <v>523.4684772491455</v>
      </c>
      <c r="N1513" s="17" t="inlineStr">
        <is>
          <t>B</t>
        </is>
      </c>
      <c r="O1513" s="19" t="n">
        <v>214.7235631942749</v>
      </c>
      <c r="P1513" s="18" t="inlineStr">
        <is>
          <t>CÂN NHẮC THỬ NGHIỆM</t>
        </is>
      </c>
      <c r="Q1513" s="17" t="inlineStr">
        <is>
          <t>Không</t>
        </is>
      </c>
      <c r="R1513" s="20" t="n"/>
      <c r="S1513" s="20" t="n"/>
      <c r="T1513" s="21" t="n"/>
      <c r="U1513" s="21" t="n"/>
      <c r="V1513" s="22">
        <f>IF(U1513="A",K1513,IF(U1513="B",L1513,IF(U1513="C",M1513,IF(N1513="A",K1513,IF(N1513="B",L1513,M1513)))))</f>
        <v/>
      </c>
      <c r="W1513" s="22">
        <f>IF(R1513="",O1513,MAX(V1513-R1513-N(S1513),0))</f>
        <v/>
      </c>
      <c r="X1513" s="20" t="n"/>
      <c r="Y1513" s="23">
        <f>IF(OR(X1513="",W1513=0),"",X1513/W1513-1)</f>
        <v/>
      </c>
      <c r="Z1513" s="24" t="n"/>
      <c r="AA1513" s="21" t="n"/>
      <c r="AB1513" s="25" t="n"/>
      <c r="AC1513" s="26">
        <f>IF(T1513="","Chưa quyết định",IF(OR(Z1513="",AA1513=""),"⚠ Thiếu lý do/người duyệt",IF(AND(X1513&lt;&gt;"",N(X1513)+N(R1513)+N(S1513)&gt;M1513*1.001,R1513&lt;&gt;""),"⚠ Vượt mục tiêu P90",IF(AND(Y1513&lt;&gt;"",ABS(N(Y1513))&gt;0.3),"⚠ Lệch &gt; 30% so với nhu cầu",IF(Q1513="Có","ℹ Kiểm tra ngoại suy KM","✓ Hợp lệ")))))</f>
        <v/>
      </c>
    </row>
    <row r="1514">
      <c r="A1514" s="16" t="n">
        <v>1510</v>
      </c>
      <c r="B1514" s="17" t="inlineStr">
        <is>
          <t>DEC-S01-SEAFOOD</t>
        </is>
      </c>
      <c r="C1514" s="16" t="n">
        <v>1</v>
      </c>
      <c r="D1514" s="17" t="inlineStr">
        <is>
          <t>SEAFOOD</t>
        </is>
      </c>
      <c r="E1514" s="17" t="inlineStr">
        <is>
          <t>HIGH</t>
        </is>
      </c>
      <c r="F1514" s="17" t="inlineStr">
        <is>
          <t>TRUNG BÌNH</t>
        </is>
      </c>
      <c r="G1514" s="18" t="inlineStr">
        <is>
          <t>RISK_HIGH</t>
        </is>
      </c>
      <c r="H1514" s="19" t="n">
        <v>52.3804178237915</v>
      </c>
      <c r="I1514" s="19" t="n">
        <v>249.015115737915</v>
      </c>
      <c r="J1514" s="19" t="n">
        <v>526.0819368362427</v>
      </c>
      <c r="K1514" s="19" t="n">
        <v>249.015115737915</v>
      </c>
      <c r="L1514" s="19" t="n">
        <v>422.1818789243698</v>
      </c>
      <c r="M1514" s="19" t="n">
        <v>526.0819368362427</v>
      </c>
      <c r="N1514" s="17" t="inlineStr">
        <is>
          <t>B</t>
        </is>
      </c>
      <c r="O1514" s="19" t="n">
        <v>222.9697863340378</v>
      </c>
      <c r="P1514" s="18" t="inlineStr">
        <is>
          <t>CÂN NHẮC THỬ NGHIỆM</t>
        </is>
      </c>
      <c r="Q1514" s="17" t="inlineStr">
        <is>
          <t>Không</t>
        </is>
      </c>
      <c r="R1514" s="20" t="n"/>
      <c r="S1514" s="20" t="n"/>
      <c r="T1514" s="21" t="n"/>
      <c r="U1514" s="21" t="n"/>
      <c r="V1514" s="22">
        <f>IF(U1514="A",K1514,IF(U1514="B",L1514,IF(U1514="C",M1514,IF(N1514="A",K1514,IF(N1514="B",L1514,M1514)))))</f>
        <v/>
      </c>
      <c r="W1514" s="22">
        <f>IF(R1514="",O1514,MAX(V1514-R1514-N(S1514),0))</f>
        <v/>
      </c>
      <c r="X1514" s="20" t="n"/>
      <c r="Y1514" s="23">
        <f>IF(OR(X1514="",W1514=0),"",X1514/W1514-1)</f>
        <v/>
      </c>
      <c r="Z1514" s="24" t="n"/>
      <c r="AA1514" s="21" t="n"/>
      <c r="AB1514" s="25" t="n"/>
      <c r="AC1514" s="26">
        <f>IF(T1514="","Chưa quyết định",IF(OR(Z1514="",AA1514=""),"⚠ Thiếu lý do/người duyệt",IF(AND(X1514&lt;&gt;"",N(X1514)+N(R1514)+N(S1514)&gt;M1514*1.001,R1514&lt;&gt;""),"⚠ Vượt mục tiêu P90",IF(AND(Y1514&lt;&gt;"",ABS(N(Y1514))&gt;0.3),"⚠ Lệch &gt; 30% so với nhu cầu",IF(Q1514="Có","ℹ Kiểm tra ngoại suy KM","✓ Hợp lệ")))))</f>
        <v/>
      </c>
    </row>
    <row r="1515">
      <c r="A1515" s="16" t="n">
        <v>1511</v>
      </c>
      <c r="B1515" s="17" t="inlineStr">
        <is>
          <t>DEC-S14-MEATS</t>
        </is>
      </c>
      <c r="C1515" s="16" t="n">
        <v>14</v>
      </c>
      <c r="D1515" s="17" t="inlineStr">
        <is>
          <t>MEATS</t>
        </is>
      </c>
      <c r="E1515" s="17" t="inlineStr">
        <is>
          <t>MEDIUM</t>
        </is>
      </c>
      <c r="F1515" s="17" t="inlineStr">
        <is>
          <t>CAO</t>
        </is>
      </c>
      <c r="G1515" s="18" t="inlineStr">
        <is>
          <t>RISK_MEDIUM</t>
        </is>
      </c>
      <c r="H1515" s="19" t="n">
        <v>3471.875315490722</v>
      </c>
      <c r="I1515" s="19" t="n">
        <v>4482.573997924805</v>
      </c>
      <c r="J1515" s="19" t="n">
        <v>5768.613398864746</v>
      </c>
      <c r="K1515" s="19" t="n">
        <v>4482.573997924805</v>
      </c>
      <c r="L1515" s="19" t="n">
        <v>5286.348623512268</v>
      </c>
      <c r="M1515" s="19" t="n">
        <v>5768.613398864746</v>
      </c>
      <c r="N1515" s="17" t="inlineStr">
        <is>
          <t>C</t>
        </is>
      </c>
      <c r="O1515" s="19" t="n">
        <v>2182.554200524902</v>
      </c>
      <c r="P1515" s="18" t="inlineStr">
        <is>
          <t>CÂN NHẮC THỬ NGHIỆM</t>
        </is>
      </c>
      <c r="Q1515" s="17" t="inlineStr">
        <is>
          <t>Không</t>
        </is>
      </c>
      <c r="R1515" s="20" t="n"/>
      <c r="S1515" s="20" t="n"/>
      <c r="T1515" s="21" t="n"/>
      <c r="U1515" s="21" t="n"/>
      <c r="V1515" s="22">
        <f>IF(U1515="A",K1515,IF(U1515="B",L1515,IF(U1515="C",M1515,IF(N1515="A",K1515,IF(N1515="B",L1515,M1515)))))</f>
        <v/>
      </c>
      <c r="W1515" s="22">
        <f>IF(R1515="",O1515,MAX(V1515-R1515-N(S1515),0))</f>
        <v/>
      </c>
      <c r="X1515" s="20" t="n"/>
      <c r="Y1515" s="23">
        <f>IF(OR(X1515="",W1515=0),"",X1515/W1515-1)</f>
        <v/>
      </c>
      <c r="Z1515" s="24" t="n"/>
      <c r="AA1515" s="21" t="n"/>
      <c r="AB1515" s="25" t="n"/>
      <c r="AC1515" s="26">
        <f>IF(T1515="","Chưa quyết định",IF(OR(Z1515="",AA1515=""),"⚠ Thiếu lý do/người duyệt",IF(AND(X1515&lt;&gt;"",N(X1515)+N(R1515)+N(S1515)&gt;M1515*1.001,R1515&lt;&gt;""),"⚠ Vượt mục tiêu P90",IF(AND(Y1515&lt;&gt;"",ABS(N(Y1515))&gt;0.3),"⚠ Lệch &gt; 30% so với nhu cầu",IF(Q1515="Có","ℹ Kiểm tra ngoại suy KM","✓ Hợp lệ")))))</f>
        <v/>
      </c>
    </row>
    <row r="1516">
      <c r="A1516" s="16" t="n">
        <v>1512</v>
      </c>
      <c r="B1516" s="17" t="inlineStr">
        <is>
          <t>DEC-S17-MEATS</t>
        </is>
      </c>
      <c r="C1516" s="16" t="n">
        <v>17</v>
      </c>
      <c r="D1516" s="17" t="inlineStr">
        <is>
          <t>MEATS</t>
        </is>
      </c>
      <c r="E1516" s="17" t="inlineStr">
        <is>
          <t>MEDIUM</t>
        </is>
      </c>
      <c r="F1516" s="17" t="inlineStr">
        <is>
          <t>CAO</t>
        </is>
      </c>
      <c r="G1516" s="18" t="inlineStr">
        <is>
          <t>RISK_MEDIUM</t>
        </is>
      </c>
      <c r="H1516" s="19" t="n">
        <v>3579.763638793945</v>
      </c>
      <c r="I1516" s="19" t="n">
        <v>4476.25096887207</v>
      </c>
      <c r="J1516" s="19" t="n">
        <v>5626.529373168945</v>
      </c>
      <c r="K1516" s="19" t="n">
        <v>4476.25096887207</v>
      </c>
      <c r="L1516" s="19" t="n">
        <v>5195.174971557617</v>
      </c>
      <c r="M1516" s="19" t="n">
        <v>5626.529373168945</v>
      </c>
      <c r="N1516" s="17" t="inlineStr">
        <is>
          <t>C</t>
        </is>
      </c>
      <c r="O1516" s="19" t="n">
        <v>2045.528598071289</v>
      </c>
      <c r="P1516" s="18" t="inlineStr">
        <is>
          <t>CÂN NHẮC THỬ NGHIỆM</t>
        </is>
      </c>
      <c r="Q1516" s="17" t="inlineStr">
        <is>
          <t>Không</t>
        </is>
      </c>
      <c r="R1516" s="20" t="n"/>
      <c r="S1516" s="20" t="n"/>
      <c r="T1516" s="21" t="n"/>
      <c r="U1516" s="21" t="n"/>
      <c r="V1516" s="22">
        <f>IF(U1516="A",K1516,IF(U1516="B",L1516,IF(U1516="C",M1516,IF(N1516="A",K1516,IF(N1516="B",L1516,M1516)))))</f>
        <v/>
      </c>
      <c r="W1516" s="22">
        <f>IF(R1516="",O1516,MAX(V1516-R1516-N(S1516),0))</f>
        <v/>
      </c>
      <c r="X1516" s="20" t="n"/>
      <c r="Y1516" s="23">
        <f>IF(OR(X1516="",W1516=0),"",X1516/W1516-1)</f>
        <v/>
      </c>
      <c r="Z1516" s="24" t="n"/>
      <c r="AA1516" s="21" t="n"/>
      <c r="AB1516" s="25" t="n"/>
      <c r="AC1516" s="26">
        <f>IF(T1516="","Chưa quyết định",IF(OR(Z1516="",AA1516=""),"⚠ Thiếu lý do/người duyệt",IF(AND(X1516&lt;&gt;"",N(X1516)+N(R1516)+N(S1516)&gt;M1516*1.001,R1516&lt;&gt;""),"⚠ Vượt mục tiêu P90",IF(AND(Y1516&lt;&gt;"",ABS(N(Y1516))&gt;0.3),"⚠ Lệch &gt; 30% so với nhu cầu",IF(Q1516="Có","ℹ Kiểm tra ngoại suy KM","✓ Hợp lệ")))))</f>
        <v/>
      </c>
    </row>
    <row r="1517">
      <c r="A1517" s="16" t="n">
        <v>1513</v>
      </c>
      <c r="B1517" s="17" t="inlineStr">
        <is>
          <t>DEC-S51-DELI</t>
        </is>
      </c>
      <c r="C1517" s="16" t="n">
        <v>51</v>
      </c>
      <c r="D1517" s="17" t="inlineStr">
        <is>
          <t>DELI</t>
        </is>
      </c>
      <c r="E1517" s="17" t="inlineStr">
        <is>
          <t>MEDIUM</t>
        </is>
      </c>
      <c r="F1517" s="17" t="inlineStr">
        <is>
          <t>CAO</t>
        </is>
      </c>
      <c r="G1517" s="18" t="inlineStr">
        <is>
          <t>RISK_MEDIUM</t>
        </is>
      </c>
      <c r="H1517" s="19" t="n">
        <v>3576.652829467773</v>
      </c>
      <c r="I1517" s="19" t="n">
        <v>4473.140159545898</v>
      </c>
      <c r="J1517" s="19" t="n">
        <v>5623.418563842773</v>
      </c>
      <c r="K1517" s="19" t="n">
        <v>4473.140159545898</v>
      </c>
      <c r="L1517" s="19" t="n">
        <v>5192.064162231445</v>
      </c>
      <c r="M1517" s="19" t="n">
        <v>5623.418563842773</v>
      </c>
      <c r="N1517" s="17" t="inlineStr">
        <is>
          <t>C</t>
        </is>
      </c>
      <c r="O1517" s="19" t="n">
        <v>2044.906436206054</v>
      </c>
      <c r="P1517" s="18" t="inlineStr">
        <is>
          <t>KHÔNG ĐỀ XUẤT TĂNG</t>
        </is>
      </c>
      <c r="Q1517" s="17" t="inlineStr">
        <is>
          <t>Không</t>
        </is>
      </c>
      <c r="R1517" s="20" t="n"/>
      <c r="S1517" s="20" t="n"/>
      <c r="T1517" s="21" t="n"/>
      <c r="U1517" s="21" t="n"/>
      <c r="V1517" s="22">
        <f>IF(U1517="A",K1517,IF(U1517="B",L1517,IF(U1517="C",M1517,IF(N1517="A",K1517,IF(N1517="B",L1517,M1517)))))</f>
        <v/>
      </c>
      <c r="W1517" s="22">
        <f>IF(R1517="",O1517,MAX(V1517-R1517-N(S1517),0))</f>
        <v/>
      </c>
      <c r="X1517" s="20" t="n"/>
      <c r="Y1517" s="23">
        <f>IF(OR(X1517="",W1517=0),"",X1517/W1517-1)</f>
        <v/>
      </c>
      <c r="Z1517" s="24" t="n"/>
      <c r="AA1517" s="21" t="n"/>
      <c r="AB1517" s="25" t="n"/>
      <c r="AC1517" s="26">
        <f>IF(T1517="","Chưa quyết định",IF(OR(Z1517="",AA1517=""),"⚠ Thiếu lý do/người duyệt",IF(AND(X1517&lt;&gt;"",N(X1517)+N(R1517)+N(S1517)&gt;M1517*1.001,R1517&lt;&gt;""),"⚠ Vượt mục tiêu P90",IF(AND(Y1517&lt;&gt;"",ABS(N(Y1517))&gt;0.3),"⚠ Lệch &gt; 30% so với nhu cầu",IF(Q1517="Có","ℹ Kiểm tra ngoại suy KM","✓ Hợp lệ")))))</f>
        <v/>
      </c>
    </row>
    <row r="1518">
      <c r="A1518" s="16" t="n">
        <v>1514</v>
      </c>
      <c r="B1518" s="17" t="inlineStr">
        <is>
          <t>DEC-S37-POULTRY</t>
        </is>
      </c>
      <c r="C1518" s="16" t="n">
        <v>37</v>
      </c>
      <c r="D1518" s="17" t="inlineStr">
        <is>
          <t>POULTRY</t>
        </is>
      </c>
      <c r="E1518" s="17" t="inlineStr">
        <is>
          <t>MEDIUM</t>
        </is>
      </c>
      <c r="F1518" s="17" t="inlineStr">
        <is>
          <t>CAO</t>
        </is>
      </c>
      <c r="G1518" s="18" t="inlineStr">
        <is>
          <t>RISK_MEDIUM</t>
        </is>
      </c>
      <c r="H1518" s="19" t="n">
        <v>3570.584882080078</v>
      </c>
      <c r="I1518" s="19" t="n">
        <v>4467.072212158203</v>
      </c>
      <c r="J1518" s="19" t="n">
        <v>5617.350616455078</v>
      </c>
      <c r="K1518" s="19" t="n">
        <v>4467.072212158203</v>
      </c>
      <c r="L1518" s="19" t="n">
        <v>5185.99621484375</v>
      </c>
      <c r="M1518" s="19" t="n">
        <v>5617.350616455078</v>
      </c>
      <c r="N1518" s="17" t="inlineStr">
        <is>
          <t>C</t>
        </is>
      </c>
      <c r="O1518" s="19" t="n">
        <v>2043.692846728516</v>
      </c>
      <c r="P1518" s="18" t="inlineStr">
        <is>
          <t>CÂN NHẮC THỬ NGHIỆM</t>
        </is>
      </c>
      <c r="Q1518" s="17" t="inlineStr">
        <is>
          <t>Không</t>
        </is>
      </c>
      <c r="R1518" s="20" t="n"/>
      <c r="S1518" s="20" t="n"/>
      <c r="T1518" s="21" t="n"/>
      <c r="U1518" s="21" t="n"/>
      <c r="V1518" s="22">
        <f>IF(U1518="A",K1518,IF(U1518="B",L1518,IF(U1518="C",M1518,IF(N1518="A",K1518,IF(N1518="B",L1518,M1518)))))</f>
        <v/>
      </c>
      <c r="W1518" s="22">
        <f>IF(R1518="",O1518,MAX(V1518-R1518-N(S1518),0))</f>
        <v/>
      </c>
      <c r="X1518" s="20" t="n"/>
      <c r="Y1518" s="23">
        <f>IF(OR(X1518="",W1518=0),"",X1518/W1518-1)</f>
        <v/>
      </c>
      <c r="Z1518" s="24" t="n"/>
      <c r="AA1518" s="21" t="n"/>
      <c r="AB1518" s="25" t="n"/>
      <c r="AC1518" s="26">
        <f>IF(T1518="","Chưa quyết định",IF(OR(Z1518="",AA1518=""),"⚠ Thiếu lý do/người duyệt",IF(AND(X1518&lt;&gt;"",N(X1518)+N(R1518)+N(S1518)&gt;M1518*1.001,R1518&lt;&gt;""),"⚠ Vượt mục tiêu P90",IF(AND(Y1518&lt;&gt;"",ABS(N(Y1518))&gt;0.3),"⚠ Lệch &gt; 30% so với nhu cầu",IF(Q1518="Có","ℹ Kiểm tra ngoại suy KM","✓ Hợp lệ")))))</f>
        <v/>
      </c>
    </row>
    <row r="1519">
      <c r="A1519" s="16" t="n">
        <v>1515</v>
      </c>
      <c r="B1519" s="17" t="inlineStr">
        <is>
          <t>DEC-S02-PERSONAL_CARE</t>
        </is>
      </c>
      <c r="C1519" s="16" t="n">
        <v>2</v>
      </c>
      <c r="D1519" s="17" t="inlineStr">
        <is>
          <t>PERSONAL CARE</t>
        </is>
      </c>
      <c r="E1519" s="17" t="inlineStr">
        <is>
          <t>MEDIUM</t>
        </is>
      </c>
      <c r="F1519" s="17" t="inlineStr">
        <is>
          <t>CAO</t>
        </is>
      </c>
      <c r="G1519" s="18" t="inlineStr">
        <is>
          <t>RISK_MEDIUM</t>
        </is>
      </c>
      <c r="H1519" s="19" t="n">
        <v>3568.753048400879</v>
      </c>
      <c r="I1519" s="19" t="n">
        <v>4446.480176391601</v>
      </c>
      <c r="J1519" s="19" t="n">
        <v>5568.499660095215</v>
      </c>
      <c r="K1519" s="19" t="n">
        <v>4446.480176391601</v>
      </c>
      <c r="L1519" s="19" t="n">
        <v>5147.742353706361</v>
      </c>
      <c r="M1519" s="19" t="n">
        <v>5568.499660095215</v>
      </c>
      <c r="N1519" s="17" t="inlineStr">
        <is>
          <t>C</t>
        </is>
      </c>
      <c r="O1519" s="19" t="n">
        <v>2011.315518981934</v>
      </c>
      <c r="P1519" s="18" t="inlineStr">
        <is>
          <t>KHÔNG ĐỀ XUẤT TĂNG</t>
        </is>
      </c>
      <c r="Q1519" s="17" t="inlineStr">
        <is>
          <t>Không</t>
        </is>
      </c>
      <c r="R1519" s="20" t="n"/>
      <c r="S1519" s="20" t="n"/>
      <c r="T1519" s="21" t="n"/>
      <c r="U1519" s="21" t="n"/>
      <c r="V1519" s="22">
        <f>IF(U1519="A",K1519,IF(U1519="B",L1519,IF(U1519="C",M1519,IF(N1519="A",K1519,IF(N1519="B",L1519,M1519)))))</f>
        <v/>
      </c>
      <c r="W1519" s="22">
        <f>IF(R1519="",O1519,MAX(V1519-R1519-N(S1519),0))</f>
        <v/>
      </c>
      <c r="X1519" s="20" t="n"/>
      <c r="Y1519" s="23">
        <f>IF(OR(X1519="",W1519=0),"",X1519/W1519-1)</f>
        <v/>
      </c>
      <c r="Z1519" s="24" t="n"/>
      <c r="AA1519" s="21" t="n"/>
      <c r="AB1519" s="25" t="n"/>
      <c r="AC1519" s="26">
        <f>IF(T1519="","Chưa quyết định",IF(OR(Z1519="",AA1519=""),"⚠ Thiếu lý do/người duyệt",IF(AND(X1519&lt;&gt;"",N(X1519)+N(R1519)+N(S1519)&gt;M1519*1.001,R1519&lt;&gt;""),"⚠ Vượt mục tiêu P90",IF(AND(Y1519&lt;&gt;"",ABS(N(Y1519))&gt;0.3),"⚠ Lệch &gt; 30% so với nhu cầu",IF(Q1519="Có","ℹ Kiểm tra ngoại suy KM","✓ Hợp lệ")))))</f>
        <v/>
      </c>
    </row>
    <row r="1520">
      <c r="A1520" s="16" t="n">
        <v>1516</v>
      </c>
      <c r="B1520" s="17" t="inlineStr">
        <is>
          <t>DEC-S31-DELI</t>
        </is>
      </c>
      <c r="C1520" s="16" t="n">
        <v>31</v>
      </c>
      <c r="D1520" s="17" t="inlineStr">
        <is>
          <t>DELI</t>
        </is>
      </c>
      <c r="E1520" s="17" t="inlineStr">
        <is>
          <t>MEDIUM</t>
        </is>
      </c>
      <c r="F1520" s="17" t="inlineStr">
        <is>
          <t>CAO</t>
        </is>
      </c>
      <c r="G1520" s="18" t="inlineStr">
        <is>
          <t>RISK_MEDIUM</t>
        </is>
      </c>
      <c r="H1520" s="19" t="n">
        <v>3512.521542846679</v>
      </c>
      <c r="I1520" s="19" t="n">
        <v>4409.008872924805</v>
      </c>
      <c r="J1520" s="19" t="n">
        <v>5559.28727722168</v>
      </c>
      <c r="K1520" s="19" t="n">
        <v>4409.008872924805</v>
      </c>
      <c r="L1520" s="19" t="n">
        <v>5127.932875610351</v>
      </c>
      <c r="M1520" s="19" t="n">
        <v>5559.28727722168</v>
      </c>
      <c r="N1520" s="17" t="inlineStr">
        <is>
          <t>C</t>
        </is>
      </c>
      <c r="O1520" s="19" t="n">
        <v>2032.080178881836</v>
      </c>
      <c r="P1520" s="18" t="inlineStr">
        <is>
          <t>KHÔNG ĐỀ XUẤT TĂNG</t>
        </is>
      </c>
      <c r="Q1520" s="17" t="inlineStr">
        <is>
          <t>Không</t>
        </is>
      </c>
      <c r="R1520" s="20" t="n"/>
      <c r="S1520" s="20" t="n"/>
      <c r="T1520" s="21" t="n"/>
      <c r="U1520" s="21" t="n"/>
      <c r="V1520" s="22">
        <f>IF(U1520="A",K1520,IF(U1520="B",L1520,IF(U1520="C",M1520,IF(N1520="A",K1520,IF(N1520="B",L1520,M1520)))))</f>
        <v/>
      </c>
      <c r="W1520" s="22">
        <f>IF(R1520="",O1520,MAX(V1520-R1520-N(S1520),0))</f>
        <v/>
      </c>
      <c r="X1520" s="20" t="n"/>
      <c r="Y1520" s="23">
        <f>IF(OR(X1520="",W1520=0),"",X1520/W1520-1)</f>
        <v/>
      </c>
      <c r="Z1520" s="24" t="n"/>
      <c r="AA1520" s="21" t="n"/>
      <c r="AB1520" s="25" t="n"/>
      <c r="AC1520" s="26">
        <f>IF(T1520="","Chưa quyết định",IF(OR(Z1520="",AA1520=""),"⚠ Thiếu lý do/người duyệt",IF(AND(X1520&lt;&gt;"",N(X1520)+N(R1520)+N(S1520)&gt;M1520*1.001,R1520&lt;&gt;""),"⚠ Vượt mục tiêu P90",IF(AND(Y1520&lt;&gt;"",ABS(N(Y1520))&gt;0.3),"⚠ Lệch &gt; 30% so với nhu cầu",IF(Q1520="Có","ℹ Kiểm tra ngoại suy KM","✓ Hợp lệ")))))</f>
        <v/>
      </c>
    </row>
    <row r="1521">
      <c r="A1521" s="16" t="n">
        <v>1517</v>
      </c>
      <c r="B1521" s="17" t="inlineStr">
        <is>
          <t>DEC-S26-DAIRY</t>
        </is>
      </c>
      <c r="C1521" s="16" t="n">
        <v>26</v>
      </c>
      <c r="D1521" s="17" t="inlineStr">
        <is>
          <t>DAIRY</t>
        </is>
      </c>
      <c r="E1521" s="17" t="inlineStr">
        <is>
          <t>MEDIUM</t>
        </is>
      </c>
      <c r="F1521" s="17" t="inlineStr">
        <is>
          <t>CAO</t>
        </is>
      </c>
      <c r="G1521" s="18" t="inlineStr">
        <is>
          <t>RISK_MEDIUM</t>
        </is>
      </c>
      <c r="H1521" s="19" t="n">
        <v>3440.914844970703</v>
      </c>
      <c r="I1521" s="19" t="n">
        <v>4403.887952270507</v>
      </c>
      <c r="J1521" s="19" t="n">
        <v>5636.176315185547</v>
      </c>
      <c r="K1521" s="19" t="n">
        <v>4403.887952270507</v>
      </c>
      <c r="L1521" s="19" t="n">
        <v>5174.068179092407</v>
      </c>
      <c r="M1521" s="19" t="n">
        <v>5636.176315185547</v>
      </c>
      <c r="N1521" s="17" t="inlineStr">
        <is>
          <t>C</t>
        </is>
      </c>
      <c r="O1521" s="19" t="n">
        <v>2113.065953369141</v>
      </c>
      <c r="P1521" s="18" t="inlineStr">
        <is>
          <t>KHÔNG ĐỀ XUẤT TĂNG</t>
        </is>
      </c>
      <c r="Q1521" s="17" t="inlineStr">
        <is>
          <t>Không</t>
        </is>
      </c>
      <c r="R1521" s="20" t="n"/>
      <c r="S1521" s="20" t="n"/>
      <c r="T1521" s="21" t="n"/>
      <c r="U1521" s="21" t="n"/>
      <c r="V1521" s="22">
        <f>IF(U1521="A",K1521,IF(U1521="B",L1521,IF(U1521="C",M1521,IF(N1521="A",K1521,IF(N1521="B",L1521,M1521)))))</f>
        <v/>
      </c>
      <c r="W1521" s="22">
        <f>IF(R1521="",O1521,MAX(V1521-R1521-N(S1521),0))</f>
        <v/>
      </c>
      <c r="X1521" s="20" t="n"/>
      <c r="Y1521" s="23">
        <f>IF(OR(X1521="",W1521=0),"",X1521/W1521-1)</f>
        <v/>
      </c>
      <c r="Z1521" s="24" t="n"/>
      <c r="AA1521" s="21" t="n"/>
      <c r="AB1521" s="25" t="n"/>
      <c r="AC1521" s="26">
        <f>IF(T1521="","Chưa quyết định",IF(OR(Z1521="",AA1521=""),"⚠ Thiếu lý do/người duyệt",IF(AND(X1521&lt;&gt;"",N(X1521)+N(R1521)+N(S1521)&gt;M1521*1.001,R1521&lt;&gt;""),"⚠ Vượt mục tiêu P90",IF(AND(Y1521&lt;&gt;"",ABS(N(Y1521))&gt;0.3),"⚠ Lệch &gt; 30% so với nhu cầu",IF(Q1521="Có","ℹ Kiểm tra ngoại suy KM","✓ Hợp lệ")))))</f>
        <v/>
      </c>
    </row>
    <row r="1522">
      <c r="A1522" s="16" t="n">
        <v>1518</v>
      </c>
      <c r="B1522" s="17" t="inlineStr">
        <is>
          <t>DEC-S26-MEATS</t>
        </is>
      </c>
      <c r="C1522" s="16" t="n">
        <v>26</v>
      </c>
      <c r="D1522" s="17" t="inlineStr">
        <is>
          <t>MEATS</t>
        </is>
      </c>
      <c r="E1522" s="17" t="inlineStr">
        <is>
          <t>MEDIUM</t>
        </is>
      </c>
      <c r="F1522" s="17" t="inlineStr">
        <is>
          <t>CAO</t>
        </is>
      </c>
      <c r="G1522" s="18" t="inlineStr">
        <is>
          <t>RISK_MEDIUM</t>
        </is>
      </c>
      <c r="H1522" s="19" t="n">
        <v>3408.136972412109</v>
      </c>
      <c r="I1522" s="19" t="n">
        <v>4400.075452758789</v>
      </c>
      <c r="J1522" s="19" t="n">
        <v>5657.855933105468</v>
      </c>
      <c r="K1522" s="19" t="n">
        <v>4400.075452758789</v>
      </c>
      <c r="L1522" s="19" t="n">
        <v>5186.188252975464</v>
      </c>
      <c r="M1522" s="19" t="n">
        <v>5657.855933105468</v>
      </c>
      <c r="N1522" s="17" t="inlineStr">
        <is>
          <t>C</t>
        </is>
      </c>
      <c r="O1522" s="19" t="n">
        <v>2137.795570898437</v>
      </c>
      <c r="P1522" s="18" t="inlineStr">
        <is>
          <t>CÂN NHẮC THỬ NGHIỆM</t>
        </is>
      </c>
      <c r="Q1522" s="17" t="inlineStr">
        <is>
          <t>Không</t>
        </is>
      </c>
      <c r="R1522" s="20" t="n"/>
      <c r="S1522" s="20" t="n"/>
      <c r="T1522" s="21" t="n"/>
      <c r="U1522" s="21" t="n"/>
      <c r="V1522" s="22">
        <f>IF(U1522="A",K1522,IF(U1522="B",L1522,IF(U1522="C",M1522,IF(N1522="A",K1522,IF(N1522="B",L1522,M1522)))))</f>
        <v/>
      </c>
      <c r="W1522" s="22">
        <f>IF(R1522="",O1522,MAX(V1522-R1522-N(S1522),0))</f>
        <v/>
      </c>
      <c r="X1522" s="20" t="n"/>
      <c r="Y1522" s="23">
        <f>IF(OR(X1522="",W1522=0),"",X1522/W1522-1)</f>
        <v/>
      </c>
      <c r="Z1522" s="24" t="n"/>
      <c r="AA1522" s="21" t="n"/>
      <c r="AB1522" s="25" t="n"/>
      <c r="AC1522" s="26">
        <f>IF(T1522="","Chưa quyết định",IF(OR(Z1522="",AA1522=""),"⚠ Thiếu lý do/người duyệt",IF(AND(X1522&lt;&gt;"",N(X1522)+N(R1522)+N(S1522)&gt;M1522*1.001,R1522&lt;&gt;""),"⚠ Vượt mục tiêu P90",IF(AND(Y1522&lt;&gt;"",ABS(N(Y1522))&gt;0.3),"⚠ Lệch &gt; 30% so với nhu cầu",IF(Q1522="Có","ℹ Kiểm tra ngoại suy KM","✓ Hợp lệ")))))</f>
        <v/>
      </c>
    </row>
    <row r="1523">
      <c r="A1523" s="16" t="n">
        <v>1519</v>
      </c>
      <c r="B1523" s="17" t="inlineStr">
        <is>
          <t>DEC-S16-DAIRY</t>
        </is>
      </c>
      <c r="C1523" s="16" t="n">
        <v>16</v>
      </c>
      <c r="D1523" s="17" t="inlineStr">
        <is>
          <t>DAIRY</t>
        </is>
      </c>
      <c r="E1523" s="17" t="inlineStr">
        <is>
          <t>MEDIUM</t>
        </is>
      </c>
      <c r="F1523" s="17" t="inlineStr">
        <is>
          <t>CAO</t>
        </is>
      </c>
      <c r="G1523" s="18" t="inlineStr">
        <is>
          <t>RISK_MEDIUM</t>
        </is>
      </c>
      <c r="H1523" s="19" t="n">
        <v>3497.330380737304</v>
      </c>
      <c r="I1523" s="19" t="n">
        <v>4393.81771081543</v>
      </c>
      <c r="J1523" s="19" t="n">
        <v>5544.096115112305</v>
      </c>
      <c r="K1523" s="19" t="n">
        <v>4393.81771081543</v>
      </c>
      <c r="L1523" s="19" t="n">
        <v>5112.741713500976</v>
      </c>
      <c r="M1523" s="19" t="n">
        <v>5544.096115112305</v>
      </c>
      <c r="N1523" s="17" t="inlineStr">
        <is>
          <t>C</t>
        </is>
      </c>
      <c r="O1523" s="19" t="n">
        <v>2029.041946459961</v>
      </c>
      <c r="P1523" s="18" t="inlineStr">
        <is>
          <t>KHÔNG ĐỀ XUẤT TĂNG</t>
        </is>
      </c>
      <c r="Q1523" s="17" t="inlineStr">
        <is>
          <t>Không</t>
        </is>
      </c>
      <c r="R1523" s="20" t="n"/>
      <c r="S1523" s="20" t="n"/>
      <c r="T1523" s="21" t="n"/>
      <c r="U1523" s="21" t="n"/>
      <c r="V1523" s="22">
        <f>IF(U1523="A",K1523,IF(U1523="B",L1523,IF(U1523="C",M1523,IF(N1523="A",K1523,IF(N1523="B",L1523,M1523)))))</f>
        <v/>
      </c>
      <c r="W1523" s="22">
        <f>IF(R1523="",O1523,MAX(V1523-R1523-N(S1523),0))</f>
        <v/>
      </c>
      <c r="X1523" s="20" t="n"/>
      <c r="Y1523" s="23">
        <f>IF(OR(X1523="",W1523=0),"",X1523/W1523-1)</f>
        <v/>
      </c>
      <c r="Z1523" s="24" t="n"/>
      <c r="AA1523" s="21" t="n"/>
      <c r="AB1523" s="25" t="n"/>
      <c r="AC1523" s="26">
        <f>IF(T1523="","Chưa quyết định",IF(OR(Z1523="",AA1523=""),"⚠ Thiếu lý do/người duyệt",IF(AND(X1523&lt;&gt;"",N(X1523)+N(R1523)+N(S1523)&gt;M1523*1.001,R1523&lt;&gt;""),"⚠ Vượt mục tiêu P90",IF(AND(Y1523&lt;&gt;"",ABS(N(Y1523))&gt;0.3),"⚠ Lệch &gt; 30% so với nhu cầu",IF(Q1523="Có","ℹ Kiểm tra ngoại suy KM","✓ Hợp lệ")))))</f>
        <v/>
      </c>
    </row>
    <row r="1524">
      <c r="A1524" s="16" t="n">
        <v>1520</v>
      </c>
      <c r="B1524" s="17" t="inlineStr">
        <is>
          <t>DEC-S34-PERSONAL_CARE</t>
        </is>
      </c>
      <c r="C1524" s="16" t="n">
        <v>34</v>
      </c>
      <c r="D1524" s="17" t="inlineStr">
        <is>
          <t>PERSONAL CARE</t>
        </is>
      </c>
      <c r="E1524" s="17" t="inlineStr">
        <is>
          <t>MEDIUM</t>
        </is>
      </c>
      <c r="F1524" s="17" t="inlineStr">
        <is>
          <t>CAO</t>
        </is>
      </c>
      <c r="G1524" s="18" t="inlineStr">
        <is>
          <t>RISK_MEDIUM</t>
        </is>
      </c>
      <c r="H1524" s="19" t="n">
        <v>3493.356564819336</v>
      </c>
      <c r="I1524" s="19" t="n">
        <v>4389.843894897461</v>
      </c>
      <c r="J1524" s="19" t="n">
        <v>5540.122299194336</v>
      </c>
      <c r="K1524" s="19" t="n">
        <v>4389.843894897461</v>
      </c>
      <c r="L1524" s="19" t="n">
        <v>5108.767897583008</v>
      </c>
      <c r="M1524" s="19" t="n">
        <v>5540.122299194336</v>
      </c>
      <c r="N1524" s="17" t="inlineStr">
        <is>
          <t>C</t>
        </is>
      </c>
      <c r="O1524" s="19" t="n">
        <v>2028.247183276367</v>
      </c>
      <c r="P1524" s="18" t="inlineStr">
        <is>
          <t>KHÔNG ĐỀ XUẤT TĂNG</t>
        </is>
      </c>
      <c r="Q1524" s="17" t="inlineStr">
        <is>
          <t>Không</t>
        </is>
      </c>
      <c r="R1524" s="20" t="n"/>
      <c r="S1524" s="20" t="n"/>
      <c r="T1524" s="21" t="n"/>
      <c r="U1524" s="21" t="n"/>
      <c r="V1524" s="22">
        <f>IF(U1524="A",K1524,IF(U1524="B",L1524,IF(U1524="C",M1524,IF(N1524="A",K1524,IF(N1524="B",L1524,M1524)))))</f>
        <v/>
      </c>
      <c r="W1524" s="22">
        <f>IF(R1524="",O1524,MAX(V1524-R1524-N(S1524),0))</f>
        <v/>
      </c>
      <c r="X1524" s="20" t="n"/>
      <c r="Y1524" s="23">
        <f>IF(OR(X1524="",W1524=0),"",X1524/W1524-1)</f>
        <v/>
      </c>
      <c r="Z1524" s="24" t="n"/>
      <c r="AA1524" s="21" t="n"/>
      <c r="AB1524" s="25" t="n"/>
      <c r="AC1524" s="26">
        <f>IF(T1524="","Chưa quyết định",IF(OR(Z1524="",AA1524=""),"⚠ Thiếu lý do/người duyệt",IF(AND(X1524&lt;&gt;"",N(X1524)+N(R1524)+N(S1524)&gt;M1524*1.001,R1524&lt;&gt;""),"⚠ Vượt mục tiêu P90",IF(AND(Y1524&lt;&gt;"",ABS(N(Y1524))&gt;0.3),"⚠ Lệch &gt; 30% so với nhu cầu",IF(Q1524="Có","ℹ Kiểm tra ngoại suy KM","✓ Hợp lệ")))))</f>
        <v/>
      </c>
    </row>
    <row r="1525">
      <c r="A1525" s="16" t="n">
        <v>1521</v>
      </c>
      <c r="B1525" s="17" t="inlineStr">
        <is>
          <t>DEC-S41-HOME_CARE</t>
        </is>
      </c>
      <c r="C1525" s="16" t="n">
        <v>41</v>
      </c>
      <c r="D1525" s="17" t="inlineStr">
        <is>
          <t>HOME CARE</t>
        </is>
      </c>
      <c r="E1525" s="17" t="inlineStr">
        <is>
          <t>MEDIUM</t>
        </is>
      </c>
      <c r="F1525" s="17" t="inlineStr">
        <is>
          <t>CAO</t>
        </is>
      </c>
      <c r="G1525" s="18" t="inlineStr">
        <is>
          <t>RISK_MEDIUM</t>
        </is>
      </c>
      <c r="H1525" s="19" t="n">
        <v>3400.467518310547</v>
      </c>
      <c r="I1525" s="19" t="n">
        <v>4363.440625610351</v>
      </c>
      <c r="J1525" s="19" t="n">
        <v>5595.72898852539</v>
      </c>
      <c r="K1525" s="19" t="n">
        <v>4363.440625610351</v>
      </c>
      <c r="L1525" s="19" t="n">
        <v>5133.620852432251</v>
      </c>
      <c r="M1525" s="19" t="n">
        <v>5595.72898852539</v>
      </c>
      <c r="N1525" s="17" t="inlineStr">
        <is>
          <t>C</t>
        </is>
      </c>
      <c r="O1525" s="19" t="n">
        <v>2104.976488037109</v>
      </c>
      <c r="P1525" s="18" t="inlineStr">
        <is>
          <t>KHÔNG ĐỀ XUẤT TĂNG</t>
        </is>
      </c>
      <c r="Q1525" s="17" t="inlineStr">
        <is>
          <t>Không</t>
        </is>
      </c>
      <c r="R1525" s="20" t="n"/>
      <c r="S1525" s="20" t="n"/>
      <c r="T1525" s="21" t="n"/>
      <c r="U1525" s="21" t="n"/>
      <c r="V1525" s="22">
        <f>IF(U1525="A",K1525,IF(U1525="B",L1525,IF(U1525="C",M1525,IF(N1525="A",K1525,IF(N1525="B",L1525,M1525)))))</f>
        <v/>
      </c>
      <c r="W1525" s="22">
        <f>IF(R1525="",O1525,MAX(V1525-R1525-N(S1525),0))</f>
        <v/>
      </c>
      <c r="X1525" s="20" t="n"/>
      <c r="Y1525" s="23">
        <f>IF(OR(X1525="",W1525=0),"",X1525/W1525-1)</f>
        <v/>
      </c>
      <c r="Z1525" s="24" t="n"/>
      <c r="AA1525" s="21" t="n"/>
      <c r="AB1525" s="25" t="n"/>
      <c r="AC1525" s="26">
        <f>IF(T1525="","Chưa quyết định",IF(OR(Z1525="",AA1525=""),"⚠ Thiếu lý do/người duyệt",IF(AND(X1525&lt;&gt;"",N(X1525)+N(R1525)+N(S1525)&gt;M1525*1.001,R1525&lt;&gt;""),"⚠ Vượt mục tiêu P90",IF(AND(Y1525&lt;&gt;"",ABS(N(Y1525))&gt;0.3),"⚠ Lệch &gt; 30% so với nhu cầu",IF(Q1525="Có","ℹ Kiểm tra ngoại suy KM","✓ Hợp lệ")))))</f>
        <v/>
      </c>
    </row>
    <row r="1526">
      <c r="A1526" s="16" t="n">
        <v>1522</v>
      </c>
      <c r="B1526" s="17" t="inlineStr">
        <is>
          <t>DEC-S10-PRODUCE</t>
        </is>
      </c>
      <c r="C1526" s="16" t="n">
        <v>10</v>
      </c>
      <c r="D1526" s="17" t="inlineStr">
        <is>
          <t>PRODUCE</t>
        </is>
      </c>
      <c r="E1526" s="17" t="inlineStr">
        <is>
          <t>MEDIUM</t>
        </is>
      </c>
      <c r="F1526" s="17" t="inlineStr">
        <is>
          <t>CAO</t>
        </is>
      </c>
      <c r="G1526" s="18" t="inlineStr">
        <is>
          <t>RISK_MEDIUM</t>
        </is>
      </c>
      <c r="H1526" s="19" t="n">
        <v>3456.646451293945</v>
      </c>
      <c r="I1526" s="19" t="n">
        <v>4353.13378137207</v>
      </c>
      <c r="J1526" s="19" t="n">
        <v>5503.412185668945</v>
      </c>
      <c r="K1526" s="19" t="n">
        <v>4353.13378137207</v>
      </c>
      <c r="L1526" s="19" t="n">
        <v>5072.057784057617</v>
      </c>
      <c r="M1526" s="19" t="n">
        <v>5503.412185668945</v>
      </c>
      <c r="N1526" s="17" t="inlineStr">
        <is>
          <t>C</t>
        </is>
      </c>
      <c r="O1526" s="19" t="n">
        <v>2020.905160571289</v>
      </c>
      <c r="P1526" s="18" t="inlineStr">
        <is>
          <t>KHÔNG ĐỀ XUẤT TĂNG</t>
        </is>
      </c>
      <c r="Q1526" s="17" t="inlineStr">
        <is>
          <t>Không</t>
        </is>
      </c>
      <c r="R1526" s="20" t="n"/>
      <c r="S1526" s="20" t="n"/>
      <c r="T1526" s="21" t="n"/>
      <c r="U1526" s="21" t="n"/>
      <c r="V1526" s="22">
        <f>IF(U1526="A",K1526,IF(U1526="B",L1526,IF(U1526="C",M1526,IF(N1526="A",K1526,IF(N1526="B",L1526,M1526)))))</f>
        <v/>
      </c>
      <c r="W1526" s="22">
        <f>IF(R1526="",O1526,MAX(V1526-R1526-N(S1526),0))</f>
        <v/>
      </c>
      <c r="X1526" s="20" t="n"/>
      <c r="Y1526" s="23">
        <f>IF(OR(X1526="",W1526=0),"",X1526/W1526-1)</f>
        <v/>
      </c>
      <c r="Z1526" s="24" t="n"/>
      <c r="AA1526" s="21" t="n"/>
      <c r="AB1526" s="25" t="n"/>
      <c r="AC1526" s="26">
        <f>IF(T1526="","Chưa quyết định",IF(OR(Z1526="",AA1526=""),"⚠ Thiếu lý do/người duyệt",IF(AND(X1526&lt;&gt;"",N(X1526)+N(R1526)+N(S1526)&gt;M1526*1.001,R1526&lt;&gt;""),"⚠ Vượt mục tiêu P90",IF(AND(Y1526&lt;&gt;"",ABS(N(Y1526))&gt;0.3),"⚠ Lệch &gt; 30% so với nhu cầu",IF(Q1526="Có","ℹ Kiểm tra ngoại suy KM","✓ Hợp lệ")))))</f>
        <v/>
      </c>
    </row>
    <row r="1527">
      <c r="A1527" s="16" t="n">
        <v>1523</v>
      </c>
      <c r="B1527" s="17" t="inlineStr">
        <is>
          <t>DEC-S14-PERSONAL_CARE</t>
        </is>
      </c>
      <c r="C1527" s="16" t="n">
        <v>14</v>
      </c>
      <c r="D1527" s="17" t="inlineStr">
        <is>
          <t>PERSONAL CARE</t>
        </is>
      </c>
      <c r="E1527" s="17" t="inlineStr">
        <is>
          <t>MEDIUM</t>
        </is>
      </c>
      <c r="F1527" s="17" t="inlineStr">
        <is>
          <t>CAO</t>
        </is>
      </c>
      <c r="G1527" s="18" t="inlineStr">
        <is>
          <t>RISK_MEDIUM</t>
        </is>
      </c>
      <c r="H1527" s="19" t="n">
        <v>3450.980954467773</v>
      </c>
      <c r="I1527" s="19" t="n">
        <v>4347.468284545898</v>
      </c>
      <c r="J1527" s="19" t="n">
        <v>5497.746688842773</v>
      </c>
      <c r="K1527" s="19" t="n">
        <v>4347.468284545898</v>
      </c>
      <c r="L1527" s="19" t="n">
        <v>5066.392287231445</v>
      </c>
      <c r="M1527" s="19" t="n">
        <v>5497.746688842773</v>
      </c>
      <c r="N1527" s="17" t="inlineStr">
        <is>
          <t>C</t>
        </is>
      </c>
      <c r="O1527" s="19" t="n">
        <v>2019.772061206055</v>
      </c>
      <c r="P1527" s="18" t="inlineStr">
        <is>
          <t>KHÔNG ĐỀ XUẤT TĂNG</t>
        </is>
      </c>
      <c r="Q1527" s="17" t="inlineStr">
        <is>
          <t>Không</t>
        </is>
      </c>
      <c r="R1527" s="20" t="n"/>
      <c r="S1527" s="20" t="n"/>
      <c r="T1527" s="21" t="n"/>
      <c r="U1527" s="21" t="n"/>
      <c r="V1527" s="22">
        <f>IF(U1527="A",K1527,IF(U1527="B",L1527,IF(U1527="C",M1527,IF(N1527="A",K1527,IF(N1527="B",L1527,M1527)))))</f>
        <v/>
      </c>
      <c r="W1527" s="22">
        <f>IF(R1527="",O1527,MAX(V1527-R1527-N(S1527),0))</f>
        <v/>
      </c>
      <c r="X1527" s="20" t="n"/>
      <c r="Y1527" s="23">
        <f>IF(OR(X1527="",W1527=0),"",X1527/W1527-1)</f>
        <v/>
      </c>
      <c r="Z1527" s="24" t="n"/>
      <c r="AA1527" s="21" t="n"/>
      <c r="AB1527" s="25" t="n"/>
      <c r="AC1527" s="26">
        <f>IF(T1527="","Chưa quyết định",IF(OR(Z1527="",AA1527=""),"⚠ Thiếu lý do/người duyệt",IF(AND(X1527&lt;&gt;"",N(X1527)+N(R1527)+N(S1527)&gt;M1527*1.001,R1527&lt;&gt;""),"⚠ Vượt mục tiêu P90",IF(AND(Y1527&lt;&gt;"",ABS(N(Y1527))&gt;0.3),"⚠ Lệch &gt; 30% so với nhu cầu",IF(Q1527="Có","ℹ Kiểm tra ngoại suy KM","✓ Hợp lệ")))))</f>
        <v/>
      </c>
    </row>
    <row r="1528">
      <c r="A1528" s="16" t="n">
        <v>1524</v>
      </c>
      <c r="B1528" s="17" t="inlineStr">
        <is>
          <t>DEC-S27-HOME_CARE</t>
        </is>
      </c>
      <c r="C1528" s="16" t="n">
        <v>27</v>
      </c>
      <c r="D1528" s="17" t="inlineStr">
        <is>
          <t>HOME CARE</t>
        </is>
      </c>
      <c r="E1528" s="17" t="inlineStr">
        <is>
          <t>MEDIUM</t>
        </is>
      </c>
      <c r="F1528" s="17" t="inlineStr">
        <is>
          <t>CAO</t>
        </is>
      </c>
      <c r="G1528" s="18" t="inlineStr">
        <is>
          <t>RISK_MEDIUM</t>
        </is>
      </c>
      <c r="H1528" s="19" t="n">
        <v>3376.406681518555</v>
      </c>
      <c r="I1528" s="19" t="n">
        <v>4339.379788818359</v>
      </c>
      <c r="J1528" s="19" t="n">
        <v>5571.668151733398</v>
      </c>
      <c r="K1528" s="19" t="n">
        <v>4339.379788818359</v>
      </c>
      <c r="L1528" s="19" t="n">
        <v>5109.560015640259</v>
      </c>
      <c r="M1528" s="19" t="n">
        <v>5571.668151733398</v>
      </c>
      <c r="N1528" s="17" t="inlineStr">
        <is>
          <t>C</t>
        </is>
      </c>
      <c r="O1528" s="19" t="n">
        <v>2100.164320678711</v>
      </c>
      <c r="P1528" s="18" t="inlineStr">
        <is>
          <t>KHÔNG ĐỀ XUẤT TĂNG</t>
        </is>
      </c>
      <c r="Q1528" s="17" t="inlineStr">
        <is>
          <t>Không</t>
        </is>
      </c>
      <c r="R1528" s="20" t="n"/>
      <c r="S1528" s="20" t="n"/>
      <c r="T1528" s="21" t="n"/>
      <c r="U1528" s="21" t="n"/>
      <c r="V1528" s="22">
        <f>IF(U1528="A",K1528,IF(U1528="B",L1528,IF(U1528="C",M1528,IF(N1528="A",K1528,IF(N1528="B",L1528,M1528)))))</f>
        <v/>
      </c>
      <c r="W1528" s="22">
        <f>IF(R1528="",O1528,MAX(V1528-R1528-N(S1528),0))</f>
        <v/>
      </c>
      <c r="X1528" s="20" t="n"/>
      <c r="Y1528" s="23">
        <f>IF(OR(X1528="",W1528=0),"",X1528/W1528-1)</f>
        <v/>
      </c>
      <c r="Z1528" s="24" t="n"/>
      <c r="AA1528" s="21" t="n"/>
      <c r="AB1528" s="25" t="n"/>
      <c r="AC1528" s="26">
        <f>IF(T1528="","Chưa quyết định",IF(OR(Z1528="",AA1528=""),"⚠ Thiếu lý do/người duyệt",IF(AND(X1528&lt;&gt;"",N(X1528)+N(R1528)+N(S1528)&gt;M1528*1.001,R1528&lt;&gt;""),"⚠ Vượt mục tiêu P90",IF(AND(Y1528&lt;&gt;"",ABS(N(Y1528))&gt;0.3),"⚠ Lệch &gt; 30% so với nhu cầu",IF(Q1528="Có","ℹ Kiểm tra ngoại suy KM","✓ Hợp lệ")))))</f>
        <v/>
      </c>
    </row>
    <row r="1529">
      <c r="A1529" s="16" t="n">
        <v>1525</v>
      </c>
      <c r="B1529" s="17" t="inlineStr">
        <is>
          <t>DEC-S29-HOME_CARE</t>
        </is>
      </c>
      <c r="C1529" s="16" t="n">
        <v>29</v>
      </c>
      <c r="D1529" s="17" t="inlineStr">
        <is>
          <t>HOME CARE</t>
        </is>
      </c>
      <c r="E1529" s="17" t="inlineStr">
        <is>
          <t>MEDIUM</t>
        </is>
      </c>
      <c r="F1529" s="17" t="inlineStr">
        <is>
          <t>CAO</t>
        </is>
      </c>
      <c r="G1529" s="18" t="inlineStr">
        <is>
          <t>RISK_MEDIUM</t>
        </is>
      </c>
      <c r="H1529" s="19" t="n">
        <v>3379.864337585449</v>
      </c>
      <c r="I1529" s="19" t="n">
        <v>4324.077242797852</v>
      </c>
      <c r="J1529" s="19" t="n">
        <v>5528.106685119629</v>
      </c>
      <c r="K1529" s="19" t="n">
        <v>4324.077242797852</v>
      </c>
      <c r="L1529" s="19" t="n">
        <v>5076.595644248962</v>
      </c>
      <c r="M1529" s="19" t="n">
        <v>5528.106685119629</v>
      </c>
      <c r="N1529" s="17" t="inlineStr">
        <is>
          <t>C</t>
        </is>
      </c>
      <c r="O1529" s="19" t="n">
        <v>2068.844890881348</v>
      </c>
      <c r="P1529" s="18" t="inlineStr">
        <is>
          <t>KHÔNG ĐỀ XUẤT TĂNG</t>
        </is>
      </c>
      <c r="Q1529" s="17" t="inlineStr">
        <is>
          <t>Không</t>
        </is>
      </c>
      <c r="R1529" s="20" t="n"/>
      <c r="S1529" s="20" t="n"/>
      <c r="T1529" s="21" t="n"/>
      <c r="U1529" s="21" t="n"/>
      <c r="V1529" s="22">
        <f>IF(U1529="A",K1529,IF(U1529="B",L1529,IF(U1529="C",M1529,IF(N1529="A",K1529,IF(N1529="B",L1529,M1529)))))</f>
        <v/>
      </c>
      <c r="W1529" s="22">
        <f>IF(R1529="",O1529,MAX(V1529-R1529-N(S1529),0))</f>
        <v/>
      </c>
      <c r="X1529" s="20" t="n"/>
      <c r="Y1529" s="23">
        <f>IF(OR(X1529="",W1529=0),"",X1529/W1529-1)</f>
        <v/>
      </c>
      <c r="Z1529" s="24" t="n"/>
      <c r="AA1529" s="21" t="n"/>
      <c r="AB1529" s="25" t="n"/>
      <c r="AC1529" s="26">
        <f>IF(T1529="","Chưa quyết định",IF(OR(Z1529="",AA1529=""),"⚠ Thiếu lý do/người duyệt",IF(AND(X1529&lt;&gt;"",N(X1529)+N(R1529)+N(S1529)&gt;M1529*1.001,R1529&lt;&gt;""),"⚠ Vượt mục tiêu P90",IF(AND(Y1529&lt;&gt;"",ABS(N(Y1529))&gt;0.3),"⚠ Lệch &gt; 30% so với nhu cầu",IF(Q1529="Có","ℹ Kiểm tra ngoại suy KM","✓ Hợp lệ")))))</f>
        <v/>
      </c>
    </row>
    <row r="1530">
      <c r="A1530" s="16" t="n">
        <v>1526</v>
      </c>
      <c r="B1530" s="17" t="inlineStr">
        <is>
          <t>DEC-S37-HOME_CARE</t>
        </is>
      </c>
      <c r="C1530" s="16" t="n">
        <v>37</v>
      </c>
      <c r="D1530" s="17" t="inlineStr">
        <is>
          <t>HOME CARE</t>
        </is>
      </c>
      <c r="E1530" s="17" t="inlineStr">
        <is>
          <t>MEDIUM</t>
        </is>
      </c>
      <c r="F1530" s="17" t="inlineStr">
        <is>
          <t>CAO</t>
        </is>
      </c>
      <c r="G1530" s="18" t="inlineStr">
        <is>
          <t>RISK_MEDIUM</t>
        </is>
      </c>
      <c r="H1530" s="19" t="n">
        <v>3423.060834228515</v>
      </c>
      <c r="I1530" s="19" t="n">
        <v>4319.548164306641</v>
      </c>
      <c r="J1530" s="19" t="n">
        <v>5469.826568603516</v>
      </c>
      <c r="K1530" s="19" t="n">
        <v>4319.548164306641</v>
      </c>
      <c r="L1530" s="19" t="n">
        <v>5038.472166992187</v>
      </c>
      <c r="M1530" s="19" t="n">
        <v>5469.826568603516</v>
      </c>
      <c r="N1530" s="17" t="inlineStr">
        <is>
          <t>C</t>
        </is>
      </c>
      <c r="O1530" s="19" t="n">
        <v>2014.188037158203</v>
      </c>
      <c r="P1530" s="18" t="inlineStr">
        <is>
          <t>KHÔNG ĐỀ XUẤT TĂNG</t>
        </is>
      </c>
      <c r="Q1530" s="17" t="inlineStr">
        <is>
          <t>Không</t>
        </is>
      </c>
      <c r="R1530" s="20" t="n"/>
      <c r="S1530" s="20" t="n"/>
      <c r="T1530" s="21" t="n"/>
      <c r="U1530" s="21" t="n"/>
      <c r="V1530" s="22">
        <f>IF(U1530="A",K1530,IF(U1530="B",L1530,IF(U1530="C",M1530,IF(N1530="A",K1530,IF(N1530="B",L1530,M1530)))))</f>
        <v/>
      </c>
      <c r="W1530" s="22">
        <f>IF(R1530="",O1530,MAX(V1530-R1530-N(S1530),0))</f>
        <v/>
      </c>
      <c r="X1530" s="20" t="n"/>
      <c r="Y1530" s="23">
        <f>IF(OR(X1530="",W1530=0),"",X1530/W1530-1)</f>
        <v/>
      </c>
      <c r="Z1530" s="24" t="n"/>
      <c r="AA1530" s="21" t="n"/>
      <c r="AB1530" s="25" t="n"/>
      <c r="AC1530" s="26">
        <f>IF(T1530="","Chưa quyết định",IF(OR(Z1530="",AA1530=""),"⚠ Thiếu lý do/người duyệt",IF(AND(X1530&lt;&gt;"",N(X1530)+N(R1530)+N(S1530)&gt;M1530*1.001,R1530&lt;&gt;""),"⚠ Vượt mục tiêu P90",IF(AND(Y1530&lt;&gt;"",ABS(N(Y1530))&gt;0.3),"⚠ Lệch &gt; 30% so với nhu cầu",IF(Q1530="Có","ℹ Kiểm tra ngoại suy KM","✓ Hợp lệ")))))</f>
        <v/>
      </c>
    </row>
    <row r="1531">
      <c r="A1531" s="16" t="n">
        <v>1527</v>
      </c>
      <c r="B1531" s="17" t="inlineStr">
        <is>
          <t>DEC-S51-FROZEN_FOODS</t>
        </is>
      </c>
      <c r="C1531" s="16" t="n">
        <v>51</v>
      </c>
      <c r="D1531" s="17" t="inlineStr">
        <is>
          <t>FROZEN FOODS</t>
        </is>
      </c>
      <c r="E1531" s="17" t="inlineStr">
        <is>
          <t>MEDIUM</t>
        </is>
      </c>
      <c r="F1531" s="17" t="inlineStr">
        <is>
          <t>CAO</t>
        </is>
      </c>
      <c r="G1531" s="18" t="inlineStr">
        <is>
          <t>RISK_MEDIUM</t>
        </is>
      </c>
      <c r="H1531" s="19" t="n">
        <v>3438.667202453613</v>
      </c>
      <c r="I1531" s="19" t="n">
        <v>4316.394330444336</v>
      </c>
      <c r="J1531" s="19" t="n">
        <v>5438.413814147949</v>
      </c>
      <c r="K1531" s="19" t="n">
        <v>4316.394330444336</v>
      </c>
      <c r="L1531" s="19" t="n">
        <v>5017.656507759094</v>
      </c>
      <c r="M1531" s="19" t="n">
        <v>5438.413814147949</v>
      </c>
      <c r="N1531" s="17" t="inlineStr">
        <is>
          <t>C</t>
        </is>
      </c>
      <c r="O1531" s="19" t="n">
        <v>1985.29834979248</v>
      </c>
      <c r="P1531" s="18" t="inlineStr">
        <is>
          <t>CÂN NHẮC THỬ NGHIỆM</t>
        </is>
      </c>
      <c r="Q1531" s="17" t="inlineStr">
        <is>
          <t>Không</t>
        </is>
      </c>
      <c r="R1531" s="20" t="n"/>
      <c r="S1531" s="20" t="n"/>
      <c r="T1531" s="21" t="n"/>
      <c r="U1531" s="21" t="n"/>
      <c r="V1531" s="22">
        <f>IF(U1531="A",K1531,IF(U1531="B",L1531,IF(U1531="C",M1531,IF(N1531="A",K1531,IF(N1531="B",L1531,M1531)))))</f>
        <v/>
      </c>
      <c r="W1531" s="22">
        <f>IF(R1531="",O1531,MAX(V1531-R1531-N(S1531),0))</f>
        <v/>
      </c>
      <c r="X1531" s="20" t="n"/>
      <c r="Y1531" s="23">
        <f>IF(OR(X1531="",W1531=0),"",X1531/W1531-1)</f>
        <v/>
      </c>
      <c r="Z1531" s="24" t="n"/>
      <c r="AA1531" s="21" t="n"/>
      <c r="AB1531" s="25" t="n"/>
      <c r="AC1531" s="26">
        <f>IF(T1531="","Chưa quyết định",IF(OR(Z1531="",AA1531=""),"⚠ Thiếu lý do/người duyệt",IF(AND(X1531&lt;&gt;"",N(X1531)+N(R1531)+N(S1531)&gt;M1531*1.001,R1531&lt;&gt;""),"⚠ Vượt mục tiêu P90",IF(AND(Y1531&lt;&gt;"",ABS(N(Y1531))&gt;0.3),"⚠ Lệch &gt; 30% so với nhu cầu",IF(Q1531="Có","ℹ Kiểm tra ngoại suy KM","✓ Hợp lệ")))))</f>
        <v/>
      </c>
    </row>
    <row r="1532">
      <c r="A1532" s="16" t="n">
        <v>1528</v>
      </c>
      <c r="B1532" s="17" t="inlineStr">
        <is>
          <t>DEC-S49-LIQUOR_WINE_BEER</t>
        </is>
      </c>
      <c r="C1532" s="16" t="n">
        <v>49</v>
      </c>
      <c r="D1532" s="17" t="inlineStr">
        <is>
          <t>LIQUOR,WINE,BEER</t>
        </is>
      </c>
      <c r="E1532" s="17" t="inlineStr">
        <is>
          <t>MEDIUM</t>
        </is>
      </c>
      <c r="F1532" s="17" t="inlineStr">
        <is>
          <t>CAO</t>
        </is>
      </c>
      <c r="G1532" s="18" t="inlineStr">
        <is>
          <t>RISK_MEDIUM</t>
        </is>
      </c>
      <c r="H1532" s="19" t="n">
        <v>3235.903447937012</v>
      </c>
      <c r="I1532" s="19" t="n">
        <v>4304.532876464844</v>
      </c>
      <c r="J1532" s="19" t="n">
        <v>5641.556512268066</v>
      </c>
      <c r="K1532" s="19" t="n">
        <v>4304.532876464844</v>
      </c>
      <c r="L1532" s="19" t="n">
        <v>5140.172648841858</v>
      </c>
      <c r="M1532" s="19" t="n">
        <v>5641.556512268066</v>
      </c>
      <c r="N1532" s="17" t="inlineStr">
        <is>
          <t>C</t>
        </is>
      </c>
      <c r="O1532" s="19" t="n">
        <v>2197.930211096191</v>
      </c>
      <c r="P1532" s="18" t="inlineStr">
        <is>
          <t>KHÔNG ĐỀ XUẤT TĂNG</t>
        </is>
      </c>
      <c r="Q1532" s="17" t="inlineStr">
        <is>
          <t>Không</t>
        </is>
      </c>
      <c r="R1532" s="20" t="n"/>
      <c r="S1532" s="20" t="n"/>
      <c r="T1532" s="21" t="n"/>
      <c r="U1532" s="21" t="n"/>
      <c r="V1532" s="22">
        <f>IF(U1532="A",K1532,IF(U1532="B",L1532,IF(U1532="C",M1532,IF(N1532="A",K1532,IF(N1532="B",L1532,M1532)))))</f>
        <v/>
      </c>
      <c r="W1532" s="22">
        <f>IF(R1532="",O1532,MAX(V1532-R1532-N(S1532),0))</f>
        <v/>
      </c>
      <c r="X1532" s="20" t="n"/>
      <c r="Y1532" s="23">
        <f>IF(OR(X1532="",W1532=0),"",X1532/W1532-1)</f>
        <v/>
      </c>
      <c r="Z1532" s="24" t="n"/>
      <c r="AA1532" s="21" t="n"/>
      <c r="AB1532" s="25" t="n"/>
      <c r="AC1532" s="26">
        <f>IF(T1532="","Chưa quyết định",IF(OR(Z1532="",AA1532=""),"⚠ Thiếu lý do/người duyệt",IF(AND(X1532&lt;&gt;"",N(X1532)+N(R1532)+N(S1532)&gt;M1532*1.001,R1532&lt;&gt;""),"⚠ Vượt mục tiêu P90",IF(AND(Y1532&lt;&gt;"",ABS(N(Y1532))&gt;0.3),"⚠ Lệch &gt; 30% so với nhu cầu",IF(Q1532="Có","ℹ Kiểm tra ngoại suy KM","✓ Hợp lệ")))))</f>
        <v/>
      </c>
    </row>
    <row r="1533">
      <c r="A1533" s="16" t="n">
        <v>1529</v>
      </c>
      <c r="B1533" s="17" t="inlineStr">
        <is>
          <t>DEC-S07-HOME_CARE</t>
        </is>
      </c>
      <c r="C1533" s="16" t="n">
        <v>7</v>
      </c>
      <c r="D1533" s="17" t="inlineStr">
        <is>
          <t>HOME CARE</t>
        </is>
      </c>
      <c r="E1533" s="17" t="inlineStr">
        <is>
          <t>MEDIUM</t>
        </is>
      </c>
      <c r="F1533" s="17" t="inlineStr">
        <is>
          <t>CAO</t>
        </is>
      </c>
      <c r="G1533" s="18" t="inlineStr">
        <is>
          <t>RISK_MEDIUM</t>
        </is>
      </c>
      <c r="H1533" s="19" t="n">
        <v>3403.313779174804</v>
      </c>
      <c r="I1533" s="19" t="n">
        <v>4299.80110925293</v>
      </c>
      <c r="J1533" s="19" t="n">
        <v>5450.079513549805</v>
      </c>
      <c r="K1533" s="19" t="n">
        <v>4299.80110925293</v>
      </c>
      <c r="L1533" s="19" t="n">
        <v>5018.725111938476</v>
      </c>
      <c r="M1533" s="19" t="n">
        <v>5450.079513549805</v>
      </c>
      <c r="N1533" s="17" t="inlineStr">
        <is>
          <t>C</t>
        </is>
      </c>
      <c r="O1533" s="19" t="n">
        <v>2010.238626147461</v>
      </c>
      <c r="P1533" s="18" t="inlineStr">
        <is>
          <t>KHÔNG ĐỀ XUẤT TĂNG</t>
        </is>
      </c>
      <c r="Q1533" s="17" t="inlineStr">
        <is>
          <t>Không</t>
        </is>
      </c>
      <c r="R1533" s="20" t="n"/>
      <c r="S1533" s="20" t="n"/>
      <c r="T1533" s="21" t="n"/>
      <c r="U1533" s="21" t="n"/>
      <c r="V1533" s="22">
        <f>IF(U1533="A",K1533,IF(U1533="B",L1533,IF(U1533="C",M1533,IF(N1533="A",K1533,IF(N1533="B",L1533,M1533)))))</f>
        <v/>
      </c>
      <c r="W1533" s="22">
        <f>IF(R1533="",O1533,MAX(V1533-R1533-N(S1533),0))</f>
        <v/>
      </c>
      <c r="X1533" s="20" t="n"/>
      <c r="Y1533" s="23">
        <f>IF(OR(X1533="",W1533=0),"",X1533/W1533-1)</f>
        <v/>
      </c>
      <c r="Z1533" s="24" t="n"/>
      <c r="AA1533" s="21" t="n"/>
      <c r="AB1533" s="25" t="n"/>
      <c r="AC1533" s="26">
        <f>IF(T1533="","Chưa quyết định",IF(OR(Z1533="",AA1533=""),"⚠ Thiếu lý do/người duyệt",IF(AND(X1533&lt;&gt;"",N(X1533)+N(R1533)+N(S1533)&gt;M1533*1.001,R1533&lt;&gt;""),"⚠ Vượt mục tiêu P90",IF(AND(Y1533&lt;&gt;"",ABS(N(Y1533))&gt;0.3),"⚠ Lệch &gt; 30% so với nhu cầu",IF(Q1533="Có","ℹ Kiểm tra ngoại suy KM","✓ Hợp lệ")))))</f>
        <v/>
      </c>
    </row>
    <row r="1534">
      <c r="A1534" s="16" t="n">
        <v>1530</v>
      </c>
      <c r="B1534" s="17" t="inlineStr">
        <is>
          <t>DEC-S54-DAIRY</t>
        </is>
      </c>
      <c r="C1534" s="16" t="n">
        <v>54</v>
      </c>
      <c r="D1534" s="17" t="inlineStr">
        <is>
          <t>DAIRY</t>
        </is>
      </c>
      <c r="E1534" s="17" t="inlineStr">
        <is>
          <t>MEDIUM</t>
        </is>
      </c>
      <c r="F1534" s="17" t="inlineStr">
        <is>
          <t>CAO</t>
        </is>
      </c>
      <c r="G1534" s="18" t="inlineStr">
        <is>
          <t>RISK_MEDIUM</t>
        </is>
      </c>
      <c r="H1534" s="19" t="n">
        <v>3414.542049865723</v>
      </c>
      <c r="I1534" s="19" t="n">
        <v>4292.269177856445</v>
      </c>
      <c r="J1534" s="19" t="n">
        <v>5414.288661560058</v>
      </c>
      <c r="K1534" s="19" t="n">
        <v>4292.269177856445</v>
      </c>
      <c r="L1534" s="19" t="n">
        <v>4993.531355171203</v>
      </c>
      <c r="M1534" s="19" t="n">
        <v>5414.288661560058</v>
      </c>
      <c r="N1534" s="17" t="inlineStr">
        <is>
          <t>C</t>
        </is>
      </c>
      <c r="O1534" s="19" t="n">
        <v>1980.473319274902</v>
      </c>
      <c r="P1534" s="18" t="inlineStr">
        <is>
          <t>KHÔNG ĐỀ XUẤT TĂNG</t>
        </is>
      </c>
      <c r="Q1534" s="17" t="inlineStr">
        <is>
          <t>Không</t>
        </is>
      </c>
      <c r="R1534" s="20" t="n"/>
      <c r="S1534" s="20" t="n"/>
      <c r="T1534" s="21" t="n"/>
      <c r="U1534" s="21" t="n"/>
      <c r="V1534" s="22">
        <f>IF(U1534="A",K1534,IF(U1534="B",L1534,IF(U1534="C",M1534,IF(N1534="A",K1534,IF(N1534="B",L1534,M1534)))))</f>
        <v/>
      </c>
      <c r="W1534" s="22">
        <f>IF(R1534="",O1534,MAX(V1534-R1534-N(S1534),0))</f>
        <v/>
      </c>
      <c r="X1534" s="20" t="n"/>
      <c r="Y1534" s="23">
        <f>IF(OR(X1534="",W1534=0),"",X1534/W1534-1)</f>
        <v/>
      </c>
      <c r="Z1534" s="24" t="n"/>
      <c r="AA1534" s="21" t="n"/>
      <c r="AB1534" s="25" t="n"/>
      <c r="AC1534" s="26">
        <f>IF(T1534="","Chưa quyết định",IF(OR(Z1534="",AA1534=""),"⚠ Thiếu lý do/người duyệt",IF(AND(X1534&lt;&gt;"",N(X1534)+N(R1534)+N(S1534)&gt;M1534*1.001,R1534&lt;&gt;""),"⚠ Vượt mục tiêu P90",IF(AND(Y1534&lt;&gt;"",ABS(N(Y1534))&gt;0.3),"⚠ Lệch &gt; 30% so với nhu cầu",IF(Q1534="Có","ℹ Kiểm tra ngoại suy KM","✓ Hợp lệ")))))</f>
        <v/>
      </c>
    </row>
    <row r="1535">
      <c r="A1535" s="16" t="n">
        <v>1531</v>
      </c>
      <c r="B1535" s="17" t="inlineStr">
        <is>
          <t>DEC-S37-PERSONAL_CARE</t>
        </is>
      </c>
      <c r="C1535" s="16" t="n">
        <v>37</v>
      </c>
      <c r="D1535" s="17" t="inlineStr">
        <is>
          <t>PERSONAL CARE</t>
        </is>
      </c>
      <c r="E1535" s="17" t="inlineStr">
        <is>
          <t>MEDIUM</t>
        </is>
      </c>
      <c r="F1535" s="17" t="inlineStr">
        <is>
          <t>CAO</t>
        </is>
      </c>
      <c r="G1535" s="18" t="inlineStr">
        <is>
          <t>RISK_MEDIUM</t>
        </is>
      </c>
      <c r="H1535" s="19" t="n">
        <v>3363.935117065429</v>
      </c>
      <c r="I1535" s="19" t="n">
        <v>4260.422447143555</v>
      </c>
      <c r="J1535" s="19" t="n">
        <v>5410.70085144043</v>
      </c>
      <c r="K1535" s="19" t="n">
        <v>4260.422447143555</v>
      </c>
      <c r="L1535" s="19" t="n">
        <v>4979.346449829101</v>
      </c>
      <c r="M1535" s="19" t="n">
        <v>5410.70085144043</v>
      </c>
      <c r="N1535" s="17" t="inlineStr">
        <is>
          <t>C</t>
        </is>
      </c>
      <c r="O1535" s="19" t="n">
        <v>2002.362893725586</v>
      </c>
      <c r="P1535" s="18" t="inlineStr">
        <is>
          <t>KHÔNG ĐỀ XUẤT TĂNG</t>
        </is>
      </c>
      <c r="Q1535" s="17" t="inlineStr">
        <is>
          <t>Không</t>
        </is>
      </c>
      <c r="R1535" s="20" t="n"/>
      <c r="S1535" s="20" t="n"/>
      <c r="T1535" s="21" t="n"/>
      <c r="U1535" s="21" t="n"/>
      <c r="V1535" s="22">
        <f>IF(U1535="A",K1535,IF(U1535="B",L1535,IF(U1535="C",M1535,IF(N1535="A",K1535,IF(N1535="B",L1535,M1535)))))</f>
        <v/>
      </c>
      <c r="W1535" s="22">
        <f>IF(R1535="",O1535,MAX(V1535-R1535-N(S1535),0))</f>
        <v/>
      </c>
      <c r="X1535" s="20" t="n"/>
      <c r="Y1535" s="23">
        <f>IF(OR(X1535="",W1535=0),"",X1535/W1535-1)</f>
        <v/>
      </c>
      <c r="Z1535" s="24" t="n"/>
      <c r="AA1535" s="21" t="n"/>
      <c r="AB1535" s="25" t="n"/>
      <c r="AC1535" s="26">
        <f>IF(T1535="","Chưa quyết định",IF(OR(Z1535="",AA1535=""),"⚠ Thiếu lý do/người duyệt",IF(AND(X1535&lt;&gt;"",N(X1535)+N(R1535)+N(S1535)&gt;M1535*1.001,R1535&lt;&gt;""),"⚠ Vượt mục tiêu P90",IF(AND(Y1535&lt;&gt;"",ABS(N(Y1535))&gt;0.3),"⚠ Lệch &gt; 30% so với nhu cầu",IF(Q1535="Có","ℹ Kiểm tra ngoại suy KM","✓ Hợp lệ")))))</f>
        <v/>
      </c>
    </row>
    <row r="1536">
      <c r="A1536" s="16" t="n">
        <v>1532</v>
      </c>
      <c r="B1536" s="17" t="inlineStr">
        <is>
          <t>DEC-S53-DELI</t>
        </is>
      </c>
      <c r="C1536" s="16" t="n">
        <v>53</v>
      </c>
      <c r="D1536" s="17" t="inlineStr">
        <is>
          <t>DELI</t>
        </is>
      </c>
      <c r="E1536" s="17" t="inlineStr">
        <is>
          <t>MEDIUM</t>
        </is>
      </c>
      <c r="F1536" s="17" t="inlineStr">
        <is>
          <t>CAO</t>
        </is>
      </c>
      <c r="G1536" s="18" t="inlineStr">
        <is>
          <t>RISK_MEDIUM</t>
        </is>
      </c>
      <c r="H1536" s="19" t="n">
        <v>3400.6661640625</v>
      </c>
      <c r="I1536" s="19" t="n">
        <v>4259.633089965821</v>
      </c>
      <c r="J1536" s="19" t="n">
        <v>5353.393653076172</v>
      </c>
      <c r="K1536" s="19" t="n">
        <v>4259.633089965821</v>
      </c>
      <c r="L1536" s="19" t="n">
        <v>4943.233441909791</v>
      </c>
      <c r="M1536" s="19" t="n">
        <v>5353.393653076172</v>
      </c>
      <c r="N1536" s="17" t="inlineStr">
        <is>
          <t>C</t>
        </is>
      </c>
      <c r="O1536" s="19" t="n">
        <v>1945.687181103516</v>
      </c>
      <c r="P1536" s="18" t="inlineStr">
        <is>
          <t>KHÔNG ĐỀ XUẤT TĂNG</t>
        </is>
      </c>
      <c r="Q1536" s="17" t="inlineStr">
        <is>
          <t>Không</t>
        </is>
      </c>
      <c r="R1536" s="20" t="n"/>
      <c r="S1536" s="20" t="n"/>
      <c r="T1536" s="21" t="n"/>
      <c r="U1536" s="21" t="n"/>
      <c r="V1536" s="22">
        <f>IF(U1536="A",K1536,IF(U1536="B",L1536,IF(U1536="C",M1536,IF(N1536="A",K1536,IF(N1536="B",L1536,M1536)))))</f>
        <v/>
      </c>
      <c r="W1536" s="22">
        <f>IF(R1536="",O1536,MAX(V1536-R1536-N(S1536),0))</f>
        <v/>
      </c>
      <c r="X1536" s="20" t="n"/>
      <c r="Y1536" s="23">
        <f>IF(OR(X1536="",W1536=0),"",X1536/W1536-1)</f>
        <v/>
      </c>
      <c r="Z1536" s="24" t="n"/>
      <c r="AA1536" s="21" t="n"/>
      <c r="AB1536" s="25" t="n"/>
      <c r="AC1536" s="26">
        <f>IF(T1536="","Chưa quyết định",IF(OR(Z1536="",AA1536=""),"⚠ Thiếu lý do/người duyệt",IF(AND(X1536&lt;&gt;"",N(X1536)+N(R1536)+N(S1536)&gt;M1536*1.001,R1536&lt;&gt;""),"⚠ Vượt mục tiêu P90",IF(AND(Y1536&lt;&gt;"",ABS(N(Y1536))&gt;0.3),"⚠ Lệch &gt; 30% so với nhu cầu",IF(Q1536="Có","ℹ Kiểm tra ngoại suy KM","✓ Hợp lệ")))))</f>
        <v/>
      </c>
    </row>
    <row r="1537">
      <c r="A1537" s="16" t="n">
        <v>1533</v>
      </c>
      <c r="B1537" s="17" t="inlineStr">
        <is>
          <t>DEC-S41-DELI</t>
        </is>
      </c>
      <c r="C1537" s="16" t="n">
        <v>41</v>
      </c>
      <c r="D1537" s="17" t="inlineStr">
        <is>
          <t>DELI</t>
        </is>
      </c>
      <c r="E1537" s="17" t="inlineStr">
        <is>
          <t>MEDIUM</t>
        </is>
      </c>
      <c r="F1537" s="17" t="inlineStr">
        <is>
          <t>CAO</t>
        </is>
      </c>
      <c r="G1537" s="18" t="inlineStr">
        <is>
          <t>RISK_MEDIUM</t>
        </is>
      </c>
      <c r="H1537" s="19" t="n">
        <v>3311.644153259277</v>
      </c>
      <c r="I1537" s="19" t="n">
        <v>4255.85705847168</v>
      </c>
      <c r="J1537" s="19" t="n">
        <v>5459.886500793457</v>
      </c>
      <c r="K1537" s="19" t="n">
        <v>4255.85705847168</v>
      </c>
      <c r="L1537" s="19" t="n">
        <v>5008.37545992279</v>
      </c>
      <c r="M1537" s="19" t="n">
        <v>5459.886500793457</v>
      </c>
      <c r="N1537" s="17" t="inlineStr">
        <is>
          <t>C</t>
        </is>
      </c>
      <c r="O1537" s="19" t="n">
        <v>2055.200854016113</v>
      </c>
      <c r="P1537" s="18" t="inlineStr">
        <is>
          <t>KHÔNG ĐỀ XUẤT TĂNG</t>
        </is>
      </c>
      <c r="Q1537" s="17" t="inlineStr">
        <is>
          <t>Không</t>
        </is>
      </c>
      <c r="R1537" s="20" t="n"/>
      <c r="S1537" s="20" t="n"/>
      <c r="T1537" s="21" t="n"/>
      <c r="U1537" s="21" t="n"/>
      <c r="V1537" s="22">
        <f>IF(U1537="A",K1537,IF(U1537="B",L1537,IF(U1537="C",M1537,IF(N1537="A",K1537,IF(N1537="B",L1537,M1537)))))</f>
        <v/>
      </c>
      <c r="W1537" s="22">
        <f>IF(R1537="",O1537,MAX(V1537-R1537-N(S1537),0))</f>
        <v/>
      </c>
      <c r="X1537" s="20" t="n"/>
      <c r="Y1537" s="23">
        <f>IF(OR(X1537="",W1537=0),"",X1537/W1537-1)</f>
        <v/>
      </c>
      <c r="Z1537" s="24" t="n"/>
      <c r="AA1537" s="21" t="n"/>
      <c r="AB1537" s="25" t="n"/>
      <c r="AC1537" s="26">
        <f>IF(T1537="","Chưa quyết định",IF(OR(Z1537="",AA1537=""),"⚠ Thiếu lý do/người duyệt",IF(AND(X1537&lt;&gt;"",N(X1537)+N(R1537)+N(S1537)&gt;M1537*1.001,R1537&lt;&gt;""),"⚠ Vượt mục tiêu P90",IF(AND(Y1537&lt;&gt;"",ABS(N(Y1537))&gt;0.3),"⚠ Lệch &gt; 30% so với nhu cầu",IF(Q1537="Có","ℹ Kiểm tra ngoại suy KM","✓ Hợp lệ")))))</f>
        <v/>
      </c>
    </row>
    <row r="1538">
      <c r="A1538" s="16" t="n">
        <v>1534</v>
      </c>
      <c r="B1538" s="17" t="inlineStr">
        <is>
          <t>DEC-S10-DELI</t>
        </is>
      </c>
      <c r="C1538" s="16" t="n">
        <v>10</v>
      </c>
      <c r="D1538" s="17" t="inlineStr">
        <is>
          <t>DELI</t>
        </is>
      </c>
      <c r="E1538" s="17" t="inlineStr">
        <is>
          <t>MEDIUM</t>
        </is>
      </c>
      <c r="F1538" s="17" t="inlineStr">
        <is>
          <t>CAO</t>
        </is>
      </c>
      <c r="G1538" s="18" t="inlineStr">
        <is>
          <t>RISK_MEDIUM</t>
        </is>
      </c>
      <c r="H1538" s="19" t="n">
        <v>3341.391461669922</v>
      </c>
      <c r="I1538" s="19" t="n">
        <v>4237.878791748047</v>
      </c>
      <c r="J1538" s="19" t="n">
        <v>5388.157196044922</v>
      </c>
      <c r="K1538" s="19" t="n">
        <v>4237.878791748047</v>
      </c>
      <c r="L1538" s="19" t="n">
        <v>4956.802794433594</v>
      </c>
      <c r="M1538" s="19" t="n">
        <v>5388.157196044922</v>
      </c>
      <c r="N1538" s="17" t="inlineStr">
        <is>
          <t>C</t>
        </is>
      </c>
      <c r="O1538" s="19" t="n">
        <v>1997.854162646485</v>
      </c>
      <c r="P1538" s="18" t="inlineStr">
        <is>
          <t>KHÔNG ĐỀ XUẤT TĂNG</t>
        </is>
      </c>
      <c r="Q1538" s="17" t="inlineStr">
        <is>
          <t>Không</t>
        </is>
      </c>
      <c r="R1538" s="20" t="n"/>
      <c r="S1538" s="20" t="n"/>
      <c r="T1538" s="21" t="n"/>
      <c r="U1538" s="21" t="n"/>
      <c r="V1538" s="22">
        <f>IF(U1538="A",K1538,IF(U1538="B",L1538,IF(U1538="C",M1538,IF(N1538="A",K1538,IF(N1538="B",L1538,M1538)))))</f>
        <v/>
      </c>
      <c r="W1538" s="22">
        <f>IF(R1538="",O1538,MAX(V1538-R1538-N(S1538),0))</f>
        <v/>
      </c>
      <c r="X1538" s="20" t="n"/>
      <c r="Y1538" s="23">
        <f>IF(OR(X1538="",W1538=0),"",X1538/W1538-1)</f>
        <v/>
      </c>
      <c r="Z1538" s="24" t="n"/>
      <c r="AA1538" s="21" t="n"/>
      <c r="AB1538" s="25" t="n"/>
      <c r="AC1538" s="26">
        <f>IF(T1538="","Chưa quyết định",IF(OR(Z1538="",AA1538=""),"⚠ Thiếu lý do/người duyệt",IF(AND(X1538&lt;&gt;"",N(X1538)+N(R1538)+N(S1538)&gt;M1538*1.001,R1538&lt;&gt;""),"⚠ Vượt mục tiêu P90",IF(AND(Y1538&lt;&gt;"",ABS(N(Y1538))&gt;0.3),"⚠ Lệch &gt; 30% so với nhu cầu",IF(Q1538="Có","ℹ Kiểm tra ngoại suy KM","✓ Hợp lệ")))))</f>
        <v/>
      </c>
    </row>
    <row r="1539">
      <c r="A1539" s="16" t="n">
        <v>1535</v>
      </c>
      <c r="B1539" s="17" t="inlineStr">
        <is>
          <t>DEC-S29-PERSONAL_CARE</t>
        </is>
      </c>
      <c r="C1539" s="16" t="n">
        <v>29</v>
      </c>
      <c r="D1539" s="17" t="inlineStr">
        <is>
          <t>PERSONAL CARE</t>
        </is>
      </c>
      <c r="E1539" s="17" t="inlineStr">
        <is>
          <t>MEDIUM</t>
        </is>
      </c>
      <c r="F1539" s="17" t="inlineStr">
        <is>
          <t>CAO</t>
        </is>
      </c>
      <c r="G1539" s="18" t="inlineStr">
        <is>
          <t>RISK_MEDIUM</t>
        </is>
      </c>
      <c r="H1539" s="19" t="n">
        <v>3304.231416687011</v>
      </c>
      <c r="I1539" s="19" t="n">
        <v>4210.923917724609</v>
      </c>
      <c r="J1539" s="19" t="n">
        <v>5358.435518859863</v>
      </c>
      <c r="K1539" s="19" t="n">
        <v>4210.923917724609</v>
      </c>
      <c r="L1539" s="19" t="n">
        <v>4928.118668434143</v>
      </c>
      <c r="M1539" s="19" t="n">
        <v>5358.435518859863</v>
      </c>
      <c r="N1539" s="17" t="inlineStr">
        <is>
          <t>C</t>
        </is>
      </c>
      <c r="O1539" s="19" t="n">
        <v>1989.696384680176</v>
      </c>
      <c r="P1539" s="18" t="inlineStr">
        <is>
          <t>KHÔNG ĐỀ XUẤT TĂNG</t>
        </is>
      </c>
      <c r="Q1539" s="17" t="inlineStr">
        <is>
          <t>Không</t>
        </is>
      </c>
      <c r="R1539" s="20" t="n"/>
      <c r="S1539" s="20" t="n"/>
      <c r="T1539" s="21" t="n"/>
      <c r="U1539" s="21" t="n"/>
      <c r="V1539" s="22">
        <f>IF(U1539="A",K1539,IF(U1539="B",L1539,IF(U1539="C",M1539,IF(N1539="A",K1539,IF(N1539="B",L1539,M1539)))))</f>
        <v/>
      </c>
      <c r="W1539" s="22">
        <f>IF(R1539="",O1539,MAX(V1539-R1539-N(S1539),0))</f>
        <v/>
      </c>
      <c r="X1539" s="20" t="n"/>
      <c r="Y1539" s="23">
        <f>IF(OR(X1539="",W1539=0),"",X1539/W1539-1)</f>
        <v/>
      </c>
      <c r="Z1539" s="24" t="n"/>
      <c r="AA1539" s="21" t="n"/>
      <c r="AB1539" s="25" t="n"/>
      <c r="AC1539" s="26">
        <f>IF(T1539="","Chưa quyết định",IF(OR(Z1539="",AA1539=""),"⚠ Thiếu lý do/người duyệt",IF(AND(X1539&lt;&gt;"",N(X1539)+N(R1539)+N(S1539)&gt;M1539*1.001,R1539&lt;&gt;""),"⚠ Vượt mục tiêu P90",IF(AND(Y1539&lt;&gt;"",ABS(N(Y1539))&gt;0.3),"⚠ Lệch &gt; 30% so với nhu cầu",IF(Q1539="Có","ℹ Kiểm tra ngoại suy KM","✓ Hợp lệ")))))</f>
        <v/>
      </c>
    </row>
    <row r="1540">
      <c r="A1540" s="16" t="n">
        <v>1536</v>
      </c>
      <c r="B1540" s="17" t="inlineStr">
        <is>
          <t>DEC-S07-PERSONAL_CARE</t>
        </is>
      </c>
      <c r="C1540" s="16" t="n">
        <v>7</v>
      </c>
      <c r="D1540" s="17" t="inlineStr">
        <is>
          <t>PERSONAL CARE</t>
        </is>
      </c>
      <c r="E1540" s="17" t="inlineStr">
        <is>
          <t>MEDIUM</t>
        </is>
      </c>
      <c r="F1540" s="17" t="inlineStr">
        <is>
          <t>CAO</t>
        </is>
      </c>
      <c r="G1540" s="18" t="inlineStr">
        <is>
          <t>RISK_MEDIUM</t>
        </is>
      </c>
      <c r="H1540" s="19" t="n">
        <v>3312.330594360352</v>
      </c>
      <c r="I1540" s="19" t="n">
        <v>4208.817924438476</v>
      </c>
      <c r="J1540" s="19" t="n">
        <v>5359.096328735352</v>
      </c>
      <c r="K1540" s="19" t="n">
        <v>4208.817924438476</v>
      </c>
      <c r="L1540" s="19" t="n">
        <v>4927.741927124023</v>
      </c>
      <c r="M1540" s="19" t="n">
        <v>5359.096328735352</v>
      </c>
      <c r="N1540" s="17" t="inlineStr">
        <is>
          <t>C</t>
        </is>
      </c>
      <c r="O1540" s="19" t="n">
        <v>1992.04198918457</v>
      </c>
      <c r="P1540" s="18" t="inlineStr">
        <is>
          <t>KHÔNG ĐỀ XUẤT TĂNG</t>
        </is>
      </c>
      <c r="Q1540" s="17" t="inlineStr">
        <is>
          <t>Không</t>
        </is>
      </c>
      <c r="R1540" s="20" t="n"/>
      <c r="S1540" s="20" t="n"/>
      <c r="T1540" s="21" t="n"/>
      <c r="U1540" s="21" t="n"/>
      <c r="V1540" s="22">
        <f>IF(U1540="A",K1540,IF(U1540="B",L1540,IF(U1540="C",M1540,IF(N1540="A",K1540,IF(N1540="B",L1540,M1540)))))</f>
        <v/>
      </c>
      <c r="W1540" s="22">
        <f>IF(R1540="",O1540,MAX(V1540-R1540-N(S1540),0))</f>
        <v/>
      </c>
      <c r="X1540" s="20" t="n"/>
      <c r="Y1540" s="23">
        <f>IF(OR(X1540="",W1540=0),"",X1540/W1540-1)</f>
        <v/>
      </c>
      <c r="Z1540" s="24" t="n"/>
      <c r="AA1540" s="21" t="n"/>
      <c r="AB1540" s="25" t="n"/>
      <c r="AC1540" s="26">
        <f>IF(T1540="","Chưa quyết định",IF(OR(Z1540="",AA1540=""),"⚠ Thiếu lý do/người duyệt",IF(AND(X1540&lt;&gt;"",N(X1540)+N(R1540)+N(S1540)&gt;M1540*1.001,R1540&lt;&gt;""),"⚠ Vượt mục tiêu P90",IF(AND(Y1540&lt;&gt;"",ABS(N(Y1540))&gt;0.3),"⚠ Lệch &gt; 30% so với nhu cầu",IF(Q1540="Có","ℹ Kiểm tra ngoại suy KM","✓ Hợp lệ")))))</f>
        <v/>
      </c>
    </row>
    <row r="1541">
      <c r="A1541" s="16" t="n">
        <v>1537</v>
      </c>
      <c r="B1541" s="17" t="inlineStr">
        <is>
          <t>DEC-S04-HOME_CARE</t>
        </is>
      </c>
      <c r="C1541" s="16" t="n">
        <v>4</v>
      </c>
      <c r="D1541" s="17" t="inlineStr">
        <is>
          <t>HOME CARE</t>
        </is>
      </c>
      <c r="E1541" s="17" t="inlineStr">
        <is>
          <t>MEDIUM</t>
        </is>
      </c>
      <c r="F1541" s="17" t="inlineStr">
        <is>
          <t>CAO</t>
        </is>
      </c>
      <c r="G1541" s="18" t="inlineStr">
        <is>
          <t>RISK_MEDIUM</t>
        </is>
      </c>
      <c r="H1541" s="19" t="n">
        <v>3301.057492553711</v>
      </c>
      <c r="I1541" s="19" t="n">
        <v>4197.544822631836</v>
      </c>
      <c r="J1541" s="19" t="n">
        <v>5347.823226928711</v>
      </c>
      <c r="K1541" s="19" t="n">
        <v>4197.544822631836</v>
      </c>
      <c r="L1541" s="19" t="n">
        <v>4916.468825317383</v>
      </c>
      <c r="M1541" s="19" t="n">
        <v>5347.823226928711</v>
      </c>
      <c r="N1541" s="17" t="inlineStr">
        <is>
          <t>C</t>
        </is>
      </c>
      <c r="O1541" s="19" t="n">
        <v>1989.787368823242</v>
      </c>
      <c r="P1541" s="18" t="inlineStr">
        <is>
          <t>KHÔNG ĐỀ XUẤT TĂNG</t>
        </is>
      </c>
      <c r="Q1541" s="17" t="inlineStr">
        <is>
          <t>Không</t>
        </is>
      </c>
      <c r="R1541" s="20" t="n"/>
      <c r="S1541" s="20" t="n"/>
      <c r="T1541" s="21" t="n"/>
      <c r="U1541" s="21" t="n"/>
      <c r="V1541" s="22">
        <f>IF(U1541="A",K1541,IF(U1541="B",L1541,IF(U1541="C",M1541,IF(N1541="A",K1541,IF(N1541="B",L1541,M1541)))))</f>
        <v/>
      </c>
      <c r="W1541" s="22">
        <f>IF(R1541="",O1541,MAX(V1541-R1541-N(S1541),0))</f>
        <v/>
      </c>
      <c r="X1541" s="20" t="n"/>
      <c r="Y1541" s="23">
        <f>IF(OR(X1541="",W1541=0),"",X1541/W1541-1)</f>
        <v/>
      </c>
      <c r="Z1541" s="24" t="n"/>
      <c r="AA1541" s="21" t="n"/>
      <c r="AB1541" s="25" t="n"/>
      <c r="AC1541" s="26">
        <f>IF(T1541="","Chưa quyết định",IF(OR(Z1541="",AA1541=""),"⚠ Thiếu lý do/người duyệt",IF(AND(X1541&lt;&gt;"",N(X1541)+N(R1541)+N(S1541)&gt;M1541*1.001,R1541&lt;&gt;""),"⚠ Vượt mục tiêu P90",IF(AND(Y1541&lt;&gt;"",ABS(N(Y1541))&gt;0.3),"⚠ Lệch &gt; 30% so với nhu cầu",IF(Q1541="Có","ℹ Kiểm tra ngoại suy KM","✓ Hợp lệ")))))</f>
        <v/>
      </c>
    </row>
    <row r="1542">
      <c r="A1542" s="16" t="n">
        <v>1538</v>
      </c>
      <c r="B1542" s="17" t="inlineStr">
        <is>
          <t>DEC-S33-BREAD_BAKERY</t>
        </is>
      </c>
      <c r="C1542" s="16" t="n">
        <v>33</v>
      </c>
      <c r="D1542" s="17" t="inlineStr">
        <is>
          <t>BREAD/BAKERY</t>
        </is>
      </c>
      <c r="E1542" s="17" t="inlineStr">
        <is>
          <t>MEDIUM</t>
        </is>
      </c>
      <c r="F1542" s="17" t="inlineStr">
        <is>
          <t>CAO</t>
        </is>
      </c>
      <c r="G1542" s="18" t="inlineStr">
        <is>
          <t>RISK_MEDIUM</t>
        </is>
      </c>
      <c r="H1542" s="19" t="n">
        <v>3311.035183410645</v>
      </c>
      <c r="I1542" s="19" t="n">
        <v>4188.762311401367</v>
      </c>
      <c r="J1542" s="19" t="n">
        <v>5310.78179510498</v>
      </c>
      <c r="K1542" s="19" t="n">
        <v>4188.762311401367</v>
      </c>
      <c r="L1542" s="19" t="n">
        <v>4890.024488716125</v>
      </c>
      <c r="M1542" s="19" t="n">
        <v>5310.78179510498</v>
      </c>
      <c r="N1542" s="17" t="inlineStr">
        <is>
          <t>C</t>
        </is>
      </c>
      <c r="O1542" s="19" t="n">
        <v>1959.771945983886</v>
      </c>
      <c r="P1542" s="18" t="inlineStr">
        <is>
          <t>KHÔNG ĐỀ XUẤT TĂNG</t>
        </is>
      </c>
      <c r="Q1542" s="17" t="inlineStr">
        <is>
          <t>Không</t>
        </is>
      </c>
      <c r="R1542" s="20" t="n"/>
      <c r="S1542" s="20" t="n"/>
      <c r="T1542" s="21" t="n"/>
      <c r="U1542" s="21" t="n"/>
      <c r="V1542" s="22">
        <f>IF(U1542="A",K1542,IF(U1542="B",L1542,IF(U1542="C",M1542,IF(N1542="A",K1542,IF(N1542="B",L1542,M1542)))))</f>
        <v/>
      </c>
      <c r="W1542" s="22">
        <f>IF(R1542="",O1542,MAX(V1542-R1542-N(S1542),0))</f>
        <v/>
      </c>
      <c r="X1542" s="20" t="n"/>
      <c r="Y1542" s="23">
        <f>IF(OR(X1542="",W1542=0),"",X1542/W1542-1)</f>
        <v/>
      </c>
      <c r="Z1542" s="24" t="n"/>
      <c r="AA1542" s="21" t="n"/>
      <c r="AB1542" s="25" t="n"/>
      <c r="AC1542" s="26">
        <f>IF(T1542="","Chưa quyết định",IF(OR(Z1542="",AA1542=""),"⚠ Thiếu lý do/người duyệt",IF(AND(X1542&lt;&gt;"",N(X1542)+N(R1542)+N(S1542)&gt;M1542*1.001,R1542&lt;&gt;""),"⚠ Vượt mục tiêu P90",IF(AND(Y1542&lt;&gt;"",ABS(N(Y1542))&gt;0.3),"⚠ Lệch &gt; 30% so với nhu cầu",IF(Q1542="Có","ℹ Kiểm tra ngoại suy KM","✓ Hợp lệ")))))</f>
        <v/>
      </c>
    </row>
    <row r="1543">
      <c r="A1543" s="16" t="n">
        <v>1539</v>
      </c>
      <c r="B1543" s="17" t="inlineStr">
        <is>
          <t>DEC-S54-BREAD_BAKERY</t>
        </is>
      </c>
      <c r="C1543" s="16" t="n">
        <v>54</v>
      </c>
      <c r="D1543" s="17" t="inlineStr">
        <is>
          <t>BREAD/BAKERY</t>
        </is>
      </c>
      <c r="E1543" s="17" t="inlineStr">
        <is>
          <t>MEDIUM</t>
        </is>
      </c>
      <c r="F1543" s="17" t="inlineStr">
        <is>
          <t>CAO</t>
        </is>
      </c>
      <c r="G1543" s="18" t="inlineStr">
        <is>
          <t>RISK_MEDIUM</t>
        </is>
      </c>
      <c r="H1543" s="19" t="n">
        <v>3201.829929016113</v>
      </c>
      <c r="I1543" s="19" t="n">
        <v>4146.042834228516</v>
      </c>
      <c r="J1543" s="19" t="n">
        <v>5350.072276550293</v>
      </c>
      <c r="K1543" s="19" t="n">
        <v>4146.042834228516</v>
      </c>
      <c r="L1543" s="19" t="n">
        <v>4898.561235679626</v>
      </c>
      <c r="M1543" s="19" t="n">
        <v>5350.072276550293</v>
      </c>
      <c r="N1543" s="17" t="inlineStr">
        <is>
          <t>C</t>
        </is>
      </c>
      <c r="O1543" s="19" t="n">
        <v>2033.23800916748</v>
      </c>
      <c r="P1543" s="18" t="inlineStr">
        <is>
          <t>KHÔNG ĐỀ XUẤT TĂNG</t>
        </is>
      </c>
      <c r="Q1543" s="17" t="inlineStr">
        <is>
          <t>Không</t>
        </is>
      </c>
      <c r="R1543" s="20" t="n"/>
      <c r="S1543" s="20" t="n"/>
      <c r="T1543" s="21" t="n"/>
      <c r="U1543" s="21" t="n"/>
      <c r="V1543" s="22">
        <f>IF(U1543="A",K1543,IF(U1543="B",L1543,IF(U1543="C",M1543,IF(N1543="A",K1543,IF(N1543="B",L1543,M1543)))))</f>
        <v/>
      </c>
      <c r="W1543" s="22">
        <f>IF(R1543="",O1543,MAX(V1543-R1543-N(S1543),0))</f>
        <v/>
      </c>
      <c r="X1543" s="20" t="n"/>
      <c r="Y1543" s="23">
        <f>IF(OR(X1543="",W1543=0),"",X1543/W1543-1)</f>
        <v/>
      </c>
      <c r="Z1543" s="24" t="n"/>
      <c r="AA1543" s="21" t="n"/>
      <c r="AB1543" s="25" t="n"/>
      <c r="AC1543" s="26">
        <f>IF(T1543="","Chưa quyết định",IF(OR(Z1543="",AA1543=""),"⚠ Thiếu lý do/người duyệt",IF(AND(X1543&lt;&gt;"",N(X1543)+N(R1543)+N(S1543)&gt;M1543*1.001,R1543&lt;&gt;""),"⚠ Vượt mục tiêu P90",IF(AND(Y1543&lt;&gt;"",ABS(N(Y1543))&gt;0.3),"⚠ Lệch &gt; 30% so với nhu cầu",IF(Q1543="Có","ℹ Kiểm tra ngoại suy KM","✓ Hợp lệ")))))</f>
        <v/>
      </c>
    </row>
    <row r="1544">
      <c r="A1544" s="16" t="n">
        <v>1540</v>
      </c>
      <c r="B1544" s="17" t="inlineStr">
        <is>
          <t>DEC-S03-PREPARED_FOODS</t>
        </is>
      </c>
      <c r="C1544" s="16" t="n">
        <v>3</v>
      </c>
      <c r="D1544" s="17" t="inlineStr">
        <is>
          <t>PREPARED FOODS</t>
        </is>
      </c>
      <c r="E1544" s="17" t="inlineStr">
        <is>
          <t>MEDIUM</t>
        </is>
      </c>
      <c r="F1544" s="17" t="inlineStr">
        <is>
          <t>CAO</t>
        </is>
      </c>
      <c r="G1544" s="18" t="inlineStr">
        <is>
          <t>RISK_MEDIUM</t>
        </is>
      </c>
      <c r="H1544" s="19" t="n">
        <v>3249.416501342773</v>
      </c>
      <c r="I1544" s="19" t="n">
        <v>4145.903831420898</v>
      </c>
      <c r="J1544" s="19" t="n">
        <v>5296.182235717773</v>
      </c>
      <c r="K1544" s="19" t="n">
        <v>4145.903831420898</v>
      </c>
      <c r="L1544" s="19" t="n">
        <v>4864.827834106445</v>
      </c>
      <c r="M1544" s="19" t="n">
        <v>5296.182235717773</v>
      </c>
      <c r="N1544" s="17" t="inlineStr">
        <is>
          <t>C</t>
        </is>
      </c>
      <c r="O1544" s="19" t="n">
        <v>1979.459170581054</v>
      </c>
      <c r="P1544" s="18" t="inlineStr">
        <is>
          <t>CÂN NHẮC THỬ NGHIỆM</t>
        </is>
      </c>
      <c r="Q1544" s="17" t="inlineStr">
        <is>
          <t>Không</t>
        </is>
      </c>
      <c r="R1544" s="20" t="n"/>
      <c r="S1544" s="20" t="n"/>
      <c r="T1544" s="21" t="n"/>
      <c r="U1544" s="21" t="n"/>
      <c r="V1544" s="22">
        <f>IF(U1544="A",K1544,IF(U1544="B",L1544,IF(U1544="C",M1544,IF(N1544="A",K1544,IF(N1544="B",L1544,M1544)))))</f>
        <v/>
      </c>
      <c r="W1544" s="22">
        <f>IF(R1544="",O1544,MAX(V1544-R1544-N(S1544),0))</f>
        <v/>
      </c>
      <c r="X1544" s="20" t="n"/>
      <c r="Y1544" s="23">
        <f>IF(OR(X1544="",W1544=0),"",X1544/W1544-1)</f>
        <v/>
      </c>
      <c r="Z1544" s="24" t="n"/>
      <c r="AA1544" s="21" t="n"/>
      <c r="AB1544" s="25" t="n"/>
      <c r="AC1544" s="26">
        <f>IF(T1544="","Chưa quyết định",IF(OR(Z1544="",AA1544=""),"⚠ Thiếu lý do/người duyệt",IF(AND(X1544&lt;&gt;"",N(X1544)+N(R1544)+N(S1544)&gt;M1544*1.001,R1544&lt;&gt;""),"⚠ Vượt mục tiêu P90",IF(AND(Y1544&lt;&gt;"",ABS(N(Y1544))&gt;0.3),"⚠ Lệch &gt; 30% so với nhu cầu",IF(Q1544="Có","ℹ Kiểm tra ngoại suy KM","✓ Hợp lệ")))))</f>
        <v/>
      </c>
    </row>
    <row r="1545">
      <c r="A1545" s="16" t="n">
        <v>1541</v>
      </c>
      <c r="B1545" s="17" t="inlineStr">
        <is>
          <t>DEC-S39-POULTRY</t>
        </is>
      </c>
      <c r="C1545" s="16" t="n">
        <v>39</v>
      </c>
      <c r="D1545" s="17" t="inlineStr">
        <is>
          <t>POULTRY</t>
        </is>
      </c>
      <c r="E1545" s="17" t="inlineStr">
        <is>
          <t>MEDIUM</t>
        </is>
      </c>
      <c r="F1545" s="17" t="inlineStr">
        <is>
          <t>CAO</t>
        </is>
      </c>
      <c r="G1545" s="18" t="inlineStr">
        <is>
          <t>RISK_MEDIUM</t>
        </is>
      </c>
      <c r="H1545" s="19" t="n">
        <v>3279.945140502929</v>
      </c>
      <c r="I1545" s="19" t="n">
        <v>4138.91206640625</v>
      </c>
      <c r="J1545" s="19" t="n">
        <v>5232.672629516602</v>
      </c>
      <c r="K1545" s="19" t="n">
        <v>4138.91206640625</v>
      </c>
      <c r="L1545" s="19" t="n">
        <v>4822.51241835022</v>
      </c>
      <c r="M1545" s="19" t="n">
        <v>5232.672629516602</v>
      </c>
      <c r="N1545" s="17" t="inlineStr">
        <is>
          <t>C</t>
        </is>
      </c>
      <c r="O1545" s="19" t="n">
        <v>1921.542976391601</v>
      </c>
      <c r="P1545" s="18" t="inlineStr">
        <is>
          <t>CÂN NHẮC THỬ NGHIỆM</t>
        </is>
      </c>
      <c r="Q1545" s="17" t="inlineStr">
        <is>
          <t>Không</t>
        </is>
      </c>
      <c r="R1545" s="20" t="n"/>
      <c r="S1545" s="20" t="n"/>
      <c r="T1545" s="21" t="n"/>
      <c r="U1545" s="21" t="n"/>
      <c r="V1545" s="22">
        <f>IF(U1545="A",K1545,IF(U1545="B",L1545,IF(U1545="C",M1545,IF(N1545="A",K1545,IF(N1545="B",L1545,M1545)))))</f>
        <v/>
      </c>
      <c r="W1545" s="22">
        <f>IF(R1545="",O1545,MAX(V1545-R1545-N(S1545),0))</f>
        <v/>
      </c>
      <c r="X1545" s="20" t="n"/>
      <c r="Y1545" s="23">
        <f>IF(OR(X1545="",W1545=0),"",X1545/W1545-1)</f>
        <v/>
      </c>
      <c r="Z1545" s="24" t="n"/>
      <c r="AA1545" s="21" t="n"/>
      <c r="AB1545" s="25" t="n"/>
      <c r="AC1545" s="26">
        <f>IF(T1545="","Chưa quyết định",IF(OR(Z1545="",AA1545=""),"⚠ Thiếu lý do/người duyệt",IF(AND(X1545&lt;&gt;"",N(X1545)+N(R1545)+N(S1545)&gt;M1545*1.001,R1545&lt;&gt;""),"⚠ Vượt mục tiêu P90",IF(AND(Y1545&lt;&gt;"",ABS(N(Y1545))&gt;0.3),"⚠ Lệch &gt; 30% so với nhu cầu",IF(Q1545="Có","ℹ Kiểm tra ngoại suy KM","✓ Hợp lệ")))))</f>
        <v/>
      </c>
    </row>
    <row r="1546">
      <c r="A1546" s="16" t="n">
        <v>1542</v>
      </c>
      <c r="B1546" s="17" t="inlineStr">
        <is>
          <t>DEC-S18-DELI</t>
        </is>
      </c>
      <c r="C1546" s="16" t="n">
        <v>18</v>
      </c>
      <c r="D1546" s="17" t="inlineStr">
        <is>
          <t>DELI</t>
        </is>
      </c>
      <c r="E1546" s="17" t="inlineStr">
        <is>
          <t>MEDIUM</t>
        </is>
      </c>
      <c r="F1546" s="17" t="inlineStr">
        <is>
          <t>CAO</t>
        </is>
      </c>
      <c r="G1546" s="18" t="inlineStr">
        <is>
          <t>RISK_MEDIUM</t>
        </is>
      </c>
      <c r="H1546" s="19" t="n">
        <v>3268.597942016601</v>
      </c>
      <c r="I1546" s="19" t="n">
        <v>4127.564867919922</v>
      </c>
      <c r="J1546" s="19" t="n">
        <v>5221.325431030274</v>
      </c>
      <c r="K1546" s="19" t="n">
        <v>4127.564867919922</v>
      </c>
      <c r="L1546" s="19" t="n">
        <v>4811.165219863892</v>
      </c>
      <c r="M1546" s="19" t="n">
        <v>5221.325431030274</v>
      </c>
      <c r="N1546" s="17" t="inlineStr">
        <is>
          <t>C</t>
        </is>
      </c>
      <c r="O1546" s="19" t="n">
        <v>1919.273536694336</v>
      </c>
      <c r="P1546" s="18" t="inlineStr">
        <is>
          <t>KHÔNG ĐỀ XUẤT TĂNG</t>
        </is>
      </c>
      <c r="Q1546" s="17" t="inlineStr">
        <is>
          <t>Không</t>
        </is>
      </c>
      <c r="R1546" s="20" t="n"/>
      <c r="S1546" s="20" t="n"/>
      <c r="T1546" s="21" t="n"/>
      <c r="U1546" s="21" t="n"/>
      <c r="V1546" s="22">
        <f>IF(U1546="A",K1546,IF(U1546="B",L1546,IF(U1546="C",M1546,IF(N1546="A",K1546,IF(N1546="B",L1546,M1546)))))</f>
        <v/>
      </c>
      <c r="W1546" s="22">
        <f>IF(R1546="",O1546,MAX(V1546-R1546-N(S1546),0))</f>
        <v/>
      </c>
      <c r="X1546" s="20" t="n"/>
      <c r="Y1546" s="23">
        <f>IF(OR(X1546="",W1546=0),"",X1546/W1546-1)</f>
        <v/>
      </c>
      <c r="Z1546" s="24" t="n"/>
      <c r="AA1546" s="21" t="n"/>
      <c r="AB1546" s="25" t="n"/>
      <c r="AC1546" s="26">
        <f>IF(T1546="","Chưa quyết định",IF(OR(Z1546="",AA1546=""),"⚠ Thiếu lý do/người duyệt",IF(AND(X1546&lt;&gt;"",N(X1546)+N(R1546)+N(S1546)&gt;M1546*1.001,R1546&lt;&gt;""),"⚠ Vượt mục tiêu P90",IF(AND(Y1546&lt;&gt;"",ABS(N(Y1546))&gt;0.3),"⚠ Lệch &gt; 30% so với nhu cầu",IF(Q1546="Có","ℹ Kiểm tra ngoại suy KM","✓ Hợp lệ")))))</f>
        <v/>
      </c>
    </row>
    <row r="1547">
      <c r="A1547" s="16" t="n">
        <v>1543</v>
      </c>
      <c r="B1547" s="17" t="inlineStr">
        <is>
          <t>DEC-S53-PERSONAL_CARE</t>
        </is>
      </c>
      <c r="C1547" s="16" t="n">
        <v>53</v>
      </c>
      <c r="D1547" s="17" t="inlineStr">
        <is>
          <t>PERSONAL CARE</t>
        </is>
      </c>
      <c r="E1547" s="17" t="inlineStr">
        <is>
          <t>MEDIUM</t>
        </is>
      </c>
      <c r="F1547" s="17" t="inlineStr">
        <is>
          <t>CAO</t>
        </is>
      </c>
      <c r="G1547" s="18" t="inlineStr">
        <is>
          <t>RISK_MEDIUM</t>
        </is>
      </c>
      <c r="H1547" s="19" t="n">
        <v>3268.520885131836</v>
      </c>
      <c r="I1547" s="19" t="n">
        <v>4127.487811035156</v>
      </c>
      <c r="J1547" s="19" t="n">
        <v>5221.248374145508</v>
      </c>
      <c r="K1547" s="19" t="n">
        <v>4127.487811035156</v>
      </c>
      <c r="L1547" s="19" t="n">
        <v>4811.088162979127</v>
      </c>
      <c r="M1547" s="19" t="n">
        <v>5221.248374145508</v>
      </c>
      <c r="N1547" s="17" t="inlineStr">
        <is>
          <t>C</t>
        </is>
      </c>
      <c r="O1547" s="19" t="n">
        <v>1919.258125317383</v>
      </c>
      <c r="P1547" s="18" t="inlineStr">
        <is>
          <t>KHÔNG ĐỀ XUẤT TĂNG</t>
        </is>
      </c>
      <c r="Q1547" s="17" t="inlineStr">
        <is>
          <t>Không</t>
        </is>
      </c>
      <c r="R1547" s="20" t="n"/>
      <c r="S1547" s="20" t="n"/>
      <c r="T1547" s="21" t="n"/>
      <c r="U1547" s="21" t="n"/>
      <c r="V1547" s="22">
        <f>IF(U1547="A",K1547,IF(U1547="B",L1547,IF(U1547="C",M1547,IF(N1547="A",K1547,IF(N1547="B",L1547,M1547)))))</f>
        <v/>
      </c>
      <c r="W1547" s="22">
        <f>IF(R1547="",O1547,MAX(V1547-R1547-N(S1547),0))</f>
        <v/>
      </c>
      <c r="X1547" s="20" t="n"/>
      <c r="Y1547" s="23">
        <f>IF(OR(X1547="",W1547=0),"",X1547/W1547-1)</f>
        <v/>
      </c>
      <c r="Z1547" s="24" t="n"/>
      <c r="AA1547" s="21" t="n"/>
      <c r="AB1547" s="25" t="n"/>
      <c r="AC1547" s="26">
        <f>IF(T1547="","Chưa quyết định",IF(OR(Z1547="",AA1547=""),"⚠ Thiếu lý do/người duyệt",IF(AND(X1547&lt;&gt;"",N(X1547)+N(R1547)+N(S1547)&gt;M1547*1.001,R1547&lt;&gt;""),"⚠ Vượt mục tiêu P90",IF(AND(Y1547&lt;&gt;"",ABS(N(Y1547))&gt;0.3),"⚠ Lệch &gt; 30% so với nhu cầu",IF(Q1547="Có","ℹ Kiểm tra ngoại suy KM","✓ Hợp lệ")))))</f>
        <v/>
      </c>
    </row>
    <row r="1548">
      <c r="A1548" s="16" t="n">
        <v>1544</v>
      </c>
      <c r="B1548" s="17" t="inlineStr">
        <is>
          <t>DEC-S32-PRODUCE</t>
        </is>
      </c>
      <c r="C1548" s="16" t="n">
        <v>32</v>
      </c>
      <c r="D1548" s="17" t="inlineStr">
        <is>
          <t>PRODUCE</t>
        </is>
      </c>
      <c r="E1548" s="17" t="inlineStr">
        <is>
          <t>MEDIUM</t>
        </is>
      </c>
      <c r="F1548" s="17" t="inlineStr">
        <is>
          <t>CAO</t>
        </is>
      </c>
      <c r="G1548" s="18" t="inlineStr">
        <is>
          <t>RISK_MEDIUM</t>
        </is>
      </c>
      <c r="H1548" s="19" t="n">
        <v>3194.704195800781</v>
      </c>
      <c r="I1548" s="19" t="n">
        <v>4120.156898925781</v>
      </c>
      <c r="J1548" s="19" t="n">
        <v>5295.927420654297</v>
      </c>
      <c r="K1548" s="19" t="n">
        <v>4120.156898925781</v>
      </c>
      <c r="L1548" s="19" t="n">
        <v>4855.013475006103</v>
      </c>
      <c r="M1548" s="19" t="n">
        <v>5295.927420654297</v>
      </c>
      <c r="N1548" s="17" t="inlineStr">
        <is>
          <t>C</t>
        </is>
      </c>
      <c r="O1548" s="19" t="n">
        <v>1999.801901513672</v>
      </c>
      <c r="P1548" s="18" t="inlineStr">
        <is>
          <t>KHÔNG ĐỀ XUẤT TĂNG</t>
        </is>
      </c>
      <c r="Q1548" s="17" t="inlineStr">
        <is>
          <t>Không</t>
        </is>
      </c>
      <c r="R1548" s="20" t="n"/>
      <c r="S1548" s="20" t="n"/>
      <c r="T1548" s="21" t="n"/>
      <c r="U1548" s="21" t="n"/>
      <c r="V1548" s="22">
        <f>IF(U1548="A",K1548,IF(U1548="B",L1548,IF(U1548="C",M1548,IF(N1548="A",K1548,IF(N1548="B",L1548,M1548)))))</f>
        <v/>
      </c>
      <c r="W1548" s="22">
        <f>IF(R1548="",O1548,MAX(V1548-R1548-N(S1548),0))</f>
        <v/>
      </c>
      <c r="X1548" s="20" t="n"/>
      <c r="Y1548" s="23">
        <f>IF(OR(X1548="",W1548=0),"",X1548/W1548-1)</f>
        <v/>
      </c>
      <c r="Z1548" s="24" t="n"/>
      <c r="AA1548" s="21" t="n"/>
      <c r="AB1548" s="25" t="n"/>
      <c r="AC1548" s="26">
        <f>IF(T1548="","Chưa quyết định",IF(OR(Z1548="",AA1548=""),"⚠ Thiếu lý do/người duyệt",IF(AND(X1548&lt;&gt;"",N(X1548)+N(R1548)+N(S1548)&gt;M1548*1.001,R1548&lt;&gt;""),"⚠ Vượt mục tiêu P90",IF(AND(Y1548&lt;&gt;"",ABS(N(Y1548))&gt;0.3),"⚠ Lệch &gt; 30% so với nhu cầu",IF(Q1548="Có","ℹ Kiểm tra ngoại suy KM","✓ Hợp lệ")))))</f>
        <v/>
      </c>
    </row>
    <row r="1549">
      <c r="A1549" s="16" t="n">
        <v>1545</v>
      </c>
      <c r="B1549" s="17" t="inlineStr">
        <is>
          <t>DEC-S39-DELI</t>
        </is>
      </c>
      <c r="C1549" s="16" t="n">
        <v>39</v>
      </c>
      <c r="D1549" s="17" t="inlineStr">
        <is>
          <t>DELI</t>
        </is>
      </c>
      <c r="E1549" s="17" t="inlineStr">
        <is>
          <t>MEDIUM</t>
        </is>
      </c>
      <c r="F1549" s="17" t="inlineStr">
        <is>
          <t>CAO</t>
        </is>
      </c>
      <c r="G1549" s="18" t="inlineStr">
        <is>
          <t>RISK_MEDIUM</t>
        </is>
      </c>
      <c r="H1549" s="19" t="n">
        <v>3238.965191345215</v>
      </c>
      <c r="I1549" s="19" t="n">
        <v>4116.692319335937</v>
      </c>
      <c r="J1549" s="19" t="n">
        <v>5238.71180303955</v>
      </c>
      <c r="K1549" s="19" t="n">
        <v>4116.692319335937</v>
      </c>
      <c r="L1549" s="19" t="n">
        <v>4817.954496650696</v>
      </c>
      <c r="M1549" s="19" t="n">
        <v>5238.71180303955</v>
      </c>
      <c r="N1549" s="17" t="inlineStr">
        <is>
          <t>C</t>
        </is>
      </c>
      <c r="O1549" s="19" t="n">
        <v>1945.357947570801</v>
      </c>
      <c r="P1549" s="18" t="inlineStr">
        <is>
          <t>KHÔNG ĐỀ XUẤT TĂNG</t>
        </is>
      </c>
      <c r="Q1549" s="17" t="inlineStr">
        <is>
          <t>Không</t>
        </is>
      </c>
      <c r="R1549" s="20" t="n"/>
      <c r="S1549" s="20" t="n"/>
      <c r="T1549" s="21" t="n"/>
      <c r="U1549" s="21" t="n"/>
      <c r="V1549" s="22">
        <f>IF(U1549="A",K1549,IF(U1549="B",L1549,IF(U1549="C",M1549,IF(N1549="A",K1549,IF(N1549="B",L1549,M1549)))))</f>
        <v/>
      </c>
      <c r="W1549" s="22">
        <f>IF(R1549="",O1549,MAX(V1549-R1549-N(S1549),0))</f>
        <v/>
      </c>
      <c r="X1549" s="20" t="n"/>
      <c r="Y1549" s="23">
        <f>IF(OR(X1549="",W1549=0),"",X1549/W1549-1)</f>
        <v/>
      </c>
      <c r="Z1549" s="24" t="n"/>
      <c r="AA1549" s="21" t="n"/>
      <c r="AB1549" s="25" t="n"/>
      <c r="AC1549" s="26">
        <f>IF(T1549="","Chưa quyết định",IF(OR(Z1549="",AA1549=""),"⚠ Thiếu lý do/người duyệt",IF(AND(X1549&lt;&gt;"",N(X1549)+N(R1549)+N(S1549)&gt;M1549*1.001,R1549&lt;&gt;""),"⚠ Vượt mục tiêu P90",IF(AND(Y1549&lt;&gt;"",ABS(N(Y1549))&gt;0.3),"⚠ Lệch &gt; 30% so với nhu cầu",IF(Q1549="Có","ℹ Kiểm tra ngoại suy KM","✓ Hợp lệ")))))</f>
        <v/>
      </c>
    </row>
    <row r="1550">
      <c r="A1550" s="16" t="n">
        <v>1546</v>
      </c>
      <c r="B1550" s="17" t="inlineStr">
        <is>
          <t>DEC-S42-POULTRY</t>
        </is>
      </c>
      <c r="C1550" s="16" t="n">
        <v>42</v>
      </c>
      <c r="D1550" s="17" t="inlineStr">
        <is>
          <t>POULTRY</t>
        </is>
      </c>
      <c r="E1550" s="17" t="inlineStr">
        <is>
          <t>MEDIUM</t>
        </is>
      </c>
      <c r="F1550" s="17" t="inlineStr">
        <is>
          <t>CAO</t>
        </is>
      </c>
      <c r="G1550" s="18" t="inlineStr">
        <is>
          <t>RISK_MEDIUM</t>
        </is>
      </c>
      <c r="H1550" s="19" t="n">
        <v>3232.616497497559</v>
      </c>
      <c r="I1550" s="19" t="n">
        <v>4110.343625488281</v>
      </c>
      <c r="J1550" s="19" t="n">
        <v>5232.363109191894</v>
      </c>
      <c r="K1550" s="19" t="n">
        <v>4110.343625488281</v>
      </c>
      <c r="L1550" s="19" t="n">
        <v>4811.605802803039</v>
      </c>
      <c r="M1550" s="19" t="n">
        <v>5232.363109191894</v>
      </c>
      <c r="N1550" s="17" t="inlineStr">
        <is>
          <t>C</t>
        </is>
      </c>
      <c r="O1550" s="19" t="n">
        <v>1944.088208801269</v>
      </c>
      <c r="P1550" s="18" t="inlineStr">
        <is>
          <t>CÂN NHẮC THỬ NGHIỆM</t>
        </is>
      </c>
      <c r="Q1550" s="17" t="inlineStr">
        <is>
          <t>Không</t>
        </is>
      </c>
      <c r="R1550" s="20" t="n"/>
      <c r="S1550" s="20" t="n"/>
      <c r="T1550" s="21" t="n"/>
      <c r="U1550" s="21" t="n"/>
      <c r="V1550" s="22">
        <f>IF(U1550="A",K1550,IF(U1550="B",L1550,IF(U1550="C",M1550,IF(N1550="A",K1550,IF(N1550="B",L1550,M1550)))))</f>
        <v/>
      </c>
      <c r="W1550" s="22">
        <f>IF(R1550="",O1550,MAX(V1550-R1550-N(S1550),0))</f>
        <v/>
      </c>
      <c r="X1550" s="20" t="n"/>
      <c r="Y1550" s="23">
        <f>IF(OR(X1550="",W1550=0),"",X1550/W1550-1)</f>
        <v/>
      </c>
      <c r="Z1550" s="24" t="n"/>
      <c r="AA1550" s="21" t="n"/>
      <c r="AB1550" s="25" t="n"/>
      <c r="AC1550" s="26">
        <f>IF(T1550="","Chưa quyết định",IF(OR(Z1550="",AA1550=""),"⚠ Thiếu lý do/người duyệt",IF(AND(X1550&lt;&gt;"",N(X1550)+N(R1550)+N(S1550)&gt;M1550*1.001,R1550&lt;&gt;""),"⚠ Vượt mục tiêu P90",IF(AND(Y1550&lt;&gt;"",ABS(N(Y1550))&gt;0.3),"⚠ Lệch &gt; 30% so với nhu cầu",IF(Q1550="Có","ℹ Kiểm tra ngoại suy KM","✓ Hợp lệ")))))</f>
        <v/>
      </c>
    </row>
    <row r="1551">
      <c r="A1551" s="16" t="n">
        <v>1547</v>
      </c>
      <c r="B1551" s="17" t="inlineStr">
        <is>
          <t>DEC-S43-HOME_CARE</t>
        </is>
      </c>
      <c r="C1551" s="16" t="n">
        <v>43</v>
      </c>
      <c r="D1551" s="17" t="inlineStr">
        <is>
          <t>HOME CARE</t>
        </is>
      </c>
      <c r="E1551" s="17" t="inlineStr">
        <is>
          <t>MEDIUM</t>
        </is>
      </c>
      <c r="F1551" s="17" t="inlineStr">
        <is>
          <t>CAO</t>
        </is>
      </c>
      <c r="G1551" s="18" t="inlineStr">
        <is>
          <t>RISK_MEDIUM</t>
        </is>
      </c>
      <c r="H1551" s="19" t="n">
        <v>3223.983211975098</v>
      </c>
      <c r="I1551" s="19" t="n">
        <v>4101.71033996582</v>
      </c>
      <c r="J1551" s="19" t="n">
        <v>5223.729823669433</v>
      </c>
      <c r="K1551" s="19" t="n">
        <v>4101.71033996582</v>
      </c>
      <c r="L1551" s="19" t="n">
        <v>4802.972517280578</v>
      </c>
      <c r="M1551" s="19" t="n">
        <v>5223.729823669433</v>
      </c>
      <c r="N1551" s="17" t="inlineStr">
        <is>
          <t>C</t>
        </is>
      </c>
      <c r="O1551" s="19" t="n">
        <v>1942.361551696777</v>
      </c>
      <c r="P1551" s="18" t="inlineStr">
        <is>
          <t>KHÔNG ĐỀ XUẤT TĂNG</t>
        </is>
      </c>
      <c r="Q1551" s="17" t="inlineStr">
        <is>
          <t>Không</t>
        </is>
      </c>
      <c r="R1551" s="20" t="n"/>
      <c r="S1551" s="20" t="n"/>
      <c r="T1551" s="21" t="n"/>
      <c r="U1551" s="21" t="n"/>
      <c r="V1551" s="22">
        <f>IF(U1551="A",K1551,IF(U1551="B",L1551,IF(U1551="C",M1551,IF(N1551="A",K1551,IF(N1551="B",L1551,M1551)))))</f>
        <v/>
      </c>
      <c r="W1551" s="22">
        <f>IF(R1551="",O1551,MAX(V1551-R1551-N(S1551),0))</f>
        <v/>
      </c>
      <c r="X1551" s="20" t="n"/>
      <c r="Y1551" s="23">
        <f>IF(OR(X1551="",W1551=0),"",X1551/W1551-1)</f>
        <v/>
      </c>
      <c r="Z1551" s="24" t="n"/>
      <c r="AA1551" s="21" t="n"/>
      <c r="AB1551" s="25" t="n"/>
      <c r="AC1551" s="26">
        <f>IF(T1551="","Chưa quyết định",IF(OR(Z1551="",AA1551=""),"⚠ Thiếu lý do/người duyệt",IF(AND(X1551&lt;&gt;"",N(X1551)+N(R1551)+N(S1551)&gt;M1551*1.001,R1551&lt;&gt;""),"⚠ Vượt mục tiêu P90",IF(AND(Y1551&lt;&gt;"",ABS(N(Y1551))&gt;0.3),"⚠ Lệch &gt; 30% so với nhu cầu",IF(Q1551="Có","ℹ Kiểm tra ngoại suy KM","✓ Hợp lệ")))))</f>
        <v/>
      </c>
    </row>
    <row r="1552">
      <c r="A1552" s="16" t="n">
        <v>1548</v>
      </c>
      <c r="B1552" s="17" t="inlineStr">
        <is>
          <t>DEC-S42-PERSONAL_CARE</t>
        </is>
      </c>
      <c r="C1552" s="16" t="n">
        <v>42</v>
      </c>
      <c r="D1552" s="17" t="inlineStr">
        <is>
          <t>PERSONAL CARE</t>
        </is>
      </c>
      <c r="E1552" s="17" t="inlineStr">
        <is>
          <t>MEDIUM</t>
        </is>
      </c>
      <c r="F1552" s="17" t="inlineStr">
        <is>
          <t>CAO</t>
        </is>
      </c>
      <c r="G1552" s="18" t="inlineStr">
        <is>
          <t>RISK_MEDIUM</t>
        </is>
      </c>
      <c r="H1552" s="19" t="n">
        <v>3216.963283996582</v>
      </c>
      <c r="I1552" s="19" t="n">
        <v>4094.690411987305</v>
      </c>
      <c r="J1552" s="19" t="n">
        <v>5216.709895690918</v>
      </c>
      <c r="K1552" s="19" t="n">
        <v>4094.690411987305</v>
      </c>
      <c r="L1552" s="19" t="n">
        <v>4795.952589302063</v>
      </c>
      <c r="M1552" s="19" t="n">
        <v>5216.709895690918</v>
      </c>
      <c r="N1552" s="17" t="inlineStr">
        <is>
          <t>C</t>
        </is>
      </c>
      <c r="O1552" s="19" t="n">
        <v>1940.957566101074</v>
      </c>
      <c r="P1552" s="18" t="inlineStr">
        <is>
          <t>KHÔNG ĐỀ XUẤT TĂNG</t>
        </is>
      </c>
      <c r="Q1552" s="17" t="inlineStr">
        <is>
          <t>Không</t>
        </is>
      </c>
      <c r="R1552" s="20" t="n"/>
      <c r="S1552" s="20" t="n"/>
      <c r="T1552" s="21" t="n"/>
      <c r="U1552" s="21" t="n"/>
      <c r="V1552" s="22">
        <f>IF(U1552="A",K1552,IF(U1552="B",L1552,IF(U1552="C",M1552,IF(N1552="A",K1552,IF(N1552="B",L1552,M1552)))))</f>
        <v/>
      </c>
      <c r="W1552" s="22">
        <f>IF(R1552="",O1552,MAX(V1552-R1552-N(S1552),0))</f>
        <v/>
      </c>
      <c r="X1552" s="20" t="n"/>
      <c r="Y1552" s="23">
        <f>IF(OR(X1552="",W1552=0),"",X1552/W1552-1)</f>
        <v/>
      </c>
      <c r="Z1552" s="24" t="n"/>
      <c r="AA1552" s="21" t="n"/>
      <c r="AB1552" s="25" t="n"/>
      <c r="AC1552" s="26">
        <f>IF(T1552="","Chưa quyết định",IF(OR(Z1552="",AA1552=""),"⚠ Thiếu lý do/người duyệt",IF(AND(X1552&lt;&gt;"",N(X1552)+N(R1552)+N(S1552)&gt;M1552*1.001,R1552&lt;&gt;""),"⚠ Vượt mục tiêu P90",IF(AND(Y1552&lt;&gt;"",ABS(N(Y1552))&gt;0.3),"⚠ Lệch &gt; 30% so với nhu cầu",IF(Q1552="Có","ℹ Kiểm tra ngoại suy KM","✓ Hợp lệ")))))</f>
        <v/>
      </c>
    </row>
    <row r="1553">
      <c r="A1553" s="16" t="n">
        <v>1549</v>
      </c>
      <c r="B1553" s="17" t="inlineStr">
        <is>
          <t>DEC-S29-EGGS</t>
        </is>
      </c>
      <c r="C1553" s="16" t="n">
        <v>29</v>
      </c>
      <c r="D1553" s="17" t="inlineStr">
        <is>
          <t>EGGS</t>
        </is>
      </c>
      <c r="E1553" s="17" t="inlineStr">
        <is>
          <t>MEDIUM</t>
        </is>
      </c>
      <c r="F1553" s="17" t="inlineStr">
        <is>
          <t>CAO</t>
        </is>
      </c>
      <c r="G1553" s="18" t="inlineStr">
        <is>
          <t>RISK_MEDIUM</t>
        </is>
      </c>
      <c r="H1553" s="19" t="n">
        <v>3169.087240844727</v>
      </c>
      <c r="I1553" s="19" t="n">
        <v>4085.984912841797</v>
      </c>
      <c r="J1553" s="19" t="n">
        <v>5230.72971081543</v>
      </c>
      <c r="K1553" s="19" t="n">
        <v>4085.984912841797</v>
      </c>
      <c r="L1553" s="19" t="n">
        <v>4801.450411575317</v>
      </c>
      <c r="M1553" s="19" t="n">
        <v>5230.72971081543</v>
      </c>
      <c r="N1553" s="17" t="inlineStr">
        <is>
          <t>C</t>
        </is>
      </c>
      <c r="O1553" s="19" t="n">
        <v>1961.941780541992</v>
      </c>
      <c r="P1553" s="18" t="inlineStr">
        <is>
          <t>CÂN NHẮC THỬ NGHIỆM</t>
        </is>
      </c>
      <c r="Q1553" s="17" t="inlineStr">
        <is>
          <t>Không</t>
        </is>
      </c>
      <c r="R1553" s="20" t="n"/>
      <c r="S1553" s="20" t="n"/>
      <c r="T1553" s="21" t="n"/>
      <c r="U1553" s="21" t="n"/>
      <c r="V1553" s="22">
        <f>IF(U1553="A",K1553,IF(U1553="B",L1553,IF(U1553="C",M1553,IF(N1553="A",K1553,IF(N1553="B",L1553,M1553)))))</f>
        <v/>
      </c>
      <c r="W1553" s="22">
        <f>IF(R1553="",O1553,MAX(V1553-R1553-N(S1553),0))</f>
        <v/>
      </c>
      <c r="X1553" s="20" t="n"/>
      <c r="Y1553" s="23">
        <f>IF(OR(X1553="",W1553=0),"",X1553/W1553-1)</f>
        <v/>
      </c>
      <c r="Z1553" s="24" t="n"/>
      <c r="AA1553" s="21" t="n"/>
      <c r="AB1553" s="25" t="n"/>
      <c r="AC1553" s="26">
        <f>IF(T1553="","Chưa quyết định",IF(OR(Z1553="",AA1553=""),"⚠ Thiếu lý do/người duyệt",IF(AND(X1553&lt;&gt;"",N(X1553)+N(R1553)+N(S1553)&gt;M1553*1.001,R1553&lt;&gt;""),"⚠ Vượt mục tiêu P90",IF(AND(Y1553&lt;&gt;"",ABS(N(Y1553))&gt;0.3),"⚠ Lệch &gt; 30% so với nhu cầu",IF(Q1553="Có","ℹ Kiểm tra ngoại suy KM","✓ Hợp lệ")))))</f>
        <v/>
      </c>
    </row>
    <row r="1554">
      <c r="A1554" s="16" t="n">
        <v>1550</v>
      </c>
      <c r="B1554" s="17" t="inlineStr">
        <is>
          <t>DEC-S45-PREPARED_FOODS</t>
        </is>
      </c>
      <c r="C1554" s="16" t="n">
        <v>45</v>
      </c>
      <c r="D1554" s="17" t="inlineStr">
        <is>
          <t>PREPARED FOODS</t>
        </is>
      </c>
      <c r="E1554" s="17" t="inlineStr">
        <is>
          <t>MEDIUM</t>
        </is>
      </c>
      <c r="F1554" s="17" t="inlineStr">
        <is>
          <t>CAO</t>
        </is>
      </c>
      <c r="G1554" s="18" t="inlineStr">
        <is>
          <t>RISK_MEDIUM</t>
        </is>
      </c>
      <c r="H1554" s="19" t="n">
        <v>3213.50144543457</v>
      </c>
      <c r="I1554" s="19" t="n">
        <v>4072.468371337889</v>
      </c>
      <c r="J1554" s="19" t="n">
        <v>5166.228934448242</v>
      </c>
      <c r="K1554" s="19" t="n">
        <v>4072.468371337889</v>
      </c>
      <c r="L1554" s="19" t="n">
        <v>4756.06872328186</v>
      </c>
      <c r="M1554" s="19" t="n">
        <v>5166.228934448242</v>
      </c>
      <c r="N1554" s="17" t="inlineStr">
        <is>
          <t>C</t>
        </is>
      </c>
      <c r="O1554" s="19" t="n">
        <v>1908.25423737793</v>
      </c>
      <c r="P1554" s="18" t="inlineStr">
        <is>
          <t>CÂN NHẮC THỬ NGHIỆM</t>
        </is>
      </c>
      <c r="Q1554" s="17" t="inlineStr">
        <is>
          <t>Không</t>
        </is>
      </c>
      <c r="R1554" s="20" t="n"/>
      <c r="S1554" s="20" t="n"/>
      <c r="T1554" s="21" t="n"/>
      <c r="U1554" s="21" t="n"/>
      <c r="V1554" s="22">
        <f>IF(U1554="A",K1554,IF(U1554="B",L1554,IF(U1554="C",M1554,IF(N1554="A",K1554,IF(N1554="B",L1554,M1554)))))</f>
        <v/>
      </c>
      <c r="W1554" s="22">
        <f>IF(R1554="",O1554,MAX(V1554-R1554-N(S1554),0))</f>
        <v/>
      </c>
      <c r="X1554" s="20" t="n"/>
      <c r="Y1554" s="23">
        <f>IF(OR(X1554="",W1554=0),"",X1554/W1554-1)</f>
        <v/>
      </c>
      <c r="Z1554" s="24" t="n"/>
      <c r="AA1554" s="21" t="n"/>
      <c r="AB1554" s="25" t="n"/>
      <c r="AC1554" s="26">
        <f>IF(T1554="","Chưa quyết định",IF(OR(Z1554="",AA1554=""),"⚠ Thiếu lý do/người duyệt",IF(AND(X1554&lt;&gt;"",N(X1554)+N(R1554)+N(S1554)&gt;M1554*1.001,R1554&lt;&gt;""),"⚠ Vượt mục tiêu P90",IF(AND(Y1554&lt;&gt;"",ABS(N(Y1554))&gt;0.3),"⚠ Lệch &gt; 30% so với nhu cầu",IF(Q1554="Có","ℹ Kiểm tra ngoại suy KM","✓ Hợp lệ")))))</f>
        <v/>
      </c>
    </row>
    <row r="1555">
      <c r="A1555" s="16" t="n">
        <v>1551</v>
      </c>
      <c r="B1555" s="17" t="inlineStr">
        <is>
          <t>DEC-S05-MEATS</t>
        </is>
      </c>
      <c r="C1555" s="16" t="n">
        <v>5</v>
      </c>
      <c r="D1555" s="17" t="inlineStr">
        <is>
          <t>MEATS</t>
        </is>
      </c>
      <c r="E1555" s="17" t="inlineStr">
        <is>
          <t>MEDIUM</t>
        </is>
      </c>
      <c r="F1555" s="17" t="inlineStr">
        <is>
          <t>CAO</t>
        </is>
      </c>
      <c r="G1555" s="18" t="inlineStr">
        <is>
          <t>RISK_MEDIUM</t>
        </is>
      </c>
      <c r="H1555" s="19" t="n">
        <v>3174.693661987304</v>
      </c>
      <c r="I1555" s="19" t="n">
        <v>4071.18099206543</v>
      </c>
      <c r="J1555" s="19" t="n">
        <v>5221.459396362305</v>
      </c>
      <c r="K1555" s="19" t="n">
        <v>4071.18099206543</v>
      </c>
      <c r="L1555" s="19" t="n">
        <v>4790.104994750976</v>
      </c>
      <c r="M1555" s="19" t="n">
        <v>5221.459396362305</v>
      </c>
      <c r="N1555" s="17" t="inlineStr">
        <is>
          <t>C</t>
        </is>
      </c>
      <c r="O1555" s="19" t="n">
        <v>1964.514602709961</v>
      </c>
      <c r="P1555" s="18" t="inlineStr">
        <is>
          <t>CÂN NHẮC THỬ NGHIỆM</t>
        </is>
      </c>
      <c r="Q1555" s="17" t="inlineStr">
        <is>
          <t>Không</t>
        </is>
      </c>
      <c r="R1555" s="20" t="n"/>
      <c r="S1555" s="20" t="n"/>
      <c r="T1555" s="21" t="n"/>
      <c r="U1555" s="21" t="n"/>
      <c r="V1555" s="22">
        <f>IF(U1555="A",K1555,IF(U1555="B",L1555,IF(U1555="C",M1555,IF(N1555="A",K1555,IF(N1555="B",L1555,M1555)))))</f>
        <v/>
      </c>
      <c r="W1555" s="22">
        <f>IF(R1555="",O1555,MAX(V1555-R1555-N(S1555),0))</f>
        <v/>
      </c>
      <c r="X1555" s="20" t="n"/>
      <c r="Y1555" s="23">
        <f>IF(OR(X1555="",W1555=0),"",X1555/W1555-1)</f>
        <v/>
      </c>
      <c r="Z1555" s="24" t="n"/>
      <c r="AA1555" s="21" t="n"/>
      <c r="AB1555" s="25" t="n"/>
      <c r="AC1555" s="26">
        <f>IF(T1555="","Chưa quyết định",IF(OR(Z1555="",AA1555=""),"⚠ Thiếu lý do/người duyệt",IF(AND(X1555&lt;&gt;"",N(X1555)+N(R1555)+N(S1555)&gt;M1555*1.001,R1555&lt;&gt;""),"⚠ Vượt mục tiêu P90",IF(AND(Y1555&lt;&gt;"",ABS(N(Y1555))&gt;0.3),"⚠ Lệch &gt; 30% so với nhu cầu",IF(Q1555="Có","ℹ Kiểm tra ngoại suy KM","✓ Hợp lệ")))))</f>
        <v/>
      </c>
    </row>
    <row r="1556">
      <c r="A1556" s="16" t="n">
        <v>1552</v>
      </c>
      <c r="B1556" s="17" t="inlineStr">
        <is>
          <t>DEC-S27-EGGS</t>
        </is>
      </c>
      <c r="C1556" s="16" t="n">
        <v>27</v>
      </c>
      <c r="D1556" s="17" t="inlineStr">
        <is>
          <t>EGGS</t>
        </is>
      </c>
      <c r="E1556" s="17" t="inlineStr">
        <is>
          <t>MEDIUM</t>
        </is>
      </c>
      <c r="F1556" s="17" t="inlineStr">
        <is>
          <t>CAO</t>
        </is>
      </c>
      <c r="G1556" s="18" t="inlineStr">
        <is>
          <t>RISK_MEDIUM</t>
        </is>
      </c>
      <c r="H1556" s="19" t="n">
        <v>3229.559168640137</v>
      </c>
      <c r="I1556" s="19" t="n">
        <v>4069.765892456055</v>
      </c>
      <c r="J1556" s="19" t="n">
        <v>5135.267534973144</v>
      </c>
      <c r="K1556" s="19" t="n">
        <v>4069.765892456055</v>
      </c>
      <c r="L1556" s="19" t="n">
        <v>4735.704419029236</v>
      </c>
      <c r="M1556" s="19" t="n">
        <v>5135.267534973144</v>
      </c>
      <c r="N1556" s="17" t="inlineStr">
        <is>
          <t>C</t>
        </is>
      </c>
      <c r="O1556" s="19" t="n">
        <v>1879.4548210083</v>
      </c>
      <c r="P1556" s="18" t="inlineStr">
        <is>
          <t>CÂN NHẮC THỬ NGHIỆM</t>
        </is>
      </c>
      <c r="Q1556" s="17" t="inlineStr">
        <is>
          <t>Không</t>
        </is>
      </c>
      <c r="R1556" s="20" t="n"/>
      <c r="S1556" s="20" t="n"/>
      <c r="T1556" s="21" t="n"/>
      <c r="U1556" s="21" t="n"/>
      <c r="V1556" s="22">
        <f>IF(U1556="A",K1556,IF(U1556="B",L1556,IF(U1556="C",M1556,IF(N1556="A",K1556,IF(N1556="B",L1556,M1556)))))</f>
        <v/>
      </c>
      <c r="W1556" s="22">
        <f>IF(R1556="",O1556,MAX(V1556-R1556-N(S1556),0))</f>
        <v/>
      </c>
      <c r="X1556" s="20" t="n"/>
      <c r="Y1556" s="23">
        <f>IF(OR(X1556="",W1556=0),"",X1556/W1556-1)</f>
        <v/>
      </c>
      <c r="Z1556" s="24" t="n"/>
      <c r="AA1556" s="21" t="n"/>
      <c r="AB1556" s="25" t="n"/>
      <c r="AC1556" s="26">
        <f>IF(T1556="","Chưa quyết định",IF(OR(Z1556="",AA1556=""),"⚠ Thiếu lý do/người duyệt",IF(AND(X1556&lt;&gt;"",N(X1556)+N(R1556)+N(S1556)&gt;M1556*1.001,R1556&lt;&gt;""),"⚠ Vượt mục tiêu P90",IF(AND(Y1556&lt;&gt;"",ABS(N(Y1556))&gt;0.3),"⚠ Lệch &gt; 30% so với nhu cầu",IF(Q1556="Có","ℹ Kiểm tra ngoại suy KM","✓ Hợp lệ")))))</f>
        <v/>
      </c>
    </row>
    <row r="1557">
      <c r="A1557" s="16" t="n">
        <v>1553</v>
      </c>
      <c r="B1557" s="17" t="inlineStr">
        <is>
          <t>DEC-S05-PERSONAL_CARE</t>
        </is>
      </c>
      <c r="C1557" s="16" t="n">
        <v>5</v>
      </c>
      <c r="D1557" s="17" t="inlineStr">
        <is>
          <t>PERSONAL CARE</t>
        </is>
      </c>
      <c r="E1557" s="17" t="inlineStr">
        <is>
          <t>MEDIUM</t>
        </is>
      </c>
      <c r="F1557" s="17" t="inlineStr">
        <is>
          <t>CAO</t>
        </is>
      </c>
      <c r="G1557" s="18" t="inlineStr">
        <is>
          <t>RISK_MEDIUM</t>
        </is>
      </c>
      <c r="H1557" s="19" t="n">
        <v>3166.416104614258</v>
      </c>
      <c r="I1557" s="19" t="n">
        <v>4062.903434692383</v>
      </c>
      <c r="J1557" s="19" t="n">
        <v>5213.181838989258</v>
      </c>
      <c r="K1557" s="19" t="n">
        <v>4062.903434692383</v>
      </c>
      <c r="L1557" s="19" t="n">
        <v>4781.82743737793</v>
      </c>
      <c r="M1557" s="19" t="n">
        <v>5213.181838989258</v>
      </c>
      <c r="N1557" s="17" t="inlineStr">
        <is>
          <t>C</t>
        </is>
      </c>
      <c r="O1557" s="19" t="n">
        <v>1962.859091235352</v>
      </c>
      <c r="P1557" s="18" t="inlineStr">
        <is>
          <t>KHÔNG ĐỀ XUẤT TĂNG</t>
        </is>
      </c>
      <c r="Q1557" s="17" t="inlineStr">
        <is>
          <t>Không</t>
        </is>
      </c>
      <c r="R1557" s="20" t="n"/>
      <c r="S1557" s="20" t="n"/>
      <c r="T1557" s="21" t="n"/>
      <c r="U1557" s="21" t="n"/>
      <c r="V1557" s="22">
        <f>IF(U1557="A",K1557,IF(U1557="B",L1557,IF(U1557="C",M1557,IF(N1557="A",K1557,IF(N1557="B",L1557,M1557)))))</f>
        <v/>
      </c>
      <c r="W1557" s="22">
        <f>IF(R1557="",O1557,MAX(V1557-R1557-N(S1557),0))</f>
        <v/>
      </c>
      <c r="X1557" s="20" t="n"/>
      <c r="Y1557" s="23">
        <f>IF(OR(X1557="",W1557=0),"",X1557/W1557-1)</f>
        <v/>
      </c>
      <c r="Z1557" s="24" t="n"/>
      <c r="AA1557" s="21" t="n"/>
      <c r="AB1557" s="25" t="n"/>
      <c r="AC1557" s="26">
        <f>IF(T1557="","Chưa quyết định",IF(OR(Z1557="",AA1557=""),"⚠ Thiếu lý do/người duyệt",IF(AND(X1557&lt;&gt;"",N(X1557)+N(R1557)+N(S1557)&gt;M1557*1.001,R1557&lt;&gt;""),"⚠ Vượt mục tiêu P90",IF(AND(Y1557&lt;&gt;"",ABS(N(Y1557))&gt;0.3),"⚠ Lệch &gt; 30% so với nhu cầu",IF(Q1557="Có","ℹ Kiểm tra ngoại suy KM","✓ Hợp lệ")))))</f>
        <v/>
      </c>
    </row>
    <row r="1558">
      <c r="A1558" s="16" t="n">
        <v>1554</v>
      </c>
      <c r="B1558" s="17" t="inlineStr">
        <is>
          <t>DEC-S54-DELI</t>
        </is>
      </c>
      <c r="C1558" s="16" t="n">
        <v>54</v>
      </c>
      <c r="D1558" s="17" t="inlineStr">
        <is>
          <t>DELI</t>
        </is>
      </c>
      <c r="E1558" s="17" t="inlineStr">
        <is>
          <t>MEDIUM</t>
        </is>
      </c>
      <c r="F1558" s="17" t="inlineStr">
        <is>
          <t>CAO</t>
        </is>
      </c>
      <c r="G1558" s="18" t="inlineStr">
        <is>
          <t>RISK_MEDIUM</t>
        </is>
      </c>
      <c r="H1558" s="19" t="n">
        <v>3196.167323730469</v>
      </c>
      <c r="I1558" s="19" t="n">
        <v>4055.134249633789</v>
      </c>
      <c r="J1558" s="19" t="n">
        <v>5148.894812744141</v>
      </c>
      <c r="K1558" s="19" t="n">
        <v>4055.134249633789</v>
      </c>
      <c r="L1558" s="19" t="n">
        <v>4738.734601577758</v>
      </c>
      <c r="M1558" s="19" t="n">
        <v>5148.894812744141</v>
      </c>
      <c r="N1558" s="17" t="inlineStr">
        <is>
          <t>C</t>
        </is>
      </c>
      <c r="O1558" s="19" t="n">
        <v>1904.78741303711</v>
      </c>
      <c r="P1558" s="18" t="inlineStr">
        <is>
          <t>KHÔNG ĐỀ XUẤT TĂNG</t>
        </is>
      </c>
      <c r="Q1558" s="17" t="inlineStr">
        <is>
          <t>Không</t>
        </is>
      </c>
      <c r="R1558" s="20" t="n"/>
      <c r="S1558" s="20" t="n"/>
      <c r="T1558" s="21" t="n"/>
      <c r="U1558" s="21" t="n"/>
      <c r="V1558" s="22">
        <f>IF(U1558="A",K1558,IF(U1558="B",L1558,IF(U1558="C",M1558,IF(N1558="A",K1558,IF(N1558="B",L1558,M1558)))))</f>
        <v/>
      </c>
      <c r="W1558" s="22">
        <f>IF(R1558="",O1558,MAX(V1558-R1558-N(S1558),0))</f>
        <v/>
      </c>
      <c r="X1558" s="20" t="n"/>
      <c r="Y1558" s="23">
        <f>IF(OR(X1558="",W1558=0),"",X1558/W1558-1)</f>
        <v/>
      </c>
      <c r="Z1558" s="24" t="n"/>
      <c r="AA1558" s="21" t="n"/>
      <c r="AB1558" s="25" t="n"/>
      <c r="AC1558" s="26">
        <f>IF(T1558="","Chưa quyết định",IF(OR(Z1558="",AA1558=""),"⚠ Thiếu lý do/người duyệt",IF(AND(X1558&lt;&gt;"",N(X1558)+N(R1558)+N(S1558)&gt;M1558*1.001,R1558&lt;&gt;""),"⚠ Vượt mục tiêu P90",IF(AND(Y1558&lt;&gt;"",ABS(N(Y1558))&gt;0.3),"⚠ Lệch &gt; 30% so với nhu cầu",IF(Q1558="Có","ℹ Kiểm tra ngoại suy KM","✓ Hợp lệ")))))</f>
        <v/>
      </c>
    </row>
    <row r="1559">
      <c r="A1559" s="16" t="n">
        <v>1555</v>
      </c>
      <c r="B1559" s="17" t="inlineStr">
        <is>
          <t>DEC-S12-DELI</t>
        </is>
      </c>
      <c r="C1559" s="16" t="n">
        <v>12</v>
      </c>
      <c r="D1559" s="17" t="inlineStr">
        <is>
          <t>DELI</t>
        </is>
      </c>
      <c r="E1559" s="17" t="inlineStr">
        <is>
          <t>MEDIUM</t>
        </is>
      </c>
      <c r="F1559" s="17" t="inlineStr">
        <is>
          <t>CAO</t>
        </is>
      </c>
      <c r="G1559" s="18" t="inlineStr">
        <is>
          <t>RISK_MEDIUM</t>
        </is>
      </c>
      <c r="H1559" s="19" t="n">
        <v>3149.961911499023</v>
      </c>
      <c r="I1559" s="19" t="n">
        <v>4046.449241577148</v>
      </c>
      <c r="J1559" s="19" t="n">
        <v>5196.727645874023</v>
      </c>
      <c r="K1559" s="19" t="n">
        <v>4046.449241577148</v>
      </c>
      <c r="L1559" s="19" t="n">
        <v>4765.373244262695</v>
      </c>
      <c r="M1559" s="19" t="n">
        <v>5196.727645874023</v>
      </c>
      <c r="N1559" s="17" t="inlineStr">
        <is>
          <t>C</t>
        </is>
      </c>
      <c r="O1559" s="19" t="n">
        <v>1959.568252612305</v>
      </c>
      <c r="P1559" s="18" t="inlineStr">
        <is>
          <t>KHÔNG ĐỀ XUẤT TĂNG</t>
        </is>
      </c>
      <c r="Q1559" s="17" t="inlineStr">
        <is>
          <t>Không</t>
        </is>
      </c>
      <c r="R1559" s="20" t="n"/>
      <c r="S1559" s="20" t="n"/>
      <c r="T1559" s="21" t="n"/>
      <c r="U1559" s="21" t="n"/>
      <c r="V1559" s="22">
        <f>IF(U1559="A",K1559,IF(U1559="B",L1559,IF(U1559="C",M1559,IF(N1559="A",K1559,IF(N1559="B",L1559,M1559)))))</f>
        <v/>
      </c>
      <c r="W1559" s="22">
        <f>IF(R1559="",O1559,MAX(V1559-R1559-N(S1559),0))</f>
        <v/>
      </c>
      <c r="X1559" s="20" t="n"/>
      <c r="Y1559" s="23">
        <f>IF(OR(X1559="",W1559=0),"",X1559/W1559-1)</f>
        <v/>
      </c>
      <c r="Z1559" s="24" t="n"/>
      <c r="AA1559" s="21" t="n"/>
      <c r="AB1559" s="25" t="n"/>
      <c r="AC1559" s="26">
        <f>IF(T1559="","Chưa quyết định",IF(OR(Z1559="",AA1559=""),"⚠ Thiếu lý do/người duyệt",IF(AND(X1559&lt;&gt;"",N(X1559)+N(R1559)+N(S1559)&gt;M1559*1.001,R1559&lt;&gt;""),"⚠ Vượt mục tiêu P90",IF(AND(Y1559&lt;&gt;"",ABS(N(Y1559))&gt;0.3),"⚠ Lệch &gt; 30% so với nhu cầu",IF(Q1559="Có","ℹ Kiểm tra ngoại suy KM","✓ Hợp lệ")))))</f>
        <v/>
      </c>
    </row>
    <row r="1560">
      <c r="A1560" s="16" t="n">
        <v>1556</v>
      </c>
      <c r="B1560" s="17" t="inlineStr">
        <is>
          <t>DEC-S27-PERSONAL_CARE</t>
        </is>
      </c>
      <c r="C1560" s="16" t="n">
        <v>27</v>
      </c>
      <c r="D1560" s="17" t="inlineStr">
        <is>
          <t>PERSONAL CARE</t>
        </is>
      </c>
      <c r="E1560" s="17" t="inlineStr">
        <is>
          <t>MEDIUM</t>
        </is>
      </c>
      <c r="F1560" s="17" t="inlineStr">
        <is>
          <t>CAO</t>
        </is>
      </c>
      <c r="G1560" s="18" t="inlineStr">
        <is>
          <t>RISK_MEDIUM</t>
        </is>
      </c>
      <c r="H1560" s="19" t="n">
        <v>3165.467586975098</v>
      </c>
      <c r="I1560" s="19" t="n">
        <v>4043.194714965821</v>
      </c>
      <c r="J1560" s="19" t="n">
        <v>5165.214198669433</v>
      </c>
      <c r="K1560" s="19" t="n">
        <v>4043.194714965821</v>
      </c>
      <c r="L1560" s="19" t="n">
        <v>4744.456892280578</v>
      </c>
      <c r="M1560" s="19" t="n">
        <v>5165.214198669433</v>
      </c>
      <c r="N1560" s="17" t="inlineStr">
        <is>
          <t>C</t>
        </is>
      </c>
      <c r="O1560" s="19" t="n">
        <v>1930.658426696777</v>
      </c>
      <c r="P1560" s="18" t="inlineStr">
        <is>
          <t>KHÔNG ĐỀ XUẤT TĂNG</t>
        </is>
      </c>
      <c r="Q1560" s="17" t="inlineStr">
        <is>
          <t>Không</t>
        </is>
      </c>
      <c r="R1560" s="20" t="n"/>
      <c r="S1560" s="20" t="n"/>
      <c r="T1560" s="21" t="n"/>
      <c r="U1560" s="21" t="n"/>
      <c r="V1560" s="22">
        <f>IF(U1560="A",K1560,IF(U1560="B",L1560,IF(U1560="C",M1560,IF(N1560="A",K1560,IF(N1560="B",L1560,M1560)))))</f>
        <v/>
      </c>
      <c r="W1560" s="22">
        <f>IF(R1560="",O1560,MAX(V1560-R1560-N(S1560),0))</f>
        <v/>
      </c>
      <c r="X1560" s="20" t="n"/>
      <c r="Y1560" s="23">
        <f>IF(OR(X1560="",W1560=0),"",X1560/W1560-1)</f>
        <v/>
      </c>
      <c r="Z1560" s="24" t="n"/>
      <c r="AA1560" s="21" t="n"/>
      <c r="AB1560" s="25" t="n"/>
      <c r="AC1560" s="26">
        <f>IF(T1560="","Chưa quyết định",IF(OR(Z1560="",AA1560=""),"⚠ Thiếu lý do/người duyệt",IF(AND(X1560&lt;&gt;"",N(X1560)+N(R1560)+N(S1560)&gt;M1560*1.001,R1560&lt;&gt;""),"⚠ Vượt mục tiêu P90",IF(AND(Y1560&lt;&gt;"",ABS(N(Y1560))&gt;0.3),"⚠ Lệch &gt; 30% so với nhu cầu",IF(Q1560="Có","ℹ Kiểm tra ngoại suy KM","✓ Hợp lệ")))))</f>
        <v/>
      </c>
    </row>
    <row r="1561">
      <c r="A1561" s="16" t="n">
        <v>1557</v>
      </c>
      <c r="B1561" s="17" t="inlineStr">
        <is>
          <t>DEC-S42-MEATS</t>
        </is>
      </c>
      <c r="C1561" s="16" t="n">
        <v>42</v>
      </c>
      <c r="D1561" s="17" t="inlineStr">
        <is>
          <t>MEATS</t>
        </is>
      </c>
      <c r="E1561" s="17" t="inlineStr">
        <is>
          <t>MEDIUM</t>
        </is>
      </c>
      <c r="F1561" s="17" t="inlineStr">
        <is>
          <t>CAO</t>
        </is>
      </c>
      <c r="G1561" s="18" t="inlineStr">
        <is>
          <t>RISK_MEDIUM</t>
        </is>
      </c>
      <c r="H1561" s="19" t="n">
        <v>3171.819911621093</v>
      </c>
      <c r="I1561" s="19" t="n">
        <v>4030.786837524414</v>
      </c>
      <c r="J1561" s="19" t="n">
        <v>5124.547400634766</v>
      </c>
      <c r="K1561" s="19" t="n">
        <v>4030.786837524414</v>
      </c>
      <c r="L1561" s="19" t="n">
        <v>4714.387189468383</v>
      </c>
      <c r="M1561" s="19" t="n">
        <v>5124.547400634766</v>
      </c>
      <c r="N1561" s="17" t="inlineStr">
        <is>
          <t>C</t>
        </is>
      </c>
      <c r="O1561" s="19" t="n">
        <v>1899.917930615234</v>
      </c>
      <c r="P1561" s="18" t="inlineStr">
        <is>
          <t>CÂN NHẮC THỬ NGHIỆM</t>
        </is>
      </c>
      <c r="Q1561" s="17" t="inlineStr">
        <is>
          <t>Không</t>
        </is>
      </c>
      <c r="R1561" s="20" t="n"/>
      <c r="S1561" s="20" t="n"/>
      <c r="T1561" s="21" t="n"/>
      <c r="U1561" s="21" t="n"/>
      <c r="V1561" s="22">
        <f>IF(U1561="A",K1561,IF(U1561="B",L1561,IF(U1561="C",M1561,IF(N1561="A",K1561,IF(N1561="B",L1561,M1561)))))</f>
        <v/>
      </c>
      <c r="W1561" s="22">
        <f>IF(R1561="",O1561,MAX(V1561-R1561-N(S1561),0))</f>
        <v/>
      </c>
      <c r="X1561" s="20" t="n"/>
      <c r="Y1561" s="23">
        <f>IF(OR(X1561="",W1561=0),"",X1561/W1561-1)</f>
        <v/>
      </c>
      <c r="Z1561" s="24" t="n"/>
      <c r="AA1561" s="21" t="n"/>
      <c r="AB1561" s="25" t="n"/>
      <c r="AC1561" s="26">
        <f>IF(T1561="","Chưa quyết định",IF(OR(Z1561="",AA1561=""),"⚠ Thiếu lý do/người duyệt",IF(AND(X1561&lt;&gt;"",N(X1561)+N(R1561)+N(S1561)&gt;M1561*1.001,R1561&lt;&gt;""),"⚠ Vượt mục tiêu P90",IF(AND(Y1561&lt;&gt;"",ABS(N(Y1561))&gt;0.3),"⚠ Lệch &gt; 30% so với nhu cầu",IF(Q1561="Có","ℹ Kiểm tra ngoại suy KM","✓ Hợp lệ")))))</f>
        <v/>
      </c>
    </row>
    <row r="1562">
      <c r="A1562" s="16" t="n">
        <v>1558</v>
      </c>
      <c r="B1562" s="17" t="inlineStr">
        <is>
          <t>DEC-S34-DELI</t>
        </is>
      </c>
      <c r="C1562" s="16" t="n">
        <v>34</v>
      </c>
      <c r="D1562" s="17" t="inlineStr">
        <is>
          <t>DELI</t>
        </is>
      </c>
      <c r="E1562" s="17" t="inlineStr">
        <is>
          <t>MEDIUM</t>
        </is>
      </c>
      <c r="F1562" s="17" t="inlineStr">
        <is>
          <t>CAO</t>
        </is>
      </c>
      <c r="G1562" s="18" t="inlineStr">
        <is>
          <t>RISK_MEDIUM</t>
        </is>
      </c>
      <c r="H1562" s="19" t="n">
        <v>3135.895824096679</v>
      </c>
      <c r="I1562" s="19" t="n">
        <v>3994.86275</v>
      </c>
      <c r="J1562" s="19" t="n">
        <v>5088.623313110352</v>
      </c>
      <c r="K1562" s="19" t="n">
        <v>3994.86275</v>
      </c>
      <c r="L1562" s="19" t="n">
        <v>4678.463101943969</v>
      </c>
      <c r="M1562" s="19" t="n">
        <v>5088.623313110352</v>
      </c>
      <c r="N1562" s="17" t="inlineStr">
        <is>
          <t>C</t>
        </is>
      </c>
      <c r="O1562" s="19" t="n">
        <v>1892.733113110352</v>
      </c>
      <c r="P1562" s="18" t="inlineStr">
        <is>
          <t>KHÔNG ĐỀ XUẤT TĂNG</t>
        </is>
      </c>
      <c r="Q1562" s="17" t="inlineStr">
        <is>
          <t>Không</t>
        </is>
      </c>
      <c r="R1562" s="20" t="n"/>
      <c r="S1562" s="20" t="n"/>
      <c r="T1562" s="21" t="n"/>
      <c r="U1562" s="21" t="n"/>
      <c r="V1562" s="22">
        <f>IF(U1562="A",K1562,IF(U1562="B",L1562,IF(U1562="C",M1562,IF(N1562="A",K1562,IF(N1562="B",L1562,M1562)))))</f>
        <v/>
      </c>
      <c r="W1562" s="22">
        <f>IF(R1562="",O1562,MAX(V1562-R1562-N(S1562),0))</f>
        <v/>
      </c>
      <c r="X1562" s="20" t="n"/>
      <c r="Y1562" s="23">
        <f>IF(OR(X1562="",W1562=0),"",X1562/W1562-1)</f>
        <v/>
      </c>
      <c r="Z1562" s="24" t="n"/>
      <c r="AA1562" s="21" t="n"/>
      <c r="AB1562" s="25" t="n"/>
      <c r="AC1562" s="26">
        <f>IF(T1562="","Chưa quyết định",IF(OR(Z1562="",AA1562=""),"⚠ Thiếu lý do/người duyệt",IF(AND(X1562&lt;&gt;"",N(X1562)+N(R1562)+N(S1562)&gt;M1562*1.001,R1562&lt;&gt;""),"⚠ Vượt mục tiêu P90",IF(AND(Y1562&lt;&gt;"",ABS(N(Y1562))&gt;0.3),"⚠ Lệch &gt; 30% so với nhu cầu",IF(Q1562="Có","ℹ Kiểm tra ngoại suy KM","✓ Hợp lệ")))))</f>
        <v/>
      </c>
    </row>
    <row r="1563">
      <c r="A1563" s="16" t="n">
        <v>1559</v>
      </c>
      <c r="B1563" s="17" t="inlineStr">
        <is>
          <t>DEC-S49-PREPARED_FOODS</t>
        </is>
      </c>
      <c r="C1563" s="16" t="n">
        <v>49</v>
      </c>
      <c r="D1563" s="17" t="inlineStr">
        <is>
          <t>PREPARED FOODS</t>
        </is>
      </c>
      <c r="E1563" s="17" t="inlineStr">
        <is>
          <t>MEDIUM</t>
        </is>
      </c>
      <c r="F1563" s="17" t="inlineStr">
        <is>
          <t>CAO</t>
        </is>
      </c>
      <c r="G1563" s="18" t="inlineStr">
        <is>
          <t>RISK_MEDIUM</t>
        </is>
      </c>
      <c r="H1563" s="19" t="n">
        <v>3098.916531066895</v>
      </c>
      <c r="I1563" s="19" t="n">
        <v>3976.643659057617</v>
      </c>
      <c r="J1563" s="19" t="n">
        <v>5098.66314276123</v>
      </c>
      <c r="K1563" s="19" t="n">
        <v>3976.643659057617</v>
      </c>
      <c r="L1563" s="19" t="n">
        <v>4677.905836372375</v>
      </c>
      <c r="M1563" s="19" t="n">
        <v>5098.66314276123</v>
      </c>
      <c r="N1563" s="17" t="inlineStr">
        <is>
          <t>C</t>
        </is>
      </c>
      <c r="O1563" s="19" t="n">
        <v>1917.348215515136</v>
      </c>
      <c r="P1563" s="18" t="inlineStr">
        <is>
          <t>CÂN NHẮC THỬ NGHIỆM</t>
        </is>
      </c>
      <c r="Q1563" s="17" t="inlineStr">
        <is>
          <t>Không</t>
        </is>
      </c>
      <c r="R1563" s="20" t="n"/>
      <c r="S1563" s="20" t="n"/>
      <c r="T1563" s="21" t="n"/>
      <c r="U1563" s="21" t="n"/>
      <c r="V1563" s="22">
        <f>IF(U1563="A",K1563,IF(U1563="B",L1563,IF(U1563="C",M1563,IF(N1563="A",K1563,IF(N1563="B",L1563,M1563)))))</f>
        <v/>
      </c>
      <c r="W1563" s="22">
        <f>IF(R1563="",O1563,MAX(V1563-R1563-N(S1563),0))</f>
        <v/>
      </c>
      <c r="X1563" s="20" t="n"/>
      <c r="Y1563" s="23">
        <f>IF(OR(X1563="",W1563=0),"",X1563/W1563-1)</f>
        <v/>
      </c>
      <c r="Z1563" s="24" t="n"/>
      <c r="AA1563" s="21" t="n"/>
      <c r="AB1563" s="25" t="n"/>
      <c r="AC1563" s="26">
        <f>IF(T1563="","Chưa quyết định",IF(OR(Z1563="",AA1563=""),"⚠ Thiếu lý do/người duyệt",IF(AND(X1563&lt;&gt;"",N(X1563)+N(R1563)+N(S1563)&gt;M1563*1.001,R1563&lt;&gt;""),"⚠ Vượt mục tiêu P90",IF(AND(Y1563&lt;&gt;"",ABS(N(Y1563))&gt;0.3),"⚠ Lệch &gt; 30% so với nhu cầu",IF(Q1563="Có","ℹ Kiểm tra ngoại suy KM","✓ Hợp lệ")))))</f>
        <v/>
      </c>
    </row>
    <row r="1564">
      <c r="A1564" s="16" t="n">
        <v>1560</v>
      </c>
      <c r="B1564" s="17" t="inlineStr">
        <is>
          <t>DEC-S54-HOME_CARE</t>
        </is>
      </c>
      <c r="C1564" s="16" t="n">
        <v>54</v>
      </c>
      <c r="D1564" s="17" t="inlineStr">
        <is>
          <t>HOME CARE</t>
        </is>
      </c>
      <c r="E1564" s="17" t="inlineStr">
        <is>
          <t>MEDIUM</t>
        </is>
      </c>
      <c r="F1564" s="17" t="inlineStr">
        <is>
          <t>CAO</t>
        </is>
      </c>
      <c r="G1564" s="18" t="inlineStr">
        <is>
          <t>RISK_MEDIUM</t>
        </is>
      </c>
      <c r="H1564" s="19" t="n">
        <v>3117.684000793457</v>
      </c>
      <c r="I1564" s="19" t="n">
        <v>3957.890724609375</v>
      </c>
      <c r="J1564" s="19" t="n">
        <v>5023.392367126465</v>
      </c>
      <c r="K1564" s="19" t="n">
        <v>3957.890724609375</v>
      </c>
      <c r="L1564" s="19" t="n">
        <v>4623.829251182556</v>
      </c>
      <c r="M1564" s="19" t="n">
        <v>5023.392367126465</v>
      </c>
      <c r="N1564" s="17" t="inlineStr">
        <is>
          <t>C</t>
        </is>
      </c>
      <c r="O1564" s="19" t="n">
        <v>1857.079787438965</v>
      </c>
      <c r="P1564" s="18" t="inlineStr">
        <is>
          <t>KHÔNG ĐỀ XUẤT TĂNG</t>
        </is>
      </c>
      <c r="Q1564" s="17" t="inlineStr">
        <is>
          <t>Không</t>
        </is>
      </c>
      <c r="R1564" s="20" t="n"/>
      <c r="S1564" s="20" t="n"/>
      <c r="T1564" s="21" t="n"/>
      <c r="U1564" s="21" t="n"/>
      <c r="V1564" s="22">
        <f>IF(U1564="A",K1564,IF(U1564="B",L1564,IF(U1564="C",M1564,IF(N1564="A",K1564,IF(N1564="B",L1564,M1564)))))</f>
        <v/>
      </c>
      <c r="W1564" s="22">
        <f>IF(R1564="",O1564,MAX(V1564-R1564-N(S1564),0))</f>
        <v/>
      </c>
      <c r="X1564" s="20" t="n"/>
      <c r="Y1564" s="23">
        <f>IF(OR(X1564="",W1564=0),"",X1564/W1564-1)</f>
        <v/>
      </c>
      <c r="Z1564" s="24" t="n"/>
      <c r="AA1564" s="21" t="n"/>
      <c r="AB1564" s="25" t="n"/>
      <c r="AC1564" s="26">
        <f>IF(T1564="","Chưa quyết định",IF(OR(Z1564="",AA1564=""),"⚠ Thiếu lý do/người duyệt",IF(AND(X1564&lt;&gt;"",N(X1564)+N(R1564)+N(S1564)&gt;M1564*1.001,R1564&lt;&gt;""),"⚠ Vượt mục tiêu P90",IF(AND(Y1564&lt;&gt;"",ABS(N(Y1564))&gt;0.3),"⚠ Lệch &gt; 30% so với nhu cầu",IF(Q1564="Có","ℹ Kiểm tra ngoại suy KM","✓ Hợp lệ")))))</f>
        <v/>
      </c>
    </row>
    <row r="1565">
      <c r="A1565" s="16" t="n">
        <v>1561</v>
      </c>
      <c r="B1565" s="17" t="inlineStr">
        <is>
          <t>DEC-S42-HOME_CARE</t>
        </is>
      </c>
      <c r="C1565" s="16" t="n">
        <v>42</v>
      </c>
      <c r="D1565" s="17" t="inlineStr">
        <is>
          <t>HOME CARE</t>
        </is>
      </c>
      <c r="E1565" s="17" t="inlineStr">
        <is>
          <t>MEDIUM</t>
        </is>
      </c>
      <c r="F1565" s="17" t="inlineStr">
        <is>
          <t>CAO</t>
        </is>
      </c>
      <c r="G1565" s="18" t="inlineStr">
        <is>
          <t>RISK_MEDIUM</t>
        </is>
      </c>
      <c r="H1565" s="19" t="n">
        <v>3095.132503173828</v>
      </c>
      <c r="I1565" s="19" t="n">
        <v>3954.099429077148</v>
      </c>
      <c r="J1565" s="19" t="n">
        <v>5047.8599921875</v>
      </c>
      <c r="K1565" s="19" t="n">
        <v>3954.099429077148</v>
      </c>
      <c r="L1565" s="19" t="n">
        <v>4637.699781021118</v>
      </c>
      <c r="M1565" s="19" t="n">
        <v>5047.8599921875</v>
      </c>
      <c r="N1565" s="17" t="inlineStr">
        <is>
          <t>C</t>
        </is>
      </c>
      <c r="O1565" s="19" t="n">
        <v>1884.580448925782</v>
      </c>
      <c r="P1565" s="18" t="inlineStr">
        <is>
          <t>KHÔNG ĐỀ XUẤT TĂNG</t>
        </is>
      </c>
      <c r="Q1565" s="17" t="inlineStr">
        <is>
          <t>Không</t>
        </is>
      </c>
      <c r="R1565" s="20" t="n"/>
      <c r="S1565" s="20" t="n"/>
      <c r="T1565" s="21" t="n"/>
      <c r="U1565" s="21" t="n"/>
      <c r="V1565" s="22">
        <f>IF(U1565="A",K1565,IF(U1565="B",L1565,IF(U1565="C",M1565,IF(N1565="A",K1565,IF(N1565="B",L1565,M1565)))))</f>
        <v/>
      </c>
      <c r="W1565" s="22">
        <f>IF(R1565="",O1565,MAX(V1565-R1565-N(S1565),0))</f>
        <v/>
      </c>
      <c r="X1565" s="20" t="n"/>
      <c r="Y1565" s="23">
        <f>IF(OR(X1565="",W1565=0),"",X1565/W1565-1)</f>
        <v/>
      </c>
      <c r="Z1565" s="24" t="n"/>
      <c r="AA1565" s="21" t="n"/>
      <c r="AB1565" s="25" t="n"/>
      <c r="AC1565" s="26">
        <f>IF(T1565="","Chưa quyết định",IF(OR(Z1565="",AA1565=""),"⚠ Thiếu lý do/người duyệt",IF(AND(X1565&lt;&gt;"",N(X1565)+N(R1565)+N(S1565)&gt;M1565*1.001,R1565&lt;&gt;""),"⚠ Vượt mục tiêu P90",IF(AND(Y1565&lt;&gt;"",ABS(N(Y1565))&gt;0.3),"⚠ Lệch &gt; 30% so với nhu cầu",IF(Q1565="Có","ℹ Kiểm tra ngoại suy KM","✓ Hợp lệ")))))</f>
        <v/>
      </c>
    </row>
    <row r="1566">
      <c r="A1566" s="16" t="n">
        <v>1562</v>
      </c>
      <c r="B1566" s="17" t="inlineStr">
        <is>
          <t>DEC-S46-FROZEN_FOODS</t>
        </is>
      </c>
      <c r="C1566" s="16" t="n">
        <v>46</v>
      </c>
      <c r="D1566" s="17" t="inlineStr">
        <is>
          <t>FROZEN FOODS</t>
        </is>
      </c>
      <c r="E1566" s="17" t="inlineStr">
        <is>
          <t>MEDIUM</t>
        </is>
      </c>
      <c r="F1566" s="17" t="inlineStr">
        <is>
          <t>CAO</t>
        </is>
      </c>
      <c r="G1566" s="18" t="inlineStr">
        <is>
          <t>RISK_MEDIUM</t>
        </is>
      </c>
      <c r="H1566" s="19" t="n">
        <v>3130.24503515625</v>
      </c>
      <c r="I1566" s="19" t="n">
        <v>3951.691556884765</v>
      </c>
      <c r="J1566" s="19" t="n">
        <v>4988.934278808594</v>
      </c>
      <c r="K1566" s="19" t="n">
        <v>3951.691556884765</v>
      </c>
      <c r="L1566" s="19" t="n">
        <v>4599.968258087158</v>
      </c>
      <c r="M1566" s="19" t="n">
        <v>4988.934278808594</v>
      </c>
      <c r="N1566" s="17" t="inlineStr">
        <is>
          <t>C</t>
        </is>
      </c>
      <c r="O1566" s="19" t="n">
        <v>1827.581033300782</v>
      </c>
      <c r="P1566" s="18" t="inlineStr">
        <is>
          <t>CÂN NHẮC THỬ NGHIỆM</t>
        </is>
      </c>
      <c r="Q1566" s="17" t="inlineStr">
        <is>
          <t>Không</t>
        </is>
      </c>
      <c r="R1566" s="20" t="n"/>
      <c r="S1566" s="20" t="n"/>
      <c r="T1566" s="21" t="n"/>
      <c r="U1566" s="21" t="n"/>
      <c r="V1566" s="22">
        <f>IF(U1566="A",K1566,IF(U1566="B",L1566,IF(U1566="C",M1566,IF(N1566="A",K1566,IF(N1566="B",L1566,M1566)))))</f>
        <v/>
      </c>
      <c r="W1566" s="22">
        <f>IF(R1566="",O1566,MAX(V1566-R1566-N(S1566),0))</f>
        <v/>
      </c>
      <c r="X1566" s="20" t="n"/>
      <c r="Y1566" s="23">
        <f>IF(OR(X1566="",W1566=0),"",X1566/W1566-1)</f>
        <v/>
      </c>
      <c r="Z1566" s="24" t="n"/>
      <c r="AA1566" s="21" t="n"/>
      <c r="AB1566" s="25" t="n"/>
      <c r="AC1566" s="26">
        <f>IF(T1566="","Chưa quyết định",IF(OR(Z1566="",AA1566=""),"⚠ Thiếu lý do/người duyệt",IF(AND(X1566&lt;&gt;"",N(X1566)+N(R1566)+N(S1566)&gt;M1566*1.001,R1566&lt;&gt;""),"⚠ Vượt mục tiêu P90",IF(AND(Y1566&lt;&gt;"",ABS(N(Y1566))&gt;0.3),"⚠ Lệch &gt; 30% so với nhu cầu",IF(Q1566="Có","ℹ Kiểm tra ngoại suy KM","✓ Hợp lệ")))))</f>
        <v/>
      </c>
    </row>
    <row r="1567">
      <c r="A1567" s="16" t="n">
        <v>1563</v>
      </c>
      <c r="B1567" s="17" t="inlineStr">
        <is>
          <t>DEC-S05-HOME_CARE</t>
        </is>
      </c>
      <c r="C1567" s="16" t="n">
        <v>5</v>
      </c>
      <c r="D1567" s="17" t="inlineStr">
        <is>
          <t>HOME CARE</t>
        </is>
      </c>
      <c r="E1567" s="17" t="inlineStr">
        <is>
          <t>MEDIUM</t>
        </is>
      </c>
      <c r="F1567" s="17" t="inlineStr">
        <is>
          <t>CAO</t>
        </is>
      </c>
      <c r="G1567" s="18" t="inlineStr">
        <is>
          <t>RISK_MEDIUM</t>
        </is>
      </c>
      <c r="H1567" s="19" t="n">
        <v>3029.204388916015</v>
      </c>
      <c r="I1567" s="19" t="n">
        <v>3925.691718994141</v>
      </c>
      <c r="J1567" s="19" t="n">
        <v>5075.970123291016</v>
      </c>
      <c r="K1567" s="19" t="n">
        <v>3925.691718994141</v>
      </c>
      <c r="L1567" s="19" t="n">
        <v>4644.615721679687</v>
      </c>
      <c r="M1567" s="19" t="n">
        <v>5075.970123291016</v>
      </c>
      <c r="N1567" s="17" t="inlineStr">
        <is>
          <t>C</t>
        </is>
      </c>
      <c r="O1567" s="19" t="n">
        <v>1935.416748095703</v>
      </c>
      <c r="P1567" s="18" t="inlineStr">
        <is>
          <t>KHÔNG ĐỀ XUẤT TĂNG</t>
        </is>
      </c>
      <c r="Q1567" s="17" t="inlineStr">
        <is>
          <t>Không</t>
        </is>
      </c>
      <c r="R1567" s="20" t="n"/>
      <c r="S1567" s="20" t="n"/>
      <c r="T1567" s="21" t="n"/>
      <c r="U1567" s="21" t="n"/>
      <c r="V1567" s="22">
        <f>IF(U1567="A",K1567,IF(U1567="B",L1567,IF(U1567="C",M1567,IF(N1567="A",K1567,IF(N1567="B",L1567,M1567)))))</f>
        <v/>
      </c>
      <c r="W1567" s="22">
        <f>IF(R1567="",O1567,MAX(V1567-R1567-N(S1567),0))</f>
        <v/>
      </c>
      <c r="X1567" s="20" t="n"/>
      <c r="Y1567" s="23">
        <f>IF(OR(X1567="",W1567=0),"",X1567/W1567-1)</f>
        <v/>
      </c>
      <c r="Z1567" s="24" t="n"/>
      <c r="AA1567" s="21" t="n"/>
      <c r="AB1567" s="25" t="n"/>
      <c r="AC1567" s="26">
        <f>IF(T1567="","Chưa quyết định",IF(OR(Z1567="",AA1567=""),"⚠ Thiếu lý do/người duyệt",IF(AND(X1567&lt;&gt;"",N(X1567)+N(R1567)+N(S1567)&gt;M1567*1.001,R1567&lt;&gt;""),"⚠ Vượt mục tiêu P90",IF(AND(Y1567&lt;&gt;"",ABS(N(Y1567))&gt;0.3),"⚠ Lệch &gt; 30% so với nhu cầu",IF(Q1567="Có","ℹ Kiểm tra ngoại suy KM","✓ Hợp lệ")))))</f>
        <v/>
      </c>
    </row>
    <row r="1568">
      <c r="A1568" s="16" t="n">
        <v>1564</v>
      </c>
      <c r="B1568" s="17" t="inlineStr">
        <is>
          <t>DEC-S43-POULTRY</t>
        </is>
      </c>
      <c r="C1568" s="16" t="n">
        <v>43</v>
      </c>
      <c r="D1568" s="17" t="inlineStr">
        <is>
          <t>POULTRY</t>
        </is>
      </c>
      <c r="E1568" s="17" t="inlineStr">
        <is>
          <t>MEDIUM</t>
        </is>
      </c>
      <c r="F1568" s="17" t="inlineStr">
        <is>
          <t>CAO</t>
        </is>
      </c>
      <c r="G1568" s="18" t="inlineStr">
        <is>
          <t>RISK_MEDIUM</t>
        </is>
      </c>
      <c r="H1568" s="19" t="n">
        <v>3095.720010742187</v>
      </c>
      <c r="I1568" s="19" t="n">
        <v>3917.166532470703</v>
      </c>
      <c r="J1568" s="19" t="n">
        <v>4954.409254394532</v>
      </c>
      <c r="K1568" s="19" t="n">
        <v>3917.166532470703</v>
      </c>
      <c r="L1568" s="19" t="n">
        <v>4565.443233673096</v>
      </c>
      <c r="M1568" s="19" t="n">
        <v>4954.409254394532</v>
      </c>
      <c r="N1568" s="17" t="inlineStr">
        <is>
          <t>C</t>
        </is>
      </c>
      <c r="O1568" s="19" t="n">
        <v>1820.676028417969</v>
      </c>
      <c r="P1568" s="18" t="inlineStr">
        <is>
          <t>CÂN NHẮC THỬ NGHIỆM</t>
        </is>
      </c>
      <c r="Q1568" s="17" t="inlineStr">
        <is>
          <t>Không</t>
        </is>
      </c>
      <c r="R1568" s="20" t="n"/>
      <c r="S1568" s="20" t="n"/>
      <c r="T1568" s="21" t="n"/>
      <c r="U1568" s="21" t="n"/>
      <c r="V1568" s="22">
        <f>IF(U1568="A",K1568,IF(U1568="B",L1568,IF(U1568="C",M1568,IF(N1568="A",K1568,IF(N1568="B",L1568,M1568)))))</f>
        <v/>
      </c>
      <c r="W1568" s="22">
        <f>IF(R1568="",O1568,MAX(V1568-R1568-N(S1568),0))</f>
        <v/>
      </c>
      <c r="X1568" s="20" t="n"/>
      <c r="Y1568" s="23">
        <f>IF(OR(X1568="",W1568=0),"",X1568/W1568-1)</f>
        <v/>
      </c>
      <c r="Z1568" s="24" t="n"/>
      <c r="AA1568" s="21" t="n"/>
      <c r="AB1568" s="25" t="n"/>
      <c r="AC1568" s="26">
        <f>IF(T1568="","Chưa quyết định",IF(OR(Z1568="",AA1568=""),"⚠ Thiếu lý do/người duyệt",IF(AND(X1568&lt;&gt;"",N(X1568)+N(R1568)+N(S1568)&gt;M1568*1.001,R1568&lt;&gt;""),"⚠ Vượt mục tiêu P90",IF(AND(Y1568&lt;&gt;"",ABS(N(Y1568))&gt;0.3),"⚠ Lệch &gt; 30% so với nhu cầu",IF(Q1568="Có","ℹ Kiểm tra ngoại suy KM","✓ Hợp lệ")))))</f>
        <v/>
      </c>
    </row>
    <row r="1569">
      <c r="A1569" s="16" t="n">
        <v>1565</v>
      </c>
      <c r="B1569" s="17" t="inlineStr">
        <is>
          <t>DEC-S28-POULTRY</t>
        </is>
      </c>
      <c r="C1569" s="16" t="n">
        <v>28</v>
      </c>
      <c r="D1569" s="17" t="inlineStr">
        <is>
          <t>POULTRY</t>
        </is>
      </c>
      <c r="E1569" s="17" t="inlineStr">
        <is>
          <t>MEDIUM</t>
        </is>
      </c>
      <c r="F1569" s="17" t="inlineStr">
        <is>
          <t>CAO</t>
        </is>
      </c>
      <c r="G1569" s="18" t="inlineStr">
        <is>
          <t>RISK_MEDIUM</t>
        </is>
      </c>
      <c r="H1569" s="19" t="n">
        <v>3054.925074401855</v>
      </c>
      <c r="I1569" s="19" t="n">
        <v>3895.131798217773</v>
      </c>
      <c r="J1569" s="19" t="n">
        <v>4960.633440734863</v>
      </c>
      <c r="K1569" s="19" t="n">
        <v>3895.131798217773</v>
      </c>
      <c r="L1569" s="19" t="n">
        <v>4561.070324790954</v>
      </c>
      <c r="M1569" s="19" t="n">
        <v>4960.633440734863</v>
      </c>
      <c r="N1569" s="17" t="inlineStr">
        <is>
          <t>C</t>
        </is>
      </c>
      <c r="O1569" s="19" t="n">
        <v>1844.528002160644</v>
      </c>
      <c r="P1569" s="18" t="inlineStr">
        <is>
          <t>CÂN NHẮC THỬ NGHIỆM</t>
        </is>
      </c>
      <c r="Q1569" s="17" t="inlineStr">
        <is>
          <t>Không</t>
        </is>
      </c>
      <c r="R1569" s="20" t="n"/>
      <c r="S1569" s="20" t="n"/>
      <c r="T1569" s="21" t="n"/>
      <c r="U1569" s="21" t="n"/>
      <c r="V1569" s="22">
        <f>IF(U1569="A",K1569,IF(U1569="B",L1569,IF(U1569="C",M1569,IF(N1569="A",K1569,IF(N1569="B",L1569,M1569)))))</f>
        <v/>
      </c>
      <c r="W1569" s="22">
        <f>IF(R1569="",O1569,MAX(V1569-R1569-N(S1569),0))</f>
        <v/>
      </c>
      <c r="X1569" s="20" t="n"/>
      <c r="Y1569" s="23">
        <f>IF(OR(X1569="",W1569=0),"",X1569/W1569-1)</f>
        <v/>
      </c>
      <c r="Z1569" s="24" t="n"/>
      <c r="AA1569" s="21" t="n"/>
      <c r="AB1569" s="25" t="n"/>
      <c r="AC1569" s="26">
        <f>IF(T1569="","Chưa quyết định",IF(OR(Z1569="",AA1569=""),"⚠ Thiếu lý do/người duyệt",IF(AND(X1569&lt;&gt;"",N(X1569)+N(R1569)+N(S1569)&gt;M1569*1.001,R1569&lt;&gt;""),"⚠ Vượt mục tiêu P90",IF(AND(Y1569&lt;&gt;"",ABS(N(Y1569))&gt;0.3),"⚠ Lệch &gt; 30% so với nhu cầu",IF(Q1569="Có","ℹ Kiểm tra ngoại suy KM","✓ Hợp lệ")))))</f>
        <v/>
      </c>
    </row>
    <row r="1570">
      <c r="A1570" s="16" t="n">
        <v>1566</v>
      </c>
      <c r="B1570" s="17" t="inlineStr">
        <is>
          <t>DEC-S07-FROZEN_FOODS</t>
        </is>
      </c>
      <c r="C1570" s="16" t="n">
        <v>7</v>
      </c>
      <c r="D1570" s="17" t="inlineStr">
        <is>
          <t>FROZEN FOODS</t>
        </is>
      </c>
      <c r="E1570" s="17" t="inlineStr">
        <is>
          <t>MEDIUM</t>
        </is>
      </c>
      <c r="F1570" s="17" t="inlineStr">
        <is>
          <t>CAO</t>
        </is>
      </c>
      <c r="G1570" s="18" t="inlineStr">
        <is>
          <t>RISK_MEDIUM</t>
        </is>
      </c>
      <c r="H1570" s="19" t="n">
        <v>2969.785001098633</v>
      </c>
      <c r="I1570" s="19" t="n">
        <v>3866.272331176758</v>
      </c>
      <c r="J1570" s="19" t="n">
        <v>5016.550735473633</v>
      </c>
      <c r="K1570" s="19" t="n">
        <v>3866.272331176758</v>
      </c>
      <c r="L1570" s="19" t="n">
        <v>4585.196333862305</v>
      </c>
      <c r="M1570" s="19" t="n">
        <v>5016.550735473633</v>
      </c>
      <c r="N1570" s="17" t="inlineStr">
        <is>
          <t>C</t>
        </is>
      </c>
      <c r="O1570" s="19" t="n">
        <v>1923.532870532226</v>
      </c>
      <c r="P1570" s="18" t="inlineStr">
        <is>
          <t>CÂN NHẮC THỬ NGHIỆM</t>
        </is>
      </c>
      <c r="Q1570" s="17" t="inlineStr">
        <is>
          <t>Không</t>
        </is>
      </c>
      <c r="R1570" s="20" t="n"/>
      <c r="S1570" s="20" t="n"/>
      <c r="T1570" s="21" t="n"/>
      <c r="U1570" s="21" t="n"/>
      <c r="V1570" s="22">
        <f>IF(U1570="A",K1570,IF(U1570="B",L1570,IF(U1570="C",M1570,IF(N1570="A",K1570,IF(N1570="B",L1570,M1570)))))</f>
        <v/>
      </c>
      <c r="W1570" s="22">
        <f>IF(R1570="",O1570,MAX(V1570-R1570-N(S1570),0))</f>
        <v/>
      </c>
      <c r="X1570" s="20" t="n"/>
      <c r="Y1570" s="23">
        <f>IF(OR(X1570="",W1570=0),"",X1570/W1570-1)</f>
        <v/>
      </c>
      <c r="Z1570" s="24" t="n"/>
      <c r="AA1570" s="21" t="n"/>
      <c r="AB1570" s="25" t="n"/>
      <c r="AC1570" s="26">
        <f>IF(T1570="","Chưa quyết định",IF(OR(Z1570="",AA1570=""),"⚠ Thiếu lý do/người duyệt",IF(AND(X1570&lt;&gt;"",N(X1570)+N(R1570)+N(S1570)&gt;M1570*1.001,R1570&lt;&gt;""),"⚠ Vượt mục tiêu P90",IF(AND(Y1570&lt;&gt;"",ABS(N(Y1570))&gt;0.3),"⚠ Lệch &gt; 30% so với nhu cầu",IF(Q1570="Có","ℹ Kiểm tra ngoại suy KM","✓ Hợp lệ")))))</f>
        <v/>
      </c>
    </row>
    <row r="1571">
      <c r="A1571" s="16" t="n">
        <v>1567</v>
      </c>
      <c r="B1571" s="17" t="inlineStr">
        <is>
          <t>DEC-S04-PERSONAL_CARE</t>
        </is>
      </c>
      <c r="C1571" s="16" t="n">
        <v>4</v>
      </c>
      <c r="D1571" s="17" t="inlineStr">
        <is>
          <t>PERSONAL CARE</t>
        </is>
      </c>
      <c r="E1571" s="17" t="inlineStr">
        <is>
          <t>MEDIUM</t>
        </is>
      </c>
      <c r="F1571" s="17" t="inlineStr">
        <is>
          <t>CAO</t>
        </is>
      </c>
      <c r="G1571" s="18" t="inlineStr">
        <is>
          <t>RISK_MEDIUM</t>
        </is>
      </c>
      <c r="H1571" s="19" t="n">
        <v>2978.832241516113</v>
      </c>
      <c r="I1571" s="19" t="n">
        <v>3856.559369506836</v>
      </c>
      <c r="J1571" s="19" t="n">
        <v>4978.578853210449</v>
      </c>
      <c r="K1571" s="19" t="n">
        <v>3856.559369506836</v>
      </c>
      <c r="L1571" s="19" t="n">
        <v>4557.821546821594</v>
      </c>
      <c r="M1571" s="19" t="n">
        <v>4978.578853210449</v>
      </c>
      <c r="N1571" s="17" t="inlineStr">
        <is>
          <t>C</t>
        </is>
      </c>
      <c r="O1571" s="19" t="n">
        <v>1893.33135760498</v>
      </c>
      <c r="P1571" s="18" t="inlineStr">
        <is>
          <t>KHÔNG ĐỀ XUẤT TĂNG</t>
        </is>
      </c>
      <c r="Q1571" s="17" t="inlineStr">
        <is>
          <t>Không</t>
        </is>
      </c>
      <c r="R1571" s="20" t="n"/>
      <c r="S1571" s="20" t="n"/>
      <c r="T1571" s="21" t="n"/>
      <c r="U1571" s="21" t="n"/>
      <c r="V1571" s="22">
        <f>IF(U1571="A",K1571,IF(U1571="B",L1571,IF(U1571="C",M1571,IF(N1571="A",K1571,IF(N1571="B",L1571,M1571)))))</f>
        <v/>
      </c>
      <c r="W1571" s="22">
        <f>IF(R1571="",O1571,MAX(V1571-R1571-N(S1571),0))</f>
        <v/>
      </c>
      <c r="X1571" s="20" t="n"/>
      <c r="Y1571" s="23">
        <f>IF(OR(X1571="",W1571=0),"",X1571/W1571-1)</f>
        <v/>
      </c>
      <c r="Z1571" s="24" t="n"/>
      <c r="AA1571" s="21" t="n"/>
      <c r="AB1571" s="25" t="n"/>
      <c r="AC1571" s="26">
        <f>IF(T1571="","Chưa quyết định",IF(OR(Z1571="",AA1571=""),"⚠ Thiếu lý do/người duyệt",IF(AND(X1571&lt;&gt;"",N(X1571)+N(R1571)+N(S1571)&gt;M1571*1.001,R1571&lt;&gt;""),"⚠ Vượt mục tiêu P90",IF(AND(Y1571&lt;&gt;"",ABS(N(Y1571))&gt;0.3),"⚠ Lệch &gt; 30% so với nhu cầu",IF(Q1571="Có","ℹ Kiểm tra ngoại suy KM","✓ Hợp lệ")))))</f>
        <v/>
      </c>
    </row>
    <row r="1572">
      <c r="A1572" s="16" t="n">
        <v>1568</v>
      </c>
      <c r="B1572" s="17" t="inlineStr">
        <is>
          <t>DEC-S05-POULTRY</t>
        </is>
      </c>
      <c r="C1572" s="16" t="n">
        <v>5</v>
      </c>
      <c r="D1572" s="17" t="inlineStr">
        <is>
          <t>POULTRY</t>
        </is>
      </c>
      <c r="E1572" s="17" t="inlineStr">
        <is>
          <t>MEDIUM</t>
        </is>
      </c>
      <c r="F1572" s="17" t="inlineStr">
        <is>
          <t>CAO</t>
        </is>
      </c>
      <c r="G1572" s="18" t="inlineStr">
        <is>
          <t>RISK_MEDIUM</t>
        </is>
      </c>
      <c r="H1572" s="19" t="n">
        <v>2970.071300964355</v>
      </c>
      <c r="I1572" s="19" t="n">
        <v>3847.798428955078</v>
      </c>
      <c r="J1572" s="19" t="n">
        <v>4969.817912658691</v>
      </c>
      <c r="K1572" s="19" t="n">
        <v>3847.798428955078</v>
      </c>
      <c r="L1572" s="19" t="n">
        <v>4549.060606269836</v>
      </c>
      <c r="M1572" s="19" t="n">
        <v>4969.817912658691</v>
      </c>
      <c r="N1572" s="17" t="inlineStr">
        <is>
          <t>C</t>
        </is>
      </c>
      <c r="O1572" s="19" t="n">
        <v>1891.579169494628</v>
      </c>
      <c r="P1572" s="18" t="inlineStr">
        <is>
          <t>CÂN NHẮC THỬ NGHIỆM</t>
        </is>
      </c>
      <c r="Q1572" s="17" t="inlineStr">
        <is>
          <t>Không</t>
        </is>
      </c>
      <c r="R1572" s="20" t="n"/>
      <c r="S1572" s="20" t="n"/>
      <c r="T1572" s="21" t="n"/>
      <c r="U1572" s="21" t="n"/>
      <c r="V1572" s="22">
        <f>IF(U1572="A",K1572,IF(U1572="B",L1572,IF(U1572="C",M1572,IF(N1572="A",K1572,IF(N1572="B",L1572,M1572)))))</f>
        <v/>
      </c>
      <c r="W1572" s="22">
        <f>IF(R1572="",O1572,MAX(V1572-R1572-N(S1572),0))</f>
        <v/>
      </c>
      <c r="X1572" s="20" t="n"/>
      <c r="Y1572" s="23">
        <f>IF(OR(X1572="",W1572=0),"",X1572/W1572-1)</f>
        <v/>
      </c>
      <c r="Z1572" s="24" t="n"/>
      <c r="AA1572" s="21" t="n"/>
      <c r="AB1572" s="25" t="n"/>
      <c r="AC1572" s="26">
        <f>IF(T1572="","Chưa quyết định",IF(OR(Z1572="",AA1572=""),"⚠ Thiếu lý do/người duyệt",IF(AND(X1572&lt;&gt;"",N(X1572)+N(R1572)+N(S1572)&gt;M1572*1.001,R1572&lt;&gt;""),"⚠ Vượt mục tiêu P90",IF(AND(Y1572&lt;&gt;"",ABS(N(Y1572))&gt;0.3),"⚠ Lệch &gt; 30% so với nhu cầu",IF(Q1572="Có","ℹ Kiểm tra ngoại suy KM","✓ Hợp lệ")))))</f>
        <v/>
      </c>
    </row>
    <row r="1573">
      <c r="A1573" s="16" t="n">
        <v>1569</v>
      </c>
      <c r="B1573" s="17" t="inlineStr">
        <is>
          <t>DEC-S24-EGGS</t>
        </is>
      </c>
      <c r="C1573" s="16" t="n">
        <v>24</v>
      </c>
      <c r="D1573" s="17" t="inlineStr">
        <is>
          <t>EGGS</t>
        </is>
      </c>
      <c r="E1573" s="17" t="inlineStr">
        <is>
          <t>MEDIUM</t>
        </is>
      </c>
      <c r="F1573" s="17" t="inlineStr">
        <is>
          <t>CAO</t>
        </is>
      </c>
      <c r="G1573" s="18" t="inlineStr">
        <is>
          <t>RISK_MEDIUM</t>
        </is>
      </c>
      <c r="H1573" s="19" t="n">
        <v>2967.122661254883</v>
      </c>
      <c r="I1573" s="19" t="n">
        <v>3826.089587158203</v>
      </c>
      <c r="J1573" s="19" t="n">
        <v>4919.850150268555</v>
      </c>
      <c r="K1573" s="19" t="n">
        <v>3826.089587158203</v>
      </c>
      <c r="L1573" s="19" t="n">
        <v>4509.689939102173</v>
      </c>
      <c r="M1573" s="19" t="n">
        <v>4919.850150268555</v>
      </c>
      <c r="N1573" s="17" t="inlineStr">
        <is>
          <t>C</t>
        </is>
      </c>
      <c r="O1573" s="19" t="n">
        <v>1858.978480541992</v>
      </c>
      <c r="P1573" s="18" t="inlineStr">
        <is>
          <t>CÂN NHẮC THỬ NGHIỆM</t>
        </is>
      </c>
      <c r="Q1573" s="17" t="inlineStr">
        <is>
          <t>Không</t>
        </is>
      </c>
      <c r="R1573" s="20" t="n"/>
      <c r="S1573" s="20" t="n"/>
      <c r="T1573" s="21" t="n"/>
      <c r="U1573" s="21" t="n"/>
      <c r="V1573" s="22">
        <f>IF(U1573="A",K1573,IF(U1573="B",L1573,IF(U1573="C",M1573,IF(N1573="A",K1573,IF(N1573="B",L1573,M1573)))))</f>
        <v/>
      </c>
      <c r="W1573" s="22">
        <f>IF(R1573="",O1573,MAX(V1573-R1573-N(S1573),0))</f>
        <v/>
      </c>
      <c r="X1573" s="20" t="n"/>
      <c r="Y1573" s="23">
        <f>IF(OR(X1573="",W1573=0),"",X1573/W1573-1)</f>
        <v/>
      </c>
      <c r="Z1573" s="24" t="n"/>
      <c r="AA1573" s="21" t="n"/>
      <c r="AB1573" s="25" t="n"/>
      <c r="AC1573" s="26">
        <f>IF(T1573="","Chưa quyết định",IF(OR(Z1573="",AA1573=""),"⚠ Thiếu lý do/người duyệt",IF(AND(X1573&lt;&gt;"",N(X1573)+N(R1573)+N(S1573)&gt;M1573*1.001,R1573&lt;&gt;""),"⚠ Vượt mục tiêu P90",IF(AND(Y1573&lt;&gt;"",ABS(N(Y1573))&gt;0.3),"⚠ Lệch &gt; 30% so với nhu cầu",IF(Q1573="Có","ℹ Kiểm tra ngoại suy KM","✓ Hợp lệ")))))</f>
        <v/>
      </c>
    </row>
    <row r="1574">
      <c r="A1574" s="16" t="n">
        <v>1570</v>
      </c>
      <c r="B1574" s="17" t="inlineStr">
        <is>
          <t>DEC-S02-DELI</t>
        </is>
      </c>
      <c r="C1574" s="16" t="n">
        <v>2</v>
      </c>
      <c r="D1574" s="17" t="inlineStr">
        <is>
          <t>DELI</t>
        </is>
      </c>
      <c r="E1574" s="17" t="inlineStr">
        <is>
          <t>MEDIUM</t>
        </is>
      </c>
      <c r="F1574" s="17" t="inlineStr">
        <is>
          <t>CAO</t>
        </is>
      </c>
      <c r="G1574" s="18" t="inlineStr">
        <is>
          <t>RISK_MEDIUM</t>
        </is>
      </c>
      <c r="H1574" s="19" t="n">
        <v>2976.195536437988</v>
      </c>
      <c r="I1574" s="19" t="n">
        <v>3816.402260253906</v>
      </c>
      <c r="J1574" s="19" t="n">
        <v>4881.903902770996</v>
      </c>
      <c r="K1574" s="19" t="n">
        <v>3816.402260253906</v>
      </c>
      <c r="L1574" s="19" t="n">
        <v>4482.340786827087</v>
      </c>
      <c r="M1574" s="19" t="n">
        <v>4881.903902770996</v>
      </c>
      <c r="N1574" s="17" t="inlineStr">
        <is>
          <t>C</t>
        </is>
      </c>
      <c r="O1574" s="19" t="n">
        <v>1828.782094567871</v>
      </c>
      <c r="P1574" s="18" t="inlineStr">
        <is>
          <t>KHÔNG ĐỀ XUẤT TĂNG</t>
        </is>
      </c>
      <c r="Q1574" s="17" t="inlineStr">
        <is>
          <t>Không</t>
        </is>
      </c>
      <c r="R1574" s="20" t="n"/>
      <c r="S1574" s="20" t="n"/>
      <c r="T1574" s="21" t="n"/>
      <c r="U1574" s="21" t="n"/>
      <c r="V1574" s="22">
        <f>IF(U1574="A",K1574,IF(U1574="B",L1574,IF(U1574="C",M1574,IF(N1574="A",K1574,IF(N1574="B",L1574,M1574)))))</f>
        <v/>
      </c>
      <c r="W1574" s="22">
        <f>IF(R1574="",O1574,MAX(V1574-R1574-N(S1574),0))</f>
        <v/>
      </c>
      <c r="X1574" s="20" t="n"/>
      <c r="Y1574" s="23">
        <f>IF(OR(X1574="",W1574=0),"",X1574/W1574-1)</f>
        <v/>
      </c>
      <c r="Z1574" s="24" t="n"/>
      <c r="AA1574" s="21" t="n"/>
      <c r="AB1574" s="25" t="n"/>
      <c r="AC1574" s="26">
        <f>IF(T1574="","Chưa quyết định",IF(OR(Z1574="",AA1574=""),"⚠ Thiếu lý do/người duyệt",IF(AND(X1574&lt;&gt;"",N(X1574)+N(R1574)+N(S1574)&gt;M1574*1.001,R1574&lt;&gt;""),"⚠ Vượt mục tiêu P90",IF(AND(Y1574&lt;&gt;"",ABS(N(Y1574))&gt;0.3),"⚠ Lệch &gt; 30% so với nhu cầu",IF(Q1574="Có","ℹ Kiểm tra ngoại suy KM","✓ Hợp lệ")))))</f>
        <v/>
      </c>
    </row>
    <row r="1575">
      <c r="A1575" s="16" t="n">
        <v>1571</v>
      </c>
      <c r="B1575" s="17" t="inlineStr">
        <is>
          <t>DEC-S37-MEATS</t>
        </is>
      </c>
      <c r="C1575" s="16" t="n">
        <v>37</v>
      </c>
      <c r="D1575" s="17" t="inlineStr">
        <is>
          <t>MEATS</t>
        </is>
      </c>
      <c r="E1575" s="17" t="inlineStr">
        <is>
          <t>MEDIUM</t>
        </is>
      </c>
      <c r="F1575" s="17" t="inlineStr">
        <is>
          <t>CAO</t>
        </is>
      </c>
      <c r="G1575" s="18" t="inlineStr">
        <is>
          <t>RISK_MEDIUM</t>
        </is>
      </c>
      <c r="H1575" s="19" t="n">
        <v>2973.311807617187</v>
      </c>
      <c r="I1575" s="19" t="n">
        <v>3794.758329345703</v>
      </c>
      <c r="J1575" s="19" t="n">
        <v>4832.001051269532</v>
      </c>
      <c r="K1575" s="19" t="n">
        <v>3794.758329345703</v>
      </c>
      <c r="L1575" s="19" t="n">
        <v>4443.035030548096</v>
      </c>
      <c r="M1575" s="19" t="n">
        <v>4832.001051269532</v>
      </c>
      <c r="N1575" s="17" t="inlineStr">
        <is>
          <t>C</t>
        </is>
      </c>
      <c r="O1575" s="19" t="n">
        <v>1796.194387792969</v>
      </c>
      <c r="P1575" s="18" t="inlineStr">
        <is>
          <t>CÂN NHẮC THỬ NGHIỆM</t>
        </is>
      </c>
      <c r="Q1575" s="17" t="inlineStr">
        <is>
          <t>Không</t>
        </is>
      </c>
      <c r="R1575" s="20" t="n"/>
      <c r="S1575" s="20" t="n"/>
      <c r="T1575" s="21" t="n"/>
      <c r="U1575" s="21" t="n"/>
      <c r="V1575" s="22">
        <f>IF(U1575="A",K1575,IF(U1575="B",L1575,IF(U1575="C",M1575,IF(N1575="A",K1575,IF(N1575="B",L1575,M1575)))))</f>
        <v/>
      </c>
      <c r="W1575" s="22">
        <f>IF(R1575="",O1575,MAX(V1575-R1575-N(S1575),0))</f>
        <v/>
      </c>
      <c r="X1575" s="20" t="n"/>
      <c r="Y1575" s="23">
        <f>IF(OR(X1575="",W1575=0),"",X1575/W1575-1)</f>
        <v/>
      </c>
      <c r="Z1575" s="24" t="n"/>
      <c r="AA1575" s="21" t="n"/>
      <c r="AB1575" s="25" t="n"/>
      <c r="AC1575" s="26">
        <f>IF(T1575="","Chưa quyết định",IF(OR(Z1575="",AA1575=""),"⚠ Thiếu lý do/người duyệt",IF(AND(X1575&lt;&gt;"",N(X1575)+N(R1575)+N(S1575)&gt;M1575*1.001,R1575&lt;&gt;""),"⚠ Vượt mục tiêu P90",IF(AND(Y1575&lt;&gt;"",ABS(N(Y1575))&gt;0.3),"⚠ Lệch &gt; 30% so với nhu cầu",IF(Q1575="Có","ℹ Kiểm tra ngoại suy KM","✓ Hợp lệ")))))</f>
        <v/>
      </c>
    </row>
    <row r="1576">
      <c r="A1576" s="16" t="n">
        <v>1572</v>
      </c>
      <c r="B1576" s="17" t="inlineStr">
        <is>
          <t>DEC-S05-DELI</t>
        </is>
      </c>
      <c r="C1576" s="16" t="n">
        <v>5</v>
      </c>
      <c r="D1576" s="17" t="inlineStr">
        <is>
          <t>DELI</t>
        </is>
      </c>
      <c r="E1576" s="17" t="inlineStr">
        <is>
          <t>MEDIUM</t>
        </is>
      </c>
      <c r="F1576" s="17" t="inlineStr">
        <is>
          <t>CAO</t>
        </is>
      </c>
      <c r="G1576" s="18" t="inlineStr">
        <is>
          <t>RISK_MEDIUM</t>
        </is>
      </c>
      <c r="H1576" s="19" t="n">
        <v>2869.238065063476</v>
      </c>
      <c r="I1576" s="19" t="n">
        <v>3765.725395141601</v>
      </c>
      <c r="J1576" s="19" t="n">
        <v>4916.003799438477</v>
      </c>
      <c r="K1576" s="19" t="n">
        <v>3765.725395141601</v>
      </c>
      <c r="L1576" s="19" t="n">
        <v>4484.649397827148</v>
      </c>
      <c r="M1576" s="19" t="n">
        <v>4916.003799438477</v>
      </c>
      <c r="N1576" s="17" t="inlineStr">
        <is>
          <t>C</t>
        </is>
      </c>
      <c r="O1576" s="19" t="n">
        <v>1903.423483325196</v>
      </c>
      <c r="P1576" s="18" t="inlineStr">
        <is>
          <t>KHÔNG ĐỀ XUẤT TĂNG</t>
        </is>
      </c>
      <c r="Q1576" s="17" t="inlineStr">
        <is>
          <t>Không</t>
        </is>
      </c>
      <c r="R1576" s="20" t="n"/>
      <c r="S1576" s="20" t="n"/>
      <c r="T1576" s="21" t="n"/>
      <c r="U1576" s="21" t="n"/>
      <c r="V1576" s="22">
        <f>IF(U1576="A",K1576,IF(U1576="B",L1576,IF(U1576="C",M1576,IF(N1576="A",K1576,IF(N1576="B",L1576,M1576)))))</f>
        <v/>
      </c>
      <c r="W1576" s="22">
        <f>IF(R1576="",O1576,MAX(V1576-R1576-N(S1576),0))</f>
        <v/>
      </c>
      <c r="X1576" s="20" t="n"/>
      <c r="Y1576" s="23">
        <f>IF(OR(X1576="",W1576=0),"",X1576/W1576-1)</f>
        <v/>
      </c>
      <c r="Z1576" s="24" t="n"/>
      <c r="AA1576" s="21" t="n"/>
      <c r="AB1576" s="25" t="n"/>
      <c r="AC1576" s="26">
        <f>IF(T1576="","Chưa quyết định",IF(OR(Z1576="",AA1576=""),"⚠ Thiếu lý do/người duyệt",IF(AND(X1576&lt;&gt;"",N(X1576)+N(R1576)+N(S1576)&gt;M1576*1.001,R1576&lt;&gt;""),"⚠ Vượt mục tiêu P90",IF(AND(Y1576&lt;&gt;"",ABS(N(Y1576))&gt;0.3),"⚠ Lệch &gt; 30% so với nhu cầu",IF(Q1576="Có","ℹ Kiểm tra ngoại suy KM","✓ Hợp lệ")))))</f>
        <v/>
      </c>
    </row>
    <row r="1577">
      <c r="A1577" s="16" t="n">
        <v>1573</v>
      </c>
      <c r="B1577" s="17" t="inlineStr">
        <is>
          <t>DEC-S33-HOME_CARE</t>
        </is>
      </c>
      <c r="C1577" s="16" t="n">
        <v>33</v>
      </c>
      <c r="D1577" s="17" t="inlineStr">
        <is>
          <t>HOME CARE</t>
        </is>
      </c>
      <c r="E1577" s="17" t="inlineStr">
        <is>
          <t>MEDIUM</t>
        </is>
      </c>
      <c r="F1577" s="17" t="inlineStr">
        <is>
          <t>CAO</t>
        </is>
      </c>
      <c r="G1577" s="18" t="inlineStr">
        <is>
          <t>RISK_MEDIUM</t>
        </is>
      </c>
      <c r="H1577" s="19" t="n">
        <v>2904.476496520996</v>
      </c>
      <c r="I1577" s="19" t="n">
        <v>3744.683220336914</v>
      </c>
      <c r="J1577" s="19" t="n">
        <v>4810.184862854004</v>
      </c>
      <c r="K1577" s="19" t="n">
        <v>3744.683220336914</v>
      </c>
      <c r="L1577" s="19" t="n">
        <v>4410.621746910095</v>
      </c>
      <c r="M1577" s="19" t="n">
        <v>4810.184862854004</v>
      </c>
      <c r="N1577" s="17" t="inlineStr">
        <is>
          <t>C</t>
        </is>
      </c>
      <c r="O1577" s="19" t="n">
        <v>1814.438286584473</v>
      </c>
      <c r="P1577" s="18" t="inlineStr">
        <is>
          <t>KHÔNG ĐỀ XUẤT TĂNG</t>
        </is>
      </c>
      <c r="Q1577" s="17" t="inlineStr">
        <is>
          <t>Không</t>
        </is>
      </c>
      <c r="R1577" s="20" t="n"/>
      <c r="S1577" s="20" t="n"/>
      <c r="T1577" s="21" t="n"/>
      <c r="U1577" s="21" t="n"/>
      <c r="V1577" s="22">
        <f>IF(U1577="A",K1577,IF(U1577="B",L1577,IF(U1577="C",M1577,IF(N1577="A",K1577,IF(N1577="B",L1577,M1577)))))</f>
        <v/>
      </c>
      <c r="W1577" s="22">
        <f>IF(R1577="",O1577,MAX(V1577-R1577-N(S1577),0))</f>
        <v/>
      </c>
      <c r="X1577" s="20" t="n"/>
      <c r="Y1577" s="23">
        <f>IF(OR(X1577="",W1577=0),"",X1577/W1577-1)</f>
        <v/>
      </c>
      <c r="Z1577" s="24" t="n"/>
      <c r="AA1577" s="21" t="n"/>
      <c r="AB1577" s="25" t="n"/>
      <c r="AC1577" s="26">
        <f>IF(T1577="","Chưa quyết định",IF(OR(Z1577="",AA1577=""),"⚠ Thiếu lý do/người duyệt",IF(AND(X1577&lt;&gt;"",N(X1577)+N(R1577)+N(S1577)&gt;M1577*1.001,R1577&lt;&gt;""),"⚠ Vượt mục tiêu P90",IF(AND(Y1577&lt;&gt;"",ABS(N(Y1577))&gt;0.3),"⚠ Lệch &gt; 30% so với nhu cầu",IF(Q1577="Có","ℹ Kiểm tra ngoại suy KM","✓ Hợp lệ")))))</f>
        <v/>
      </c>
    </row>
    <row r="1578">
      <c r="A1578" s="16" t="n">
        <v>1574</v>
      </c>
      <c r="B1578" s="17" t="inlineStr">
        <is>
          <t>DEC-S45-LIQUOR_WINE_BEER</t>
        </is>
      </c>
      <c r="C1578" s="16" t="n">
        <v>45</v>
      </c>
      <c r="D1578" s="17" t="inlineStr">
        <is>
          <t>LIQUOR,WINE,BEER</t>
        </is>
      </c>
      <c r="E1578" s="17" t="inlineStr">
        <is>
          <t>MEDIUM</t>
        </is>
      </c>
      <c r="F1578" s="17" t="inlineStr">
        <is>
          <t>CAO</t>
        </is>
      </c>
      <c r="G1578" s="18" t="inlineStr">
        <is>
          <t>RISK_MEDIUM</t>
        </is>
      </c>
      <c r="H1578" s="19" t="n">
        <v>2948.54797076416</v>
      </c>
      <c r="I1578" s="19" t="n">
        <v>3742.679259277344</v>
      </c>
      <c r="J1578" s="19" t="n">
        <v>4720.637336853028</v>
      </c>
      <c r="K1578" s="19" t="n">
        <v>3742.679259277344</v>
      </c>
      <c r="L1578" s="19" t="n">
        <v>4353.903057762146</v>
      </c>
      <c r="M1578" s="19" t="n">
        <v>4720.637336853028</v>
      </c>
      <c r="N1578" s="17" t="inlineStr">
        <is>
          <t>C</t>
        </is>
      </c>
      <c r="O1578" s="19" t="n">
        <v>1726.493929431152</v>
      </c>
      <c r="P1578" s="18" t="inlineStr">
        <is>
          <t>CÂN NHẮC THỬ NGHIỆM</t>
        </is>
      </c>
      <c r="Q1578" s="17" t="inlineStr">
        <is>
          <t>Không</t>
        </is>
      </c>
      <c r="R1578" s="20" t="n"/>
      <c r="S1578" s="20" t="n"/>
      <c r="T1578" s="21" t="n"/>
      <c r="U1578" s="21" t="n"/>
      <c r="V1578" s="22">
        <f>IF(U1578="A",K1578,IF(U1578="B",L1578,IF(U1578="C",M1578,IF(N1578="A",K1578,IF(N1578="B",L1578,M1578)))))</f>
        <v/>
      </c>
      <c r="W1578" s="22">
        <f>IF(R1578="",O1578,MAX(V1578-R1578-N(S1578),0))</f>
        <v/>
      </c>
      <c r="X1578" s="20" t="n"/>
      <c r="Y1578" s="23">
        <f>IF(OR(X1578="",W1578=0),"",X1578/W1578-1)</f>
        <v/>
      </c>
      <c r="Z1578" s="24" t="n"/>
      <c r="AA1578" s="21" t="n"/>
      <c r="AB1578" s="25" t="n"/>
      <c r="AC1578" s="26">
        <f>IF(T1578="","Chưa quyết định",IF(OR(Z1578="",AA1578=""),"⚠ Thiếu lý do/người duyệt",IF(AND(X1578&lt;&gt;"",N(X1578)+N(R1578)+N(S1578)&gt;M1578*1.001,R1578&lt;&gt;""),"⚠ Vượt mục tiêu P90",IF(AND(Y1578&lt;&gt;"",ABS(N(Y1578))&gt;0.3),"⚠ Lệch &gt; 30% so với nhu cầu",IF(Q1578="Có","ℹ Kiểm tra ngoại suy KM","✓ Hợp lệ")))))</f>
        <v/>
      </c>
    </row>
    <row r="1579">
      <c r="A1579" s="16" t="n">
        <v>1575</v>
      </c>
      <c r="B1579" s="17" t="inlineStr">
        <is>
          <t>DEC-S53-HOME_CARE</t>
        </is>
      </c>
      <c r="C1579" s="16" t="n">
        <v>53</v>
      </c>
      <c r="D1579" s="17" t="inlineStr">
        <is>
          <t>HOME CARE</t>
        </is>
      </c>
      <c r="E1579" s="17" t="inlineStr">
        <is>
          <t>MEDIUM</t>
        </is>
      </c>
      <c r="F1579" s="17" t="inlineStr">
        <is>
          <t>CAO</t>
        </is>
      </c>
      <c r="G1579" s="18" t="inlineStr">
        <is>
          <t>RISK_MEDIUM</t>
        </is>
      </c>
      <c r="H1579" s="19" t="n">
        <v>2883.123972717285</v>
      </c>
      <c r="I1579" s="19" t="n">
        <v>3723.330696533203</v>
      </c>
      <c r="J1579" s="19" t="n">
        <v>4788.832339050293</v>
      </c>
      <c r="K1579" s="19" t="n">
        <v>3723.330696533203</v>
      </c>
      <c r="L1579" s="19" t="n">
        <v>4389.269223106384</v>
      </c>
      <c r="M1579" s="19" t="n">
        <v>4788.832339050293</v>
      </c>
      <c r="N1579" s="17" t="inlineStr">
        <is>
          <t>C</t>
        </is>
      </c>
      <c r="O1579" s="19" t="n">
        <v>1810.16778182373</v>
      </c>
      <c r="P1579" s="18" t="inlineStr">
        <is>
          <t>KHÔNG ĐỀ XUẤT TĂNG</t>
        </is>
      </c>
      <c r="Q1579" s="17" t="inlineStr">
        <is>
          <t>Không</t>
        </is>
      </c>
      <c r="R1579" s="20" t="n"/>
      <c r="S1579" s="20" t="n"/>
      <c r="T1579" s="21" t="n"/>
      <c r="U1579" s="21" t="n"/>
      <c r="V1579" s="22">
        <f>IF(U1579="A",K1579,IF(U1579="B",L1579,IF(U1579="C",M1579,IF(N1579="A",K1579,IF(N1579="B",L1579,M1579)))))</f>
        <v/>
      </c>
      <c r="W1579" s="22">
        <f>IF(R1579="",O1579,MAX(V1579-R1579-N(S1579),0))</f>
        <v/>
      </c>
      <c r="X1579" s="20" t="n"/>
      <c r="Y1579" s="23">
        <f>IF(OR(X1579="",W1579=0),"",X1579/W1579-1)</f>
        <v/>
      </c>
      <c r="Z1579" s="24" t="n"/>
      <c r="AA1579" s="21" t="n"/>
      <c r="AB1579" s="25" t="n"/>
      <c r="AC1579" s="26">
        <f>IF(T1579="","Chưa quyết định",IF(OR(Z1579="",AA1579=""),"⚠ Thiếu lý do/người duyệt",IF(AND(X1579&lt;&gt;"",N(X1579)+N(R1579)+N(S1579)&gt;M1579*1.001,R1579&lt;&gt;""),"⚠ Vượt mục tiêu P90",IF(AND(Y1579&lt;&gt;"",ABS(N(Y1579))&gt;0.3),"⚠ Lệch &gt; 30% so với nhu cầu",IF(Q1579="Có","ℹ Kiểm tra ngoại suy KM","✓ Hợp lệ")))))</f>
        <v/>
      </c>
    </row>
    <row r="1580">
      <c r="A1580" s="16" t="n">
        <v>1576</v>
      </c>
      <c r="B1580" s="17" t="inlineStr">
        <is>
          <t>DEC-S15-HOME_CARE</t>
        </is>
      </c>
      <c r="C1580" s="16" t="n">
        <v>15</v>
      </c>
      <c r="D1580" s="17" t="inlineStr">
        <is>
          <t>HOME CARE</t>
        </is>
      </c>
      <c r="E1580" s="17" t="inlineStr">
        <is>
          <t>MEDIUM</t>
        </is>
      </c>
      <c r="F1580" s="17" t="inlineStr">
        <is>
          <t>CAO</t>
        </is>
      </c>
      <c r="G1580" s="18" t="inlineStr">
        <is>
          <t>RISK_MEDIUM</t>
        </is>
      </c>
      <c r="H1580" s="19" t="n">
        <v>2831.451092224121</v>
      </c>
      <c r="I1580" s="19" t="n">
        <v>3709.178220214844</v>
      </c>
      <c r="J1580" s="19" t="n">
        <v>4831.197703918457</v>
      </c>
      <c r="K1580" s="19" t="n">
        <v>3709.178220214844</v>
      </c>
      <c r="L1580" s="19" t="n">
        <v>4410.440397529602</v>
      </c>
      <c r="M1580" s="19" t="n">
        <v>4831.197703918457</v>
      </c>
      <c r="N1580" s="17" t="inlineStr">
        <is>
          <t>C</t>
        </is>
      </c>
      <c r="O1580" s="19" t="n">
        <v>1863.855127746581</v>
      </c>
      <c r="P1580" s="18" t="inlineStr">
        <is>
          <t>KHÔNG ĐỀ XUẤT TĂNG</t>
        </is>
      </c>
      <c r="Q1580" s="17" t="inlineStr">
        <is>
          <t>Không</t>
        </is>
      </c>
      <c r="R1580" s="20" t="n"/>
      <c r="S1580" s="20" t="n"/>
      <c r="T1580" s="21" t="n"/>
      <c r="U1580" s="21" t="n"/>
      <c r="V1580" s="22">
        <f>IF(U1580="A",K1580,IF(U1580="B",L1580,IF(U1580="C",M1580,IF(N1580="A",K1580,IF(N1580="B",L1580,M1580)))))</f>
        <v/>
      </c>
      <c r="W1580" s="22">
        <f>IF(R1580="",O1580,MAX(V1580-R1580-N(S1580),0))</f>
        <v/>
      </c>
      <c r="X1580" s="20" t="n"/>
      <c r="Y1580" s="23">
        <f>IF(OR(X1580="",W1580=0),"",X1580/W1580-1)</f>
        <v/>
      </c>
      <c r="Z1580" s="24" t="n"/>
      <c r="AA1580" s="21" t="n"/>
      <c r="AB1580" s="25" t="n"/>
      <c r="AC1580" s="26">
        <f>IF(T1580="","Chưa quyết định",IF(OR(Z1580="",AA1580=""),"⚠ Thiếu lý do/người duyệt",IF(AND(X1580&lt;&gt;"",N(X1580)+N(R1580)+N(S1580)&gt;M1580*1.001,R1580&lt;&gt;""),"⚠ Vượt mục tiêu P90",IF(AND(Y1580&lt;&gt;"",ABS(N(Y1580))&gt;0.3),"⚠ Lệch &gt; 30% so với nhu cầu",IF(Q1580="Có","ℹ Kiểm tra ngoại suy KM","✓ Hợp lệ")))))</f>
        <v/>
      </c>
    </row>
    <row r="1581">
      <c r="A1581" s="16" t="n">
        <v>1577</v>
      </c>
      <c r="B1581" s="17" t="inlineStr">
        <is>
          <t>DEC-S34-HOME_CARE</t>
        </is>
      </c>
      <c r="C1581" s="16" t="n">
        <v>34</v>
      </c>
      <c r="D1581" s="17" t="inlineStr">
        <is>
          <t>HOME CARE</t>
        </is>
      </c>
      <c r="E1581" s="17" t="inlineStr">
        <is>
          <t>MEDIUM</t>
        </is>
      </c>
      <c r="F1581" s="17" t="inlineStr">
        <is>
          <t>CAO</t>
        </is>
      </c>
      <c r="G1581" s="18" t="inlineStr">
        <is>
          <t>RISK_MEDIUM</t>
        </is>
      </c>
      <c r="H1581" s="19" t="n">
        <v>2868.190226379395</v>
      </c>
      <c r="I1581" s="19" t="n">
        <v>3708.396950195313</v>
      </c>
      <c r="J1581" s="19" t="n">
        <v>4773.898592712402</v>
      </c>
      <c r="K1581" s="19" t="n">
        <v>3708.396950195313</v>
      </c>
      <c r="L1581" s="19" t="n">
        <v>4374.335476768494</v>
      </c>
      <c r="M1581" s="19" t="n">
        <v>4773.898592712402</v>
      </c>
      <c r="N1581" s="17" t="inlineStr">
        <is>
          <t>C</t>
        </is>
      </c>
      <c r="O1581" s="19" t="n">
        <v>1807.181032556152</v>
      </c>
      <c r="P1581" s="18" t="inlineStr">
        <is>
          <t>CÂN NHẮC THỬ NGHIỆM</t>
        </is>
      </c>
      <c r="Q1581" s="17" t="inlineStr">
        <is>
          <t>Không</t>
        </is>
      </c>
      <c r="R1581" s="20" t="n"/>
      <c r="S1581" s="20" t="n"/>
      <c r="T1581" s="21" t="n"/>
      <c r="U1581" s="21" t="n"/>
      <c r="V1581" s="22">
        <f>IF(U1581="A",K1581,IF(U1581="B",L1581,IF(U1581="C",M1581,IF(N1581="A",K1581,IF(N1581="B",L1581,M1581)))))</f>
        <v/>
      </c>
      <c r="W1581" s="22">
        <f>IF(R1581="",O1581,MAX(V1581-R1581-N(S1581),0))</f>
        <v/>
      </c>
      <c r="X1581" s="20" t="n"/>
      <c r="Y1581" s="23">
        <f>IF(OR(X1581="",W1581=0),"",X1581/W1581-1)</f>
        <v/>
      </c>
      <c r="Z1581" s="24" t="n"/>
      <c r="AA1581" s="21" t="n"/>
      <c r="AB1581" s="25" t="n"/>
      <c r="AC1581" s="26">
        <f>IF(T1581="","Chưa quyết định",IF(OR(Z1581="",AA1581=""),"⚠ Thiếu lý do/người duyệt",IF(AND(X1581&lt;&gt;"",N(X1581)+N(R1581)+N(S1581)&gt;M1581*1.001,R1581&lt;&gt;""),"⚠ Vượt mục tiêu P90",IF(AND(Y1581&lt;&gt;"",ABS(N(Y1581))&gt;0.3),"⚠ Lệch &gt; 30% so với nhu cầu",IF(Q1581="Có","ℹ Kiểm tra ngoại suy KM","✓ Hợp lệ")))))</f>
        <v/>
      </c>
    </row>
    <row r="1582">
      <c r="A1582" s="16" t="n">
        <v>1578</v>
      </c>
      <c r="B1582" s="17" t="inlineStr">
        <is>
          <t>DEC-S36-DELI</t>
        </is>
      </c>
      <c r="C1582" s="16" t="n">
        <v>36</v>
      </c>
      <c r="D1582" s="17" t="inlineStr">
        <is>
          <t>DELI</t>
        </is>
      </c>
      <c r="E1582" s="17" t="inlineStr">
        <is>
          <t>MEDIUM</t>
        </is>
      </c>
      <c r="F1582" s="17" t="inlineStr">
        <is>
          <t>CAO</t>
        </is>
      </c>
      <c r="G1582" s="18" t="inlineStr">
        <is>
          <t>RISK_MEDIUM</t>
        </is>
      </c>
      <c r="H1582" s="19" t="n">
        <v>2849.343883178711</v>
      </c>
      <c r="I1582" s="19" t="n">
        <v>3708.310809082031</v>
      </c>
      <c r="J1582" s="19" t="n">
        <v>4802.071372192383</v>
      </c>
      <c r="K1582" s="19" t="n">
        <v>3708.310809082031</v>
      </c>
      <c r="L1582" s="19" t="n">
        <v>4391.911161026001</v>
      </c>
      <c r="M1582" s="19" t="n">
        <v>4802.071372192383</v>
      </c>
      <c r="N1582" s="17" t="inlineStr">
        <is>
          <t>C</t>
        </is>
      </c>
      <c r="O1582" s="19" t="n">
        <v>1835.422724926758</v>
      </c>
      <c r="P1582" s="18" t="inlineStr">
        <is>
          <t>KHÔNG ĐỀ XUẤT TĂNG</t>
        </is>
      </c>
      <c r="Q1582" s="17" t="inlineStr">
        <is>
          <t>Không</t>
        </is>
      </c>
      <c r="R1582" s="20" t="n"/>
      <c r="S1582" s="20" t="n"/>
      <c r="T1582" s="21" t="n"/>
      <c r="U1582" s="21" t="n"/>
      <c r="V1582" s="22">
        <f>IF(U1582="A",K1582,IF(U1582="B",L1582,IF(U1582="C",M1582,IF(N1582="A",K1582,IF(N1582="B",L1582,M1582)))))</f>
        <v/>
      </c>
      <c r="W1582" s="22">
        <f>IF(R1582="",O1582,MAX(V1582-R1582-N(S1582),0))</f>
        <v/>
      </c>
      <c r="X1582" s="20" t="n"/>
      <c r="Y1582" s="23">
        <f>IF(OR(X1582="",W1582=0),"",X1582/W1582-1)</f>
        <v/>
      </c>
      <c r="Z1582" s="24" t="n"/>
      <c r="AA1582" s="21" t="n"/>
      <c r="AB1582" s="25" t="n"/>
      <c r="AC1582" s="26">
        <f>IF(T1582="","Chưa quyết định",IF(OR(Z1582="",AA1582=""),"⚠ Thiếu lý do/người duyệt",IF(AND(X1582&lt;&gt;"",N(X1582)+N(R1582)+N(S1582)&gt;M1582*1.001,R1582&lt;&gt;""),"⚠ Vượt mục tiêu P90",IF(AND(Y1582&lt;&gt;"",ABS(N(Y1582))&gt;0.3),"⚠ Lệch &gt; 30% so với nhu cầu",IF(Q1582="Có","ℹ Kiểm tra ngoại suy KM","✓ Hợp lệ")))))</f>
        <v/>
      </c>
    </row>
    <row r="1583">
      <c r="A1583" s="16" t="n">
        <v>1579</v>
      </c>
      <c r="B1583" s="17" t="inlineStr">
        <is>
          <t>DEC-S09-EGGS</t>
        </is>
      </c>
      <c r="C1583" s="16" t="n">
        <v>9</v>
      </c>
      <c r="D1583" s="17" t="inlineStr">
        <is>
          <t>EGGS</t>
        </is>
      </c>
      <c r="E1583" s="17" t="inlineStr">
        <is>
          <t>MEDIUM</t>
        </is>
      </c>
      <c r="F1583" s="17" t="inlineStr">
        <is>
          <t>CAO</t>
        </is>
      </c>
      <c r="G1583" s="18" t="inlineStr">
        <is>
          <t>RISK_MEDIUM</t>
        </is>
      </c>
      <c r="H1583" s="19" t="n">
        <v>2961.423025756836</v>
      </c>
      <c r="I1583" s="19" t="n">
        <v>3707.828739135742</v>
      </c>
      <c r="J1583" s="19" t="n">
        <v>4632.035778686523</v>
      </c>
      <c r="K1583" s="19" t="n">
        <v>3707.828739135742</v>
      </c>
      <c r="L1583" s="19" t="n">
        <v>4285.45813885498</v>
      </c>
      <c r="M1583" s="19" t="n">
        <v>4632.035778686523</v>
      </c>
      <c r="N1583" s="17" t="inlineStr">
        <is>
          <t>C</t>
        </is>
      </c>
      <c r="O1583" s="19" t="n">
        <v>1665.772787377929</v>
      </c>
      <c r="P1583" s="18" t="inlineStr">
        <is>
          <t>CÂN NHẮC THỬ NGHIỆM</t>
        </is>
      </c>
      <c r="Q1583" s="17" t="inlineStr">
        <is>
          <t>Không</t>
        </is>
      </c>
      <c r="R1583" s="20" t="n"/>
      <c r="S1583" s="20" t="n"/>
      <c r="T1583" s="21" t="n"/>
      <c r="U1583" s="21" t="n"/>
      <c r="V1583" s="22">
        <f>IF(U1583="A",K1583,IF(U1583="B",L1583,IF(U1583="C",M1583,IF(N1583="A",K1583,IF(N1583="B",L1583,M1583)))))</f>
        <v/>
      </c>
      <c r="W1583" s="22">
        <f>IF(R1583="",O1583,MAX(V1583-R1583-N(S1583),0))</f>
        <v/>
      </c>
      <c r="X1583" s="20" t="n"/>
      <c r="Y1583" s="23">
        <f>IF(OR(X1583="",W1583=0),"",X1583/W1583-1)</f>
        <v/>
      </c>
      <c r="Z1583" s="24" t="n"/>
      <c r="AA1583" s="21" t="n"/>
      <c r="AB1583" s="25" t="n"/>
      <c r="AC1583" s="26">
        <f>IF(T1583="","Chưa quyết định",IF(OR(Z1583="",AA1583=""),"⚠ Thiếu lý do/người duyệt",IF(AND(X1583&lt;&gt;"",N(X1583)+N(R1583)+N(S1583)&gt;M1583*1.001,R1583&lt;&gt;""),"⚠ Vượt mục tiêu P90",IF(AND(Y1583&lt;&gt;"",ABS(N(Y1583))&gt;0.3),"⚠ Lệch &gt; 30% so với nhu cầu",IF(Q1583="Có","ℹ Kiểm tra ngoại suy KM","✓ Hợp lệ")))))</f>
        <v/>
      </c>
    </row>
    <row r="1584">
      <c r="A1584" s="16" t="n">
        <v>1580</v>
      </c>
      <c r="B1584" s="17" t="inlineStr">
        <is>
          <t>DEC-S03-LIQUOR_WINE_BEER</t>
        </is>
      </c>
      <c r="C1584" s="16" t="n">
        <v>3</v>
      </c>
      <c r="D1584" s="17" t="inlineStr">
        <is>
          <t>LIQUOR,WINE,BEER</t>
        </is>
      </c>
      <c r="E1584" s="17" t="inlineStr">
        <is>
          <t>MEDIUM</t>
        </is>
      </c>
      <c r="F1584" s="17" t="inlineStr">
        <is>
          <t>CAO</t>
        </is>
      </c>
      <c r="G1584" s="18" t="inlineStr">
        <is>
          <t>RISK_MEDIUM</t>
        </is>
      </c>
      <c r="H1584" s="19" t="n">
        <v>2926.464275512695</v>
      </c>
      <c r="I1584" s="19" t="n">
        <v>3701.835361938477</v>
      </c>
      <c r="J1584" s="19" t="n">
        <v>4651.534518920898</v>
      </c>
      <c r="K1584" s="19" t="n">
        <v>3701.835361938477</v>
      </c>
      <c r="L1584" s="19" t="n">
        <v>4295.39733505249</v>
      </c>
      <c r="M1584" s="19" t="n">
        <v>4651.534518920898</v>
      </c>
      <c r="N1584" s="17" t="inlineStr">
        <is>
          <t>C</t>
        </is>
      </c>
      <c r="O1584" s="19" t="n">
        <v>1690.066229370117</v>
      </c>
      <c r="P1584" s="18" t="inlineStr">
        <is>
          <t>CÂN NHẮC THỬ NGHIỆM</t>
        </is>
      </c>
      <c r="Q1584" s="17" t="inlineStr">
        <is>
          <t>Không</t>
        </is>
      </c>
      <c r="R1584" s="20" t="n"/>
      <c r="S1584" s="20" t="n"/>
      <c r="T1584" s="21" t="n"/>
      <c r="U1584" s="21" t="n"/>
      <c r="V1584" s="22">
        <f>IF(U1584="A",K1584,IF(U1584="B",L1584,IF(U1584="C",M1584,IF(N1584="A",K1584,IF(N1584="B",L1584,M1584)))))</f>
        <v/>
      </c>
      <c r="W1584" s="22">
        <f>IF(R1584="",O1584,MAX(V1584-R1584-N(S1584),0))</f>
        <v/>
      </c>
      <c r="X1584" s="20" t="n"/>
      <c r="Y1584" s="23">
        <f>IF(OR(X1584="",W1584=0),"",X1584/W1584-1)</f>
        <v/>
      </c>
      <c r="Z1584" s="24" t="n"/>
      <c r="AA1584" s="21" t="n"/>
      <c r="AB1584" s="25" t="n"/>
      <c r="AC1584" s="26">
        <f>IF(T1584="","Chưa quyết định",IF(OR(Z1584="",AA1584=""),"⚠ Thiếu lý do/người duyệt",IF(AND(X1584&lt;&gt;"",N(X1584)+N(R1584)+N(S1584)&gt;M1584*1.001,R1584&lt;&gt;""),"⚠ Vượt mục tiêu P90",IF(AND(Y1584&lt;&gt;"",ABS(N(Y1584))&gt;0.3),"⚠ Lệch &gt; 30% so với nhu cầu",IF(Q1584="Có","ℹ Kiểm tra ngoại suy KM","✓ Hợp lệ")))))</f>
        <v/>
      </c>
    </row>
    <row r="1585">
      <c r="A1585" s="16" t="n">
        <v>1581</v>
      </c>
      <c r="B1585" s="17" t="inlineStr">
        <is>
          <t>DEC-S43-EGGS</t>
        </is>
      </c>
      <c r="C1585" s="16" t="n">
        <v>43</v>
      </c>
      <c r="D1585" s="17" t="inlineStr">
        <is>
          <t>EGGS</t>
        </is>
      </c>
      <c r="E1585" s="17" t="inlineStr">
        <is>
          <t>MEDIUM</t>
        </is>
      </c>
      <c r="F1585" s="17" t="inlineStr">
        <is>
          <t>CAO</t>
        </is>
      </c>
      <c r="G1585" s="18" t="inlineStr">
        <is>
          <t>RISK_MEDIUM</t>
        </is>
      </c>
      <c r="H1585" s="19" t="n">
        <v>2928.372004821777</v>
      </c>
      <c r="I1585" s="19" t="n">
        <v>3684.982889160157</v>
      </c>
      <c r="J1585" s="19" t="n">
        <v>4606.423125549316</v>
      </c>
      <c r="K1585" s="19" t="n">
        <v>3684.982889160157</v>
      </c>
      <c r="L1585" s="19" t="n">
        <v>4260.883036903381</v>
      </c>
      <c r="M1585" s="19" t="n">
        <v>4606.423125549316</v>
      </c>
      <c r="N1585" s="17" t="inlineStr">
        <is>
          <t>C</t>
        </is>
      </c>
      <c r="O1585" s="19" t="n">
        <v>1658.436814221191</v>
      </c>
      <c r="P1585" s="18" t="inlineStr">
        <is>
          <t>CÂN NHẮC THỬ NGHIỆM</t>
        </is>
      </c>
      <c r="Q1585" s="17" t="inlineStr">
        <is>
          <t>Không</t>
        </is>
      </c>
      <c r="R1585" s="20" t="n"/>
      <c r="S1585" s="20" t="n"/>
      <c r="T1585" s="21" t="n"/>
      <c r="U1585" s="21" t="n"/>
      <c r="V1585" s="22">
        <f>IF(U1585="A",K1585,IF(U1585="B",L1585,IF(U1585="C",M1585,IF(N1585="A",K1585,IF(N1585="B",L1585,M1585)))))</f>
        <v/>
      </c>
      <c r="W1585" s="22">
        <f>IF(R1585="",O1585,MAX(V1585-R1585-N(S1585),0))</f>
        <v/>
      </c>
      <c r="X1585" s="20" t="n"/>
      <c r="Y1585" s="23">
        <f>IF(OR(X1585="",W1585=0),"",X1585/W1585-1)</f>
        <v/>
      </c>
      <c r="Z1585" s="24" t="n"/>
      <c r="AA1585" s="21" t="n"/>
      <c r="AB1585" s="25" t="n"/>
      <c r="AC1585" s="26">
        <f>IF(T1585="","Chưa quyết định",IF(OR(Z1585="",AA1585=""),"⚠ Thiếu lý do/người duyệt",IF(AND(X1585&lt;&gt;"",N(X1585)+N(R1585)+N(S1585)&gt;M1585*1.001,R1585&lt;&gt;""),"⚠ Vượt mục tiêu P90",IF(AND(Y1585&lt;&gt;"",ABS(N(Y1585))&gt;0.3),"⚠ Lệch &gt; 30% so với nhu cầu",IF(Q1585="Có","ℹ Kiểm tra ngoại suy KM","✓ Hợp lệ")))))</f>
        <v/>
      </c>
    </row>
    <row r="1586">
      <c r="A1586" s="16" t="n">
        <v>1582</v>
      </c>
      <c r="B1586" s="17" t="inlineStr">
        <is>
          <t>DEC-S47-PREPARED_FOODS</t>
        </is>
      </c>
      <c r="C1586" s="16" t="n">
        <v>47</v>
      </c>
      <c r="D1586" s="17" t="inlineStr">
        <is>
          <t>PREPARED FOODS</t>
        </is>
      </c>
      <c r="E1586" s="17" t="inlineStr">
        <is>
          <t>MEDIUM</t>
        </is>
      </c>
      <c r="F1586" s="17" t="inlineStr">
        <is>
          <t>CAO</t>
        </is>
      </c>
      <c r="G1586" s="18" t="inlineStr">
        <is>
          <t>RISK_MEDIUM</t>
        </is>
      </c>
      <c r="H1586" s="19" t="n">
        <v>2811.545190795898</v>
      </c>
      <c r="I1586" s="19" t="n">
        <v>3632.991712524414</v>
      </c>
      <c r="J1586" s="19" t="n">
        <v>4670.234434448243</v>
      </c>
      <c r="K1586" s="19" t="n">
        <v>3632.991712524414</v>
      </c>
      <c r="L1586" s="19" t="n">
        <v>4281.268413726807</v>
      </c>
      <c r="M1586" s="19" t="n">
        <v>4670.234434448243</v>
      </c>
      <c r="N1586" s="17" t="inlineStr">
        <is>
          <t>C</t>
        </is>
      </c>
      <c r="O1586" s="19" t="n">
        <v>1763.841064428711</v>
      </c>
      <c r="P1586" s="18" t="inlineStr">
        <is>
          <t>CÂN NHẮC THỬ NGHIỆM</t>
        </is>
      </c>
      <c r="Q1586" s="17" t="inlineStr">
        <is>
          <t>Không</t>
        </is>
      </c>
      <c r="R1586" s="20" t="n"/>
      <c r="S1586" s="20" t="n"/>
      <c r="T1586" s="21" t="n"/>
      <c r="U1586" s="21" t="n"/>
      <c r="V1586" s="22">
        <f>IF(U1586="A",K1586,IF(U1586="B",L1586,IF(U1586="C",M1586,IF(N1586="A",K1586,IF(N1586="B",L1586,M1586)))))</f>
        <v/>
      </c>
      <c r="W1586" s="22">
        <f>IF(R1586="",O1586,MAX(V1586-R1586-N(S1586),0))</f>
        <v/>
      </c>
      <c r="X1586" s="20" t="n"/>
      <c r="Y1586" s="23">
        <f>IF(OR(X1586="",W1586=0),"",X1586/W1586-1)</f>
        <v/>
      </c>
      <c r="Z1586" s="24" t="n"/>
      <c r="AA1586" s="21" t="n"/>
      <c r="AB1586" s="25" t="n"/>
      <c r="AC1586" s="26">
        <f>IF(T1586="","Chưa quyết định",IF(OR(Z1586="",AA1586=""),"⚠ Thiếu lý do/người duyệt",IF(AND(X1586&lt;&gt;"",N(X1586)+N(R1586)+N(S1586)&gt;M1586*1.001,R1586&lt;&gt;""),"⚠ Vượt mục tiêu P90",IF(AND(Y1586&lt;&gt;"",ABS(N(Y1586))&gt;0.3),"⚠ Lệch &gt; 30% so với nhu cầu",IF(Q1586="Có","ℹ Kiểm tra ngoại suy KM","✓ Hợp lệ")))))</f>
        <v/>
      </c>
    </row>
    <row r="1587">
      <c r="A1587" s="16" t="n">
        <v>1583</v>
      </c>
      <c r="B1587" s="17" t="inlineStr">
        <is>
          <t>DEC-S36-MEATS</t>
        </is>
      </c>
      <c r="C1587" s="16" t="n">
        <v>36</v>
      </c>
      <c r="D1587" s="17" t="inlineStr">
        <is>
          <t>MEATS</t>
        </is>
      </c>
      <c r="E1587" s="17" t="inlineStr">
        <is>
          <t>MEDIUM</t>
        </is>
      </c>
      <c r="F1587" s="17" t="inlineStr">
        <is>
          <t>CAO</t>
        </is>
      </c>
      <c r="G1587" s="18" t="inlineStr">
        <is>
          <t>RISK_MEDIUM</t>
        </is>
      </c>
      <c r="H1587" s="19" t="n">
        <v>2823.359780456543</v>
      </c>
      <c r="I1587" s="19" t="n">
        <v>3626.046100097656</v>
      </c>
      <c r="J1587" s="19" t="n">
        <v>4635.029901428223</v>
      </c>
      <c r="K1587" s="19" t="n">
        <v>3626.046100097656</v>
      </c>
      <c r="L1587" s="19" t="n">
        <v>4256.660975929261</v>
      </c>
      <c r="M1587" s="19" t="n">
        <v>4635.029901428223</v>
      </c>
      <c r="N1587" s="17" t="inlineStr">
        <is>
          <t>C</t>
        </is>
      </c>
      <c r="O1587" s="19" t="n">
        <v>1734.193021350098</v>
      </c>
      <c r="P1587" s="18" t="inlineStr">
        <is>
          <t>CÂN NHẮC THỬ NGHIỆM</t>
        </is>
      </c>
      <c r="Q1587" s="17" t="inlineStr">
        <is>
          <t>Không</t>
        </is>
      </c>
      <c r="R1587" s="20" t="n"/>
      <c r="S1587" s="20" t="n"/>
      <c r="T1587" s="21" t="n"/>
      <c r="U1587" s="21" t="n"/>
      <c r="V1587" s="22">
        <f>IF(U1587="A",K1587,IF(U1587="B",L1587,IF(U1587="C",M1587,IF(N1587="A",K1587,IF(N1587="B",L1587,M1587)))))</f>
        <v/>
      </c>
      <c r="W1587" s="22">
        <f>IF(R1587="",O1587,MAX(V1587-R1587-N(S1587),0))</f>
        <v/>
      </c>
      <c r="X1587" s="20" t="n"/>
      <c r="Y1587" s="23">
        <f>IF(OR(X1587="",W1587=0),"",X1587/W1587-1)</f>
        <v/>
      </c>
      <c r="Z1587" s="24" t="n"/>
      <c r="AA1587" s="21" t="n"/>
      <c r="AB1587" s="25" t="n"/>
      <c r="AC1587" s="26">
        <f>IF(T1587="","Chưa quyết định",IF(OR(Z1587="",AA1587=""),"⚠ Thiếu lý do/người duyệt",IF(AND(X1587&lt;&gt;"",N(X1587)+N(R1587)+N(S1587)&gt;M1587*1.001,R1587&lt;&gt;""),"⚠ Vượt mục tiêu P90",IF(AND(Y1587&lt;&gt;"",ABS(N(Y1587))&gt;0.3),"⚠ Lệch &gt; 30% so với nhu cầu",IF(Q1587="Có","ℹ Kiểm tra ngoại suy KM","✓ Hợp lệ")))))</f>
        <v/>
      </c>
    </row>
    <row r="1588">
      <c r="A1588" s="16" t="n">
        <v>1584</v>
      </c>
      <c r="B1588" s="17" t="inlineStr">
        <is>
          <t>DEC-S14-HOME_CARE</t>
        </is>
      </c>
      <c r="C1588" s="16" t="n">
        <v>14</v>
      </c>
      <c r="D1588" s="17" t="inlineStr">
        <is>
          <t>HOME CARE</t>
        </is>
      </c>
      <c r="E1588" s="17" t="inlineStr">
        <is>
          <t>MEDIUM</t>
        </is>
      </c>
      <c r="F1588" s="17" t="inlineStr">
        <is>
          <t>CAO</t>
        </is>
      </c>
      <c r="G1588" s="18" t="inlineStr">
        <is>
          <t>RISK_MEDIUM</t>
        </is>
      </c>
      <c r="H1588" s="19" t="n">
        <v>2836.219291992187</v>
      </c>
      <c r="I1588" s="19" t="n">
        <v>3620.145409545898</v>
      </c>
      <c r="J1588" s="19" t="n">
        <v>4600.870290283203</v>
      </c>
      <c r="K1588" s="19" t="n">
        <v>3620.145409545898</v>
      </c>
      <c r="L1588" s="19" t="n">
        <v>4233.098460006714</v>
      </c>
      <c r="M1588" s="19" t="n">
        <v>4600.870290283203</v>
      </c>
      <c r="N1588" s="17" t="inlineStr">
        <is>
          <t>C</t>
        </is>
      </c>
      <c r="O1588" s="19" t="n">
        <v>1704.753962646484</v>
      </c>
      <c r="P1588" s="18" t="inlineStr">
        <is>
          <t>CÂN NHẮC THỬ NGHIỆM</t>
        </is>
      </c>
      <c r="Q1588" s="17" t="inlineStr">
        <is>
          <t>Không</t>
        </is>
      </c>
      <c r="R1588" s="20" t="n"/>
      <c r="S1588" s="20" t="n"/>
      <c r="T1588" s="21" t="n"/>
      <c r="U1588" s="21" t="n"/>
      <c r="V1588" s="22">
        <f>IF(U1588="A",K1588,IF(U1588="B",L1588,IF(U1588="C",M1588,IF(N1588="A",K1588,IF(N1588="B",L1588,M1588)))))</f>
        <v/>
      </c>
      <c r="W1588" s="22">
        <f>IF(R1588="",O1588,MAX(V1588-R1588-N(S1588),0))</f>
        <v/>
      </c>
      <c r="X1588" s="20" t="n"/>
      <c r="Y1588" s="23">
        <f>IF(OR(X1588="",W1588=0),"",X1588/W1588-1)</f>
        <v/>
      </c>
      <c r="Z1588" s="24" t="n"/>
      <c r="AA1588" s="21" t="n"/>
      <c r="AB1588" s="25" t="n"/>
      <c r="AC1588" s="26">
        <f>IF(T1588="","Chưa quyết định",IF(OR(Z1588="",AA1588=""),"⚠ Thiếu lý do/người duyệt",IF(AND(X1588&lt;&gt;"",N(X1588)+N(R1588)+N(S1588)&gt;M1588*1.001,R1588&lt;&gt;""),"⚠ Vượt mục tiêu P90",IF(AND(Y1588&lt;&gt;"",ABS(N(Y1588))&gt;0.3),"⚠ Lệch &gt; 30% so với nhu cầu",IF(Q1588="Có","ℹ Kiểm tra ngoại suy KM","✓ Hợp lệ")))))</f>
        <v/>
      </c>
    </row>
    <row r="1589">
      <c r="A1589" s="16" t="n">
        <v>1585</v>
      </c>
      <c r="B1589" s="17" t="inlineStr">
        <is>
          <t>DEC-S18-HOME_CARE</t>
        </is>
      </c>
      <c r="C1589" s="16" t="n">
        <v>18</v>
      </c>
      <c r="D1589" s="17" t="inlineStr">
        <is>
          <t>HOME CARE</t>
        </is>
      </c>
      <c r="E1589" s="17" t="inlineStr">
        <is>
          <t>MEDIUM</t>
        </is>
      </c>
      <c r="F1589" s="17" t="inlineStr">
        <is>
          <t>CAO</t>
        </is>
      </c>
      <c r="G1589" s="18" t="inlineStr">
        <is>
          <t>RISK_MEDIUM</t>
        </is>
      </c>
      <c r="H1589" s="19" t="n">
        <v>2771.587305847168</v>
      </c>
      <c r="I1589" s="19" t="n">
        <v>3611.794029663086</v>
      </c>
      <c r="J1589" s="19" t="n">
        <v>4677.295672180176</v>
      </c>
      <c r="K1589" s="19" t="n">
        <v>3611.794029663086</v>
      </c>
      <c r="L1589" s="19" t="n">
        <v>4277.732556236267</v>
      </c>
      <c r="M1589" s="19" t="n">
        <v>4677.295672180176</v>
      </c>
      <c r="N1589" s="17" t="inlineStr">
        <is>
          <t>C</t>
        </is>
      </c>
      <c r="O1589" s="19" t="n">
        <v>1787.860448449707</v>
      </c>
      <c r="P1589" s="18" t="inlineStr">
        <is>
          <t>KHÔNG ĐỀ XUẤT TĂNG</t>
        </is>
      </c>
      <c r="Q1589" s="17" t="inlineStr">
        <is>
          <t>Không</t>
        </is>
      </c>
      <c r="R1589" s="20" t="n"/>
      <c r="S1589" s="20" t="n"/>
      <c r="T1589" s="21" t="n"/>
      <c r="U1589" s="21" t="n"/>
      <c r="V1589" s="22">
        <f>IF(U1589="A",K1589,IF(U1589="B",L1589,IF(U1589="C",M1589,IF(N1589="A",K1589,IF(N1589="B",L1589,M1589)))))</f>
        <v/>
      </c>
      <c r="W1589" s="22">
        <f>IF(R1589="",O1589,MAX(V1589-R1589-N(S1589),0))</f>
        <v/>
      </c>
      <c r="X1589" s="20" t="n"/>
      <c r="Y1589" s="23">
        <f>IF(OR(X1589="",W1589=0),"",X1589/W1589-1)</f>
        <v/>
      </c>
      <c r="Z1589" s="24" t="n"/>
      <c r="AA1589" s="21" t="n"/>
      <c r="AB1589" s="25" t="n"/>
      <c r="AC1589" s="26">
        <f>IF(T1589="","Chưa quyết định",IF(OR(Z1589="",AA1589=""),"⚠ Thiếu lý do/người duyệt",IF(AND(X1589&lt;&gt;"",N(X1589)+N(R1589)+N(S1589)&gt;M1589*1.001,R1589&lt;&gt;""),"⚠ Vượt mục tiêu P90",IF(AND(Y1589&lt;&gt;"",ABS(N(Y1589))&gt;0.3),"⚠ Lệch &gt; 30% so với nhu cầu",IF(Q1589="Có","ℹ Kiểm tra ngoại suy KM","✓ Hợp lệ")))))</f>
        <v/>
      </c>
    </row>
    <row r="1590">
      <c r="A1590" s="16" t="n">
        <v>1586</v>
      </c>
      <c r="B1590" s="17" t="inlineStr">
        <is>
          <t>DEC-S33-POULTRY</t>
        </is>
      </c>
      <c r="C1590" s="16" t="n">
        <v>33</v>
      </c>
      <c r="D1590" s="17" t="inlineStr">
        <is>
          <t>POULTRY</t>
        </is>
      </c>
      <c r="E1590" s="17" t="inlineStr">
        <is>
          <t>MEDIUM</t>
        </is>
      </c>
      <c r="F1590" s="17" t="inlineStr">
        <is>
          <t>CAO</t>
        </is>
      </c>
      <c r="G1590" s="18" t="inlineStr">
        <is>
          <t>RISK_MEDIUM</t>
        </is>
      </c>
      <c r="H1590" s="19" t="n">
        <v>2843.198005187988</v>
      </c>
      <c r="I1590" s="19" t="n">
        <v>3608.363920654297</v>
      </c>
      <c r="J1590" s="19" t="n">
        <v>4560.82988079834</v>
      </c>
      <c r="K1590" s="19" t="n">
        <v>3608.363920654297</v>
      </c>
      <c r="L1590" s="19" t="n">
        <v>4203.655145744324</v>
      </c>
      <c r="M1590" s="19" t="n">
        <v>4560.82988079834</v>
      </c>
      <c r="N1590" s="17" t="inlineStr">
        <is>
          <t>C</t>
        </is>
      </c>
      <c r="O1590" s="19" t="n">
        <v>1674.138744274903</v>
      </c>
      <c r="P1590" s="18" t="inlineStr">
        <is>
          <t>CÂN NHẮC THỬ NGHIỆM</t>
        </is>
      </c>
      <c r="Q1590" s="17" t="inlineStr">
        <is>
          <t>Không</t>
        </is>
      </c>
      <c r="R1590" s="20" t="n"/>
      <c r="S1590" s="20" t="n"/>
      <c r="T1590" s="21" t="n"/>
      <c r="U1590" s="21" t="n"/>
      <c r="V1590" s="22">
        <f>IF(U1590="A",K1590,IF(U1590="B",L1590,IF(U1590="C",M1590,IF(N1590="A",K1590,IF(N1590="B",L1590,M1590)))))</f>
        <v/>
      </c>
      <c r="W1590" s="22">
        <f>IF(R1590="",O1590,MAX(V1590-R1590-N(S1590),0))</f>
        <v/>
      </c>
      <c r="X1590" s="20" t="n"/>
      <c r="Y1590" s="23">
        <f>IF(OR(X1590="",W1590=0),"",X1590/W1590-1)</f>
        <v/>
      </c>
      <c r="Z1590" s="24" t="n"/>
      <c r="AA1590" s="21" t="n"/>
      <c r="AB1590" s="25" t="n"/>
      <c r="AC1590" s="26">
        <f>IF(T1590="","Chưa quyết định",IF(OR(Z1590="",AA1590=""),"⚠ Thiếu lý do/người duyệt",IF(AND(X1590&lt;&gt;"",N(X1590)+N(R1590)+N(S1590)&gt;M1590*1.001,R1590&lt;&gt;""),"⚠ Vượt mục tiêu P90",IF(AND(Y1590&lt;&gt;"",ABS(N(Y1590))&gt;0.3),"⚠ Lệch &gt; 30% so với nhu cầu",IF(Q1590="Có","ℹ Kiểm tra ngoại suy KM","✓ Hợp lệ")))))</f>
        <v/>
      </c>
    </row>
    <row r="1591">
      <c r="A1591" s="16" t="n">
        <v>1587</v>
      </c>
      <c r="B1591" s="17" t="inlineStr">
        <is>
          <t>DEC-S41-MEATS</t>
        </is>
      </c>
      <c r="C1591" s="16" t="n">
        <v>41</v>
      </c>
      <c r="D1591" s="17" t="inlineStr">
        <is>
          <t>MEATS</t>
        </is>
      </c>
      <c r="E1591" s="17" t="inlineStr">
        <is>
          <t>MEDIUM</t>
        </is>
      </c>
      <c r="F1591" s="17" t="inlineStr">
        <is>
          <t>CAO</t>
        </is>
      </c>
      <c r="G1591" s="18" t="inlineStr">
        <is>
          <t>RISK_MEDIUM</t>
        </is>
      </c>
      <c r="H1591" s="19" t="n">
        <v>2879.324743103027</v>
      </c>
      <c r="I1591" s="19" t="n">
        <v>3606.970254394531</v>
      </c>
      <c r="J1591" s="19" t="n">
        <v>4502.91837335205</v>
      </c>
      <c r="K1591" s="19" t="n">
        <v>3606.970254394531</v>
      </c>
      <c r="L1591" s="19" t="n">
        <v>4166.937828742981</v>
      </c>
      <c r="M1591" s="19" t="n">
        <v>4502.91837335205</v>
      </c>
      <c r="N1591" s="17" t="inlineStr">
        <is>
          <t>C</t>
        </is>
      </c>
      <c r="O1591" s="19" t="n">
        <v>1617.342169836425</v>
      </c>
      <c r="P1591" s="18" t="inlineStr">
        <is>
          <t>CÂN NHẮC THỬ NGHIỆM</t>
        </is>
      </c>
      <c r="Q1591" s="17" t="inlineStr">
        <is>
          <t>Không</t>
        </is>
      </c>
      <c r="R1591" s="20" t="n"/>
      <c r="S1591" s="20" t="n"/>
      <c r="T1591" s="21" t="n"/>
      <c r="U1591" s="21" t="n"/>
      <c r="V1591" s="22">
        <f>IF(U1591="A",K1591,IF(U1591="B",L1591,IF(U1591="C",M1591,IF(N1591="A",K1591,IF(N1591="B",L1591,M1591)))))</f>
        <v/>
      </c>
      <c r="W1591" s="22">
        <f>IF(R1591="",O1591,MAX(V1591-R1591-N(S1591),0))</f>
        <v/>
      </c>
      <c r="X1591" s="20" t="n"/>
      <c r="Y1591" s="23">
        <f>IF(OR(X1591="",W1591=0),"",X1591/W1591-1)</f>
        <v/>
      </c>
      <c r="Z1591" s="24" t="n"/>
      <c r="AA1591" s="21" t="n"/>
      <c r="AB1591" s="25" t="n"/>
      <c r="AC1591" s="26">
        <f>IF(T1591="","Chưa quyết định",IF(OR(Z1591="",AA1591=""),"⚠ Thiếu lý do/người duyệt",IF(AND(X1591&lt;&gt;"",N(X1591)+N(R1591)+N(S1591)&gt;M1591*1.001,R1591&lt;&gt;""),"⚠ Vượt mục tiêu P90",IF(AND(Y1591&lt;&gt;"",ABS(N(Y1591))&gt;0.3),"⚠ Lệch &gt; 30% so với nhu cầu",IF(Q1591="Có","ℹ Kiểm tra ngoại suy KM","✓ Hợp lệ")))))</f>
        <v/>
      </c>
    </row>
    <row r="1592">
      <c r="A1592" s="16" t="n">
        <v>1588</v>
      </c>
      <c r="B1592" s="17" t="inlineStr">
        <is>
          <t>DEC-S33-PERSONAL_CARE</t>
        </is>
      </c>
      <c r="C1592" s="16" t="n">
        <v>33</v>
      </c>
      <c r="D1592" s="17" t="inlineStr">
        <is>
          <t>PERSONAL CARE</t>
        </is>
      </c>
      <c r="E1592" s="17" t="inlineStr">
        <is>
          <t>MEDIUM</t>
        </is>
      </c>
      <c r="F1592" s="17" t="inlineStr">
        <is>
          <t>CAO</t>
        </is>
      </c>
      <c r="G1592" s="18" t="inlineStr">
        <is>
          <t>RISK_MEDIUM</t>
        </is>
      </c>
      <c r="H1592" s="19" t="n">
        <v>2831.948660522461</v>
      </c>
      <c r="I1592" s="19" t="n">
        <v>3578.354373901367</v>
      </c>
      <c r="J1592" s="19" t="n">
        <v>4502.561413452148</v>
      </c>
      <c r="K1592" s="19" t="n">
        <v>3578.354373901367</v>
      </c>
      <c r="L1592" s="19" t="n">
        <v>4155.983773620605</v>
      </c>
      <c r="M1592" s="19" t="n">
        <v>4502.561413452148</v>
      </c>
      <c r="N1592" s="17" t="inlineStr">
        <is>
          <t>C</t>
        </is>
      </c>
      <c r="O1592" s="19" t="n">
        <v>1639.877914331054</v>
      </c>
      <c r="P1592" s="18" t="inlineStr">
        <is>
          <t>KHÔNG ĐỀ XUẤT TĂNG</t>
        </is>
      </c>
      <c r="Q1592" s="17" t="inlineStr">
        <is>
          <t>Không</t>
        </is>
      </c>
      <c r="R1592" s="20" t="n"/>
      <c r="S1592" s="20" t="n"/>
      <c r="T1592" s="21" t="n"/>
      <c r="U1592" s="21" t="n"/>
      <c r="V1592" s="22">
        <f>IF(U1592="A",K1592,IF(U1592="B",L1592,IF(U1592="C",M1592,IF(N1592="A",K1592,IF(N1592="B",L1592,M1592)))))</f>
        <v/>
      </c>
      <c r="W1592" s="22">
        <f>IF(R1592="",O1592,MAX(V1592-R1592-N(S1592),0))</f>
        <v/>
      </c>
      <c r="X1592" s="20" t="n"/>
      <c r="Y1592" s="23">
        <f>IF(OR(X1592="",W1592=0),"",X1592/W1592-1)</f>
        <v/>
      </c>
      <c r="Z1592" s="24" t="n"/>
      <c r="AA1592" s="21" t="n"/>
      <c r="AB1592" s="25" t="n"/>
      <c r="AC1592" s="26">
        <f>IF(T1592="","Chưa quyết định",IF(OR(Z1592="",AA1592=""),"⚠ Thiếu lý do/người duyệt",IF(AND(X1592&lt;&gt;"",N(X1592)+N(R1592)+N(S1592)&gt;M1592*1.001,R1592&lt;&gt;""),"⚠ Vượt mục tiêu P90",IF(AND(Y1592&lt;&gt;"",ABS(N(Y1592))&gt;0.3),"⚠ Lệch &gt; 30% so với nhu cầu",IF(Q1592="Có","ℹ Kiểm tra ngoại suy KM","✓ Hợp lệ")))))</f>
        <v/>
      </c>
    </row>
    <row r="1593">
      <c r="A1593" s="16" t="n">
        <v>1589</v>
      </c>
      <c r="B1593" s="17" t="inlineStr">
        <is>
          <t>DEC-S26-BREAD_BAKERY</t>
        </is>
      </c>
      <c r="C1593" s="16" t="n">
        <v>26</v>
      </c>
      <c r="D1593" s="17" t="inlineStr">
        <is>
          <t>BREAD/BAKERY</t>
        </is>
      </c>
      <c r="E1593" s="17" t="inlineStr">
        <is>
          <t>MEDIUM</t>
        </is>
      </c>
      <c r="F1593" s="17" t="inlineStr">
        <is>
          <t>CAO</t>
        </is>
      </c>
      <c r="G1593" s="18" t="inlineStr">
        <is>
          <t>RISK_MEDIUM</t>
        </is>
      </c>
      <c r="H1593" s="19" t="n">
        <v>2744.108606323242</v>
      </c>
      <c r="I1593" s="19" t="n">
        <v>3565.555128051757</v>
      </c>
      <c r="J1593" s="19" t="n">
        <v>4602.797849975586</v>
      </c>
      <c r="K1593" s="19" t="n">
        <v>3565.555128051757</v>
      </c>
      <c r="L1593" s="19" t="n">
        <v>4213.83182925415</v>
      </c>
      <c r="M1593" s="19" t="n">
        <v>4602.797849975586</v>
      </c>
      <c r="N1593" s="17" t="inlineStr">
        <is>
          <t>C</t>
        </is>
      </c>
      <c r="O1593" s="19" t="n">
        <v>1750.35374753418</v>
      </c>
      <c r="P1593" s="18" t="inlineStr">
        <is>
          <t>CÂN NHẮC THỬ NGHIỆM</t>
        </is>
      </c>
      <c r="Q1593" s="17" t="inlineStr">
        <is>
          <t>Không</t>
        </is>
      </c>
      <c r="R1593" s="20" t="n"/>
      <c r="S1593" s="20" t="n"/>
      <c r="T1593" s="21" t="n"/>
      <c r="U1593" s="21" t="n"/>
      <c r="V1593" s="22">
        <f>IF(U1593="A",K1593,IF(U1593="B",L1593,IF(U1593="C",M1593,IF(N1593="A",K1593,IF(N1593="B",L1593,M1593)))))</f>
        <v/>
      </c>
      <c r="W1593" s="22">
        <f>IF(R1593="",O1593,MAX(V1593-R1593-N(S1593),0))</f>
        <v/>
      </c>
      <c r="X1593" s="20" t="n"/>
      <c r="Y1593" s="23">
        <f>IF(OR(X1593="",W1593=0),"",X1593/W1593-1)</f>
        <v/>
      </c>
      <c r="Z1593" s="24" t="n"/>
      <c r="AA1593" s="21" t="n"/>
      <c r="AB1593" s="25" t="n"/>
      <c r="AC1593" s="26">
        <f>IF(T1593="","Chưa quyết định",IF(OR(Z1593="",AA1593=""),"⚠ Thiếu lý do/người duyệt",IF(AND(X1593&lt;&gt;"",N(X1593)+N(R1593)+N(S1593)&gt;M1593*1.001,R1593&lt;&gt;""),"⚠ Vượt mục tiêu P90",IF(AND(Y1593&lt;&gt;"",ABS(N(Y1593))&gt;0.3),"⚠ Lệch &gt; 30% so với nhu cầu",IF(Q1593="Có","ℹ Kiểm tra ngoại suy KM","✓ Hợp lệ")))))</f>
        <v/>
      </c>
    </row>
    <row r="1594">
      <c r="A1594" s="16" t="n">
        <v>1590</v>
      </c>
      <c r="B1594" s="17" t="inlineStr">
        <is>
          <t>DEC-S04-DELI</t>
        </is>
      </c>
      <c r="C1594" s="16" t="n">
        <v>4</v>
      </c>
      <c r="D1594" s="17" t="inlineStr">
        <is>
          <t>DELI</t>
        </is>
      </c>
      <c r="E1594" s="17" t="inlineStr">
        <is>
          <t>MEDIUM</t>
        </is>
      </c>
      <c r="F1594" s="17" t="inlineStr">
        <is>
          <t>CAO</t>
        </is>
      </c>
      <c r="G1594" s="18" t="inlineStr">
        <is>
          <t>RISK_MEDIUM</t>
        </is>
      </c>
      <c r="H1594" s="19" t="n">
        <v>2771.616264648437</v>
      </c>
      <c r="I1594" s="19" t="n">
        <v>3555.542382202148</v>
      </c>
      <c r="J1594" s="19" t="n">
        <v>4536.267262939453</v>
      </c>
      <c r="K1594" s="19" t="n">
        <v>3555.542382202148</v>
      </c>
      <c r="L1594" s="19" t="n">
        <v>4168.495432662964</v>
      </c>
      <c r="M1594" s="19" t="n">
        <v>4536.267262939453</v>
      </c>
      <c r="N1594" s="17" t="inlineStr">
        <is>
          <t>C</t>
        </is>
      </c>
      <c r="O1594" s="19" t="n">
        <v>1691.833357177734</v>
      </c>
      <c r="P1594" s="18" t="inlineStr">
        <is>
          <t>KHÔNG ĐỀ XUẤT TĂNG</t>
        </is>
      </c>
      <c r="Q1594" s="17" t="inlineStr">
        <is>
          <t>Không</t>
        </is>
      </c>
      <c r="R1594" s="20" t="n"/>
      <c r="S1594" s="20" t="n"/>
      <c r="T1594" s="21" t="n"/>
      <c r="U1594" s="21" t="n"/>
      <c r="V1594" s="22">
        <f>IF(U1594="A",K1594,IF(U1594="B",L1594,IF(U1594="C",M1594,IF(N1594="A",K1594,IF(N1594="B",L1594,M1594)))))</f>
        <v/>
      </c>
      <c r="W1594" s="22">
        <f>IF(R1594="",O1594,MAX(V1594-R1594-N(S1594),0))</f>
        <v/>
      </c>
      <c r="X1594" s="20" t="n"/>
      <c r="Y1594" s="23">
        <f>IF(OR(X1594="",W1594=0),"",X1594/W1594-1)</f>
        <v/>
      </c>
      <c r="Z1594" s="24" t="n"/>
      <c r="AA1594" s="21" t="n"/>
      <c r="AB1594" s="25" t="n"/>
      <c r="AC1594" s="26">
        <f>IF(T1594="","Chưa quyết định",IF(OR(Z1594="",AA1594=""),"⚠ Thiếu lý do/người duyệt",IF(AND(X1594&lt;&gt;"",N(X1594)+N(R1594)+N(S1594)&gt;M1594*1.001,R1594&lt;&gt;""),"⚠ Vượt mục tiêu P90",IF(AND(Y1594&lt;&gt;"",ABS(N(Y1594))&gt;0.3),"⚠ Lệch &gt; 30% so với nhu cầu",IF(Q1594="Có","ℹ Kiểm tra ngoại suy KM","✓ Hợp lệ")))))</f>
        <v/>
      </c>
    </row>
    <row r="1595">
      <c r="A1595" s="16" t="n">
        <v>1591</v>
      </c>
      <c r="B1595" s="17" t="inlineStr">
        <is>
          <t>DEC-S52-LIQUOR_WINE_BEER</t>
        </is>
      </c>
      <c r="C1595" s="16" t="n">
        <v>52</v>
      </c>
      <c r="D1595" s="17" t="inlineStr">
        <is>
          <t>LIQUOR,WINE,BEER</t>
        </is>
      </c>
      <c r="E1595" s="17" t="inlineStr">
        <is>
          <t>MEDIUM</t>
        </is>
      </c>
      <c r="F1595" s="17" t="inlineStr">
        <is>
          <t>CAO</t>
        </is>
      </c>
      <c r="G1595" s="18" t="inlineStr">
        <is>
          <t>RISK_MEDIUM</t>
        </is>
      </c>
      <c r="H1595" s="19" t="n">
        <v>2834.987889282227</v>
      </c>
      <c r="I1595" s="19" t="n">
        <v>3543.873198486328</v>
      </c>
      <c r="J1595" s="19" t="n">
        <v>4411.562396850586</v>
      </c>
      <c r="K1595" s="19" t="n">
        <v>3543.873198486328</v>
      </c>
      <c r="L1595" s="19" t="n">
        <v>4086.178947463989</v>
      </c>
      <c r="M1595" s="19" t="n">
        <v>4411.562396850586</v>
      </c>
      <c r="N1595" s="17" t="inlineStr">
        <is>
          <t>C</t>
        </is>
      </c>
      <c r="O1595" s="19" t="n">
        <v>1576.463838061523</v>
      </c>
      <c r="P1595" s="18" t="inlineStr">
        <is>
          <t>CÂN NHẮC THỬ NGHIỆM</t>
        </is>
      </c>
      <c r="Q1595" s="17" t="inlineStr">
        <is>
          <t>Không</t>
        </is>
      </c>
      <c r="R1595" s="20" t="n"/>
      <c r="S1595" s="20" t="n"/>
      <c r="T1595" s="21" t="n"/>
      <c r="U1595" s="21" t="n"/>
      <c r="V1595" s="22">
        <f>IF(U1595="A",K1595,IF(U1595="B",L1595,IF(U1595="C",M1595,IF(N1595="A",K1595,IF(N1595="B",L1595,M1595)))))</f>
        <v/>
      </c>
      <c r="W1595" s="22">
        <f>IF(R1595="",O1595,MAX(V1595-R1595-N(S1595),0))</f>
        <v/>
      </c>
      <c r="X1595" s="20" t="n"/>
      <c r="Y1595" s="23">
        <f>IF(OR(X1595="",W1595=0),"",X1595/W1595-1)</f>
        <v/>
      </c>
      <c r="Z1595" s="24" t="n"/>
      <c r="AA1595" s="21" t="n"/>
      <c r="AB1595" s="25" t="n"/>
      <c r="AC1595" s="26">
        <f>IF(T1595="","Chưa quyết định",IF(OR(Z1595="",AA1595=""),"⚠ Thiếu lý do/người duyệt",IF(AND(X1595&lt;&gt;"",N(X1595)+N(R1595)+N(S1595)&gt;M1595*1.001,R1595&lt;&gt;""),"⚠ Vượt mục tiêu P90",IF(AND(Y1595&lt;&gt;"",ABS(N(Y1595))&gt;0.3),"⚠ Lệch &gt; 30% so với nhu cầu",IF(Q1595="Có","ℹ Kiểm tra ngoại suy KM","✓ Hợp lệ")))))</f>
        <v/>
      </c>
    </row>
    <row r="1596">
      <c r="A1596" s="16" t="n">
        <v>1592</v>
      </c>
      <c r="B1596" s="17" t="inlineStr">
        <is>
          <t>DEC-S28-MEATS</t>
        </is>
      </c>
      <c r="C1596" s="16" t="n">
        <v>28</v>
      </c>
      <c r="D1596" s="17" t="inlineStr">
        <is>
          <t>MEATS</t>
        </is>
      </c>
      <c r="E1596" s="17" t="inlineStr">
        <is>
          <t>MEDIUM</t>
        </is>
      </c>
      <c r="F1596" s="17" t="inlineStr">
        <is>
          <t>CAO</t>
        </is>
      </c>
      <c r="G1596" s="18" t="inlineStr">
        <is>
          <t>RISK_MEDIUM</t>
        </is>
      </c>
      <c r="H1596" s="19" t="n">
        <v>2751.303337402343</v>
      </c>
      <c r="I1596" s="19" t="n">
        <v>3535.229454956055</v>
      </c>
      <c r="J1596" s="19" t="n">
        <v>4515.954335693359</v>
      </c>
      <c r="K1596" s="19" t="n">
        <v>3535.229454956055</v>
      </c>
      <c r="L1596" s="19" t="n">
        <v>4148.18250541687</v>
      </c>
      <c r="M1596" s="19" t="n">
        <v>4515.954335693359</v>
      </c>
      <c r="N1596" s="17" t="inlineStr">
        <is>
          <t>C</t>
        </is>
      </c>
      <c r="O1596" s="19" t="n">
        <v>1687.770771728515</v>
      </c>
      <c r="P1596" s="18" t="inlineStr">
        <is>
          <t>CÂN NHẮC THỬ NGHIỆM</t>
        </is>
      </c>
      <c r="Q1596" s="17" t="inlineStr">
        <is>
          <t>Không</t>
        </is>
      </c>
      <c r="R1596" s="20" t="n"/>
      <c r="S1596" s="20" t="n"/>
      <c r="T1596" s="21" t="n"/>
      <c r="U1596" s="21" t="n"/>
      <c r="V1596" s="22">
        <f>IF(U1596="A",K1596,IF(U1596="B",L1596,IF(U1596="C",M1596,IF(N1596="A",K1596,IF(N1596="B",L1596,M1596)))))</f>
        <v/>
      </c>
      <c r="W1596" s="22">
        <f>IF(R1596="",O1596,MAX(V1596-R1596-N(S1596),0))</f>
        <v/>
      </c>
      <c r="X1596" s="20" t="n"/>
      <c r="Y1596" s="23">
        <f>IF(OR(X1596="",W1596=0),"",X1596/W1596-1)</f>
        <v/>
      </c>
      <c r="Z1596" s="24" t="n"/>
      <c r="AA1596" s="21" t="n"/>
      <c r="AB1596" s="25" t="n"/>
      <c r="AC1596" s="26">
        <f>IF(T1596="","Chưa quyết định",IF(OR(Z1596="",AA1596=""),"⚠ Thiếu lý do/người duyệt",IF(AND(X1596&lt;&gt;"",N(X1596)+N(R1596)+N(S1596)&gt;M1596*1.001,R1596&lt;&gt;""),"⚠ Vượt mục tiêu P90",IF(AND(Y1596&lt;&gt;"",ABS(N(Y1596))&gt;0.3),"⚠ Lệch &gt; 30% so với nhu cầu",IF(Q1596="Có","ℹ Kiểm tra ngoại suy KM","✓ Hợp lệ")))))</f>
        <v/>
      </c>
    </row>
    <row r="1597">
      <c r="A1597" s="16" t="n">
        <v>1593</v>
      </c>
      <c r="B1597" s="17" t="inlineStr">
        <is>
          <t>DEC-S36-PERSONAL_CARE</t>
        </is>
      </c>
      <c r="C1597" s="16" t="n">
        <v>36</v>
      </c>
      <c r="D1597" s="17" t="inlineStr">
        <is>
          <t>PERSONAL CARE</t>
        </is>
      </c>
      <c r="E1597" s="17" t="inlineStr">
        <is>
          <t>MEDIUM</t>
        </is>
      </c>
      <c r="F1597" s="17" t="inlineStr">
        <is>
          <t>CAO</t>
        </is>
      </c>
      <c r="G1597" s="18" t="inlineStr">
        <is>
          <t>RISK_MEDIUM</t>
        </is>
      </c>
      <c r="H1597" s="19" t="n">
        <v>2729.497093505859</v>
      </c>
      <c r="I1597" s="19" t="n">
        <v>3513.42321105957</v>
      </c>
      <c r="J1597" s="19" t="n">
        <v>4494.148091796875</v>
      </c>
      <c r="K1597" s="19" t="n">
        <v>3513.42321105957</v>
      </c>
      <c r="L1597" s="19" t="n">
        <v>4126.376261520386</v>
      </c>
      <c r="M1597" s="19" t="n">
        <v>4494.148091796875</v>
      </c>
      <c r="N1597" s="17" t="inlineStr">
        <is>
          <t>C</t>
        </is>
      </c>
      <c r="O1597" s="19" t="n">
        <v>1683.409522949217</v>
      </c>
      <c r="P1597" s="18" t="inlineStr">
        <is>
          <t>KHÔNG ĐỀ XUẤT TĂNG</t>
        </is>
      </c>
      <c r="Q1597" s="17" t="inlineStr">
        <is>
          <t>Không</t>
        </is>
      </c>
      <c r="R1597" s="20" t="n"/>
      <c r="S1597" s="20" t="n"/>
      <c r="T1597" s="21" t="n"/>
      <c r="U1597" s="21" t="n"/>
      <c r="V1597" s="22">
        <f>IF(U1597="A",K1597,IF(U1597="B",L1597,IF(U1597="C",M1597,IF(N1597="A",K1597,IF(N1597="B",L1597,M1597)))))</f>
        <v/>
      </c>
      <c r="W1597" s="22">
        <f>IF(R1597="",O1597,MAX(V1597-R1597-N(S1597),0))</f>
        <v/>
      </c>
      <c r="X1597" s="20" t="n"/>
      <c r="Y1597" s="23">
        <f>IF(OR(X1597="",W1597=0),"",X1597/W1597-1)</f>
        <v/>
      </c>
      <c r="Z1597" s="24" t="n"/>
      <c r="AA1597" s="21" t="n"/>
      <c r="AB1597" s="25" t="n"/>
      <c r="AC1597" s="26">
        <f>IF(T1597="","Chưa quyết định",IF(OR(Z1597="",AA1597=""),"⚠ Thiếu lý do/người duyệt",IF(AND(X1597&lt;&gt;"",N(X1597)+N(R1597)+N(S1597)&gt;M1597*1.001,R1597&lt;&gt;""),"⚠ Vượt mục tiêu P90",IF(AND(Y1597&lt;&gt;"",ABS(N(Y1597))&gt;0.3),"⚠ Lệch &gt; 30% so với nhu cầu",IF(Q1597="Có","ℹ Kiểm tra ngoại suy KM","✓ Hợp lệ")))))</f>
        <v/>
      </c>
    </row>
    <row r="1598">
      <c r="A1598" s="16" t="n">
        <v>1594</v>
      </c>
      <c r="B1598" s="17" t="inlineStr">
        <is>
          <t>DEC-S11-EGGS</t>
        </is>
      </c>
      <c r="C1598" s="16" t="n">
        <v>11</v>
      </c>
      <c r="D1598" s="17" t="inlineStr">
        <is>
          <t>EGGS</t>
        </is>
      </c>
      <c r="E1598" s="17" t="inlineStr">
        <is>
          <t>MEDIUM</t>
        </is>
      </c>
      <c r="F1598" s="17" t="inlineStr">
        <is>
          <t>CAO</t>
        </is>
      </c>
      <c r="G1598" s="18" t="inlineStr">
        <is>
          <t>RISK_MEDIUM</t>
        </is>
      </c>
      <c r="H1598" s="19" t="n">
        <v>2732.887275207519</v>
      </c>
      <c r="I1598" s="19" t="n">
        <v>3498.053190673828</v>
      </c>
      <c r="J1598" s="19" t="n">
        <v>4450.519150817871</v>
      </c>
      <c r="K1598" s="19" t="n">
        <v>3498.053190673828</v>
      </c>
      <c r="L1598" s="19" t="n">
        <v>4093.344415763855</v>
      </c>
      <c r="M1598" s="19" t="n">
        <v>4450.519150817871</v>
      </c>
      <c r="N1598" s="17" t="inlineStr">
        <is>
          <t>C</t>
        </is>
      </c>
      <c r="O1598" s="19" t="n">
        <v>1652.076598278809</v>
      </c>
      <c r="P1598" s="18" t="inlineStr">
        <is>
          <t>CÂN NHẮC THỬ NGHIỆM</t>
        </is>
      </c>
      <c r="Q1598" s="17" t="inlineStr">
        <is>
          <t>Không</t>
        </is>
      </c>
      <c r="R1598" s="20" t="n"/>
      <c r="S1598" s="20" t="n"/>
      <c r="T1598" s="21" t="n"/>
      <c r="U1598" s="21" t="n"/>
      <c r="V1598" s="22">
        <f>IF(U1598="A",K1598,IF(U1598="B",L1598,IF(U1598="C",M1598,IF(N1598="A",K1598,IF(N1598="B",L1598,M1598)))))</f>
        <v/>
      </c>
      <c r="W1598" s="22">
        <f>IF(R1598="",O1598,MAX(V1598-R1598-N(S1598),0))</f>
        <v/>
      </c>
      <c r="X1598" s="20" t="n"/>
      <c r="Y1598" s="23">
        <f>IF(OR(X1598="",W1598=0),"",X1598/W1598-1)</f>
        <v/>
      </c>
      <c r="Z1598" s="24" t="n"/>
      <c r="AA1598" s="21" t="n"/>
      <c r="AB1598" s="25" t="n"/>
      <c r="AC1598" s="26">
        <f>IF(T1598="","Chưa quyết định",IF(OR(Z1598="",AA1598=""),"⚠ Thiếu lý do/người duyệt",IF(AND(X1598&lt;&gt;"",N(X1598)+N(R1598)+N(S1598)&gt;M1598*1.001,R1598&lt;&gt;""),"⚠ Vượt mục tiêu P90",IF(AND(Y1598&lt;&gt;"",ABS(N(Y1598))&gt;0.3),"⚠ Lệch &gt; 30% so với nhu cầu",IF(Q1598="Có","ℹ Kiểm tra ngoại suy KM","✓ Hợp lệ")))))</f>
        <v/>
      </c>
    </row>
    <row r="1599">
      <c r="A1599" s="16" t="n">
        <v>1595</v>
      </c>
      <c r="B1599" s="17" t="inlineStr">
        <is>
          <t>DEC-S18-POULTRY</t>
        </is>
      </c>
      <c r="C1599" s="16" t="n">
        <v>18</v>
      </c>
      <c r="D1599" s="17" t="inlineStr">
        <is>
          <t>POULTRY</t>
        </is>
      </c>
      <c r="E1599" s="17" t="inlineStr">
        <is>
          <t>MEDIUM</t>
        </is>
      </c>
      <c r="F1599" s="17" t="inlineStr">
        <is>
          <t>CAO</t>
        </is>
      </c>
      <c r="G1599" s="18" t="inlineStr">
        <is>
          <t>RISK_MEDIUM</t>
        </is>
      </c>
      <c r="H1599" s="19" t="n">
        <v>2699.711418457031</v>
      </c>
      <c r="I1599" s="19" t="n">
        <v>3483.637536010742</v>
      </c>
      <c r="J1599" s="19" t="n">
        <v>4464.362416748047</v>
      </c>
      <c r="K1599" s="19" t="n">
        <v>3483.637536010742</v>
      </c>
      <c r="L1599" s="19" t="n">
        <v>4096.590586471558</v>
      </c>
      <c r="M1599" s="19" t="n">
        <v>4464.362416748047</v>
      </c>
      <c r="N1599" s="17" t="inlineStr">
        <is>
          <t>C</t>
        </is>
      </c>
      <c r="O1599" s="19" t="n">
        <v>1677.452387939453</v>
      </c>
      <c r="P1599" s="18" t="inlineStr">
        <is>
          <t>CÂN NHẮC THỬ NGHIỆM</t>
        </is>
      </c>
      <c r="Q1599" s="17" t="inlineStr">
        <is>
          <t>Không</t>
        </is>
      </c>
      <c r="R1599" s="20" t="n"/>
      <c r="S1599" s="20" t="n"/>
      <c r="T1599" s="21" t="n"/>
      <c r="U1599" s="21" t="n"/>
      <c r="V1599" s="22">
        <f>IF(U1599="A",K1599,IF(U1599="B",L1599,IF(U1599="C",M1599,IF(N1599="A",K1599,IF(N1599="B",L1599,M1599)))))</f>
        <v/>
      </c>
      <c r="W1599" s="22">
        <f>IF(R1599="",O1599,MAX(V1599-R1599-N(S1599),0))</f>
        <v/>
      </c>
      <c r="X1599" s="20" t="n"/>
      <c r="Y1599" s="23">
        <f>IF(OR(X1599="",W1599=0),"",X1599/W1599-1)</f>
        <v/>
      </c>
      <c r="Z1599" s="24" t="n"/>
      <c r="AA1599" s="21" t="n"/>
      <c r="AB1599" s="25" t="n"/>
      <c r="AC1599" s="26">
        <f>IF(T1599="","Chưa quyết định",IF(OR(Z1599="",AA1599=""),"⚠ Thiếu lý do/người duyệt",IF(AND(X1599&lt;&gt;"",N(X1599)+N(R1599)+N(S1599)&gt;M1599*1.001,R1599&lt;&gt;""),"⚠ Vượt mục tiêu P90",IF(AND(Y1599&lt;&gt;"",ABS(N(Y1599))&gt;0.3),"⚠ Lệch &gt; 30% so với nhu cầu",IF(Q1599="Có","ℹ Kiểm tra ngoại suy KM","✓ Hợp lệ")))))</f>
        <v/>
      </c>
    </row>
    <row r="1600">
      <c r="A1600" s="16" t="n">
        <v>1596</v>
      </c>
      <c r="B1600" s="17" t="inlineStr">
        <is>
          <t>DEC-S53-POULTRY</t>
        </is>
      </c>
      <c r="C1600" s="16" t="n">
        <v>53</v>
      </c>
      <c r="D1600" s="17" t="inlineStr">
        <is>
          <t>POULTRY</t>
        </is>
      </c>
      <c r="E1600" s="17" t="inlineStr">
        <is>
          <t>MEDIUM</t>
        </is>
      </c>
      <c r="F1600" s="17" t="inlineStr">
        <is>
          <t>CAO</t>
        </is>
      </c>
      <c r="G1600" s="18" t="inlineStr">
        <is>
          <t>RISK_MEDIUM</t>
        </is>
      </c>
      <c r="H1600" s="19" t="n">
        <v>2748.826009582519</v>
      </c>
      <c r="I1600" s="19" t="n">
        <v>3476.471520874024</v>
      </c>
      <c r="J1600" s="19" t="n">
        <v>4372.419639831543</v>
      </c>
      <c r="K1600" s="19" t="n">
        <v>3476.471520874024</v>
      </c>
      <c r="L1600" s="19" t="n">
        <v>4036.439095222473</v>
      </c>
      <c r="M1600" s="19" t="n">
        <v>4372.419639831543</v>
      </c>
      <c r="N1600" s="17" t="inlineStr">
        <is>
          <t>C</t>
        </is>
      </c>
      <c r="O1600" s="19" t="n">
        <v>1591.242423132323</v>
      </c>
      <c r="P1600" s="18" t="inlineStr">
        <is>
          <t>CÂN NHẮC THỬ NGHIỆM</t>
        </is>
      </c>
      <c r="Q1600" s="17" t="inlineStr">
        <is>
          <t>Không</t>
        </is>
      </c>
      <c r="R1600" s="20" t="n"/>
      <c r="S1600" s="20" t="n"/>
      <c r="T1600" s="21" t="n"/>
      <c r="U1600" s="21" t="n"/>
      <c r="V1600" s="22">
        <f>IF(U1600="A",K1600,IF(U1600="B",L1600,IF(U1600="C",M1600,IF(N1600="A",K1600,IF(N1600="B",L1600,M1600)))))</f>
        <v/>
      </c>
      <c r="W1600" s="22">
        <f>IF(R1600="",O1600,MAX(V1600-R1600-N(S1600),0))</f>
        <v/>
      </c>
      <c r="X1600" s="20" t="n"/>
      <c r="Y1600" s="23">
        <f>IF(OR(X1600="",W1600=0),"",X1600/W1600-1)</f>
        <v/>
      </c>
      <c r="Z1600" s="24" t="n"/>
      <c r="AA1600" s="21" t="n"/>
      <c r="AB1600" s="25" t="n"/>
      <c r="AC1600" s="26">
        <f>IF(T1600="","Chưa quyết định",IF(OR(Z1600="",AA1600=""),"⚠ Thiếu lý do/người duyệt",IF(AND(X1600&lt;&gt;"",N(X1600)+N(R1600)+N(S1600)&gt;M1600*1.001,R1600&lt;&gt;""),"⚠ Vượt mục tiêu P90",IF(AND(Y1600&lt;&gt;"",ABS(N(Y1600))&gt;0.3),"⚠ Lệch &gt; 30% so với nhu cầu",IF(Q1600="Có","ℹ Kiểm tra ngoại suy KM","✓ Hợp lệ")))))</f>
        <v/>
      </c>
    </row>
    <row r="1601">
      <c r="A1601" s="16" t="n">
        <v>1597</v>
      </c>
      <c r="B1601" s="17" t="inlineStr">
        <is>
          <t>DEC-S36-HOME_CARE</t>
        </is>
      </c>
      <c r="C1601" s="16" t="n">
        <v>36</v>
      </c>
      <c r="D1601" s="17" t="inlineStr">
        <is>
          <t>HOME CARE</t>
        </is>
      </c>
      <c r="E1601" s="17" t="inlineStr">
        <is>
          <t>MEDIUM</t>
        </is>
      </c>
      <c r="F1601" s="17" t="inlineStr">
        <is>
          <t>CAO</t>
        </is>
      </c>
      <c r="G1601" s="18" t="inlineStr">
        <is>
          <t>RISK_MEDIUM</t>
        </is>
      </c>
      <c r="H1601" s="19" t="n">
        <v>2636.841989501953</v>
      </c>
      <c r="I1601" s="19" t="n">
        <v>3458.288511230468</v>
      </c>
      <c r="J1601" s="19" t="n">
        <v>4495.531233154297</v>
      </c>
      <c r="K1601" s="19" t="n">
        <v>3458.288511230468</v>
      </c>
      <c r="L1601" s="19" t="n">
        <v>4106.565212432862</v>
      </c>
      <c r="M1601" s="19" t="n">
        <v>4495.531233154297</v>
      </c>
      <c r="N1601" s="17" t="inlineStr">
        <is>
          <t>C</t>
        </is>
      </c>
      <c r="O1601" s="19" t="n">
        <v>1728.900424169922</v>
      </c>
      <c r="P1601" s="18" t="inlineStr">
        <is>
          <t>CÂN NHẮC THỬ NGHIỆM</t>
        </is>
      </c>
      <c r="Q1601" s="17" t="inlineStr">
        <is>
          <t>Không</t>
        </is>
      </c>
      <c r="R1601" s="20" t="n"/>
      <c r="S1601" s="20" t="n"/>
      <c r="T1601" s="21" t="n"/>
      <c r="U1601" s="21" t="n"/>
      <c r="V1601" s="22">
        <f>IF(U1601="A",K1601,IF(U1601="B",L1601,IF(U1601="C",M1601,IF(N1601="A",K1601,IF(N1601="B",L1601,M1601)))))</f>
        <v/>
      </c>
      <c r="W1601" s="22">
        <f>IF(R1601="",O1601,MAX(V1601-R1601-N(S1601),0))</f>
        <v/>
      </c>
      <c r="X1601" s="20" t="n"/>
      <c r="Y1601" s="23">
        <f>IF(OR(X1601="",W1601=0),"",X1601/W1601-1)</f>
        <v/>
      </c>
      <c r="Z1601" s="24" t="n"/>
      <c r="AA1601" s="21" t="n"/>
      <c r="AB1601" s="25" t="n"/>
      <c r="AC1601" s="26">
        <f>IF(T1601="","Chưa quyết định",IF(OR(Z1601="",AA1601=""),"⚠ Thiếu lý do/người duyệt",IF(AND(X1601&lt;&gt;"",N(X1601)+N(R1601)+N(S1601)&gt;M1601*1.001,R1601&lt;&gt;""),"⚠ Vượt mục tiêu P90",IF(AND(Y1601&lt;&gt;"",ABS(N(Y1601))&gt;0.3),"⚠ Lệch &gt; 30% so với nhu cầu",IF(Q1601="Có","ℹ Kiểm tra ngoại suy KM","✓ Hợp lệ")))))</f>
        <v/>
      </c>
    </row>
    <row r="1602">
      <c r="A1602" s="16" t="n">
        <v>1598</v>
      </c>
      <c r="B1602" s="17" t="inlineStr">
        <is>
          <t>DEC-S43-MEATS</t>
        </is>
      </c>
      <c r="C1602" s="16" t="n">
        <v>43</v>
      </c>
      <c r="D1602" s="17" t="inlineStr">
        <is>
          <t>MEATS</t>
        </is>
      </c>
      <c r="E1602" s="17" t="inlineStr">
        <is>
          <t>MEDIUM</t>
        </is>
      </c>
      <c r="F1602" s="17" t="inlineStr">
        <is>
          <t>CAO</t>
        </is>
      </c>
      <c r="G1602" s="18" t="inlineStr">
        <is>
          <t>RISK_MEDIUM</t>
        </is>
      </c>
      <c r="H1602" s="19" t="n">
        <v>2601.5599765625</v>
      </c>
      <c r="I1602" s="19" t="n">
        <v>3423.006498291016</v>
      </c>
      <c r="J1602" s="19" t="n">
        <v>4460.249220214844</v>
      </c>
      <c r="K1602" s="19" t="n">
        <v>3423.006498291016</v>
      </c>
      <c r="L1602" s="19" t="n">
        <v>4071.283199493409</v>
      </c>
      <c r="M1602" s="19" t="n">
        <v>4460.249220214844</v>
      </c>
      <c r="N1602" s="17" t="inlineStr">
        <is>
          <t>C</t>
        </is>
      </c>
      <c r="O1602" s="19" t="n">
        <v>1721.844021582032</v>
      </c>
      <c r="P1602" s="18" t="inlineStr">
        <is>
          <t>CÂN NHẮC THỬ NGHIỆM</t>
        </is>
      </c>
      <c r="Q1602" s="17" t="inlineStr">
        <is>
          <t>Không</t>
        </is>
      </c>
      <c r="R1602" s="20" t="n"/>
      <c r="S1602" s="20" t="n"/>
      <c r="T1602" s="21" t="n"/>
      <c r="U1602" s="21" t="n"/>
      <c r="V1602" s="22">
        <f>IF(U1602="A",K1602,IF(U1602="B",L1602,IF(U1602="C",M1602,IF(N1602="A",K1602,IF(N1602="B",L1602,M1602)))))</f>
        <v/>
      </c>
      <c r="W1602" s="22">
        <f>IF(R1602="",O1602,MAX(V1602-R1602-N(S1602),0))</f>
        <v/>
      </c>
      <c r="X1602" s="20" t="n"/>
      <c r="Y1602" s="23">
        <f>IF(OR(X1602="",W1602=0),"",X1602/W1602-1)</f>
        <v/>
      </c>
      <c r="Z1602" s="24" t="n"/>
      <c r="AA1602" s="21" t="n"/>
      <c r="AB1602" s="25" t="n"/>
      <c r="AC1602" s="26">
        <f>IF(T1602="","Chưa quyết định",IF(OR(Z1602="",AA1602=""),"⚠ Thiếu lý do/người duyệt",IF(AND(X1602&lt;&gt;"",N(X1602)+N(R1602)+N(S1602)&gt;M1602*1.001,R1602&lt;&gt;""),"⚠ Vượt mục tiêu P90",IF(AND(Y1602&lt;&gt;"",ABS(N(Y1602))&gt;0.3),"⚠ Lệch &gt; 30% so với nhu cầu",IF(Q1602="Có","ℹ Kiểm tra ngoại suy KM","✓ Hợp lệ")))))</f>
        <v/>
      </c>
    </row>
    <row r="1603">
      <c r="A1603" s="16" t="n">
        <v>1599</v>
      </c>
      <c r="B1603" s="17" t="inlineStr">
        <is>
          <t>DEC-S35-MEATS</t>
        </is>
      </c>
      <c r="C1603" s="16" t="n">
        <v>35</v>
      </c>
      <c r="D1603" s="17" t="inlineStr">
        <is>
          <t>MEATS</t>
        </is>
      </c>
      <c r="E1603" s="17" t="inlineStr">
        <is>
          <t>MEDIUM</t>
        </is>
      </c>
      <c r="F1603" s="17" t="inlineStr">
        <is>
          <t>CAO</t>
        </is>
      </c>
      <c r="G1603" s="18" t="inlineStr">
        <is>
          <t>RISK_MEDIUM</t>
        </is>
      </c>
      <c r="H1603" s="19" t="n">
        <v>2666.026464294433</v>
      </c>
      <c r="I1603" s="19" t="n">
        <v>3393.671975585938</v>
      </c>
      <c r="J1603" s="19" t="n">
        <v>4289.620094543457</v>
      </c>
      <c r="K1603" s="19" t="n">
        <v>3393.671975585938</v>
      </c>
      <c r="L1603" s="19" t="n">
        <v>3953.639549934387</v>
      </c>
      <c r="M1603" s="19" t="n">
        <v>4289.620094543457</v>
      </c>
      <c r="N1603" s="17" t="inlineStr">
        <is>
          <t>C</t>
        </is>
      </c>
      <c r="O1603" s="19" t="n">
        <v>1574.682514074706</v>
      </c>
      <c r="P1603" s="18" t="inlineStr">
        <is>
          <t>CÂN NHẮC THỬ NGHIỆM</t>
        </is>
      </c>
      <c r="Q1603" s="17" t="inlineStr">
        <is>
          <t>Không</t>
        </is>
      </c>
      <c r="R1603" s="20" t="n"/>
      <c r="S1603" s="20" t="n"/>
      <c r="T1603" s="21" t="n"/>
      <c r="U1603" s="21" t="n"/>
      <c r="V1603" s="22">
        <f>IF(U1603="A",K1603,IF(U1603="B",L1603,IF(U1603="C",M1603,IF(N1603="A",K1603,IF(N1603="B",L1603,M1603)))))</f>
        <v/>
      </c>
      <c r="W1603" s="22">
        <f>IF(R1603="",O1603,MAX(V1603-R1603-N(S1603),0))</f>
        <v/>
      </c>
      <c r="X1603" s="20" t="n"/>
      <c r="Y1603" s="23">
        <f>IF(OR(X1603="",W1603=0),"",X1603/W1603-1)</f>
        <v/>
      </c>
      <c r="Z1603" s="24" t="n"/>
      <c r="AA1603" s="21" t="n"/>
      <c r="AB1603" s="25" t="n"/>
      <c r="AC1603" s="26">
        <f>IF(T1603="","Chưa quyết định",IF(OR(Z1603="",AA1603=""),"⚠ Thiếu lý do/người duyệt",IF(AND(X1603&lt;&gt;"",N(X1603)+N(R1603)+N(S1603)&gt;M1603*1.001,R1603&lt;&gt;""),"⚠ Vượt mục tiêu P90",IF(AND(Y1603&lt;&gt;"",ABS(N(Y1603))&gt;0.3),"⚠ Lệch &gt; 30% so với nhu cầu",IF(Q1603="Có","ℹ Kiểm tra ngoại suy KM","✓ Hợp lệ")))))</f>
        <v/>
      </c>
    </row>
    <row r="1604">
      <c r="A1604" s="16" t="n">
        <v>1600</v>
      </c>
      <c r="B1604" s="17" t="inlineStr">
        <is>
          <t>DEC-S13-PRODUCE</t>
        </is>
      </c>
      <c r="C1604" s="16" t="n">
        <v>13</v>
      </c>
      <c r="D1604" s="17" t="inlineStr">
        <is>
          <t>PRODUCE</t>
        </is>
      </c>
      <c r="E1604" s="17" t="inlineStr">
        <is>
          <t>MEDIUM</t>
        </is>
      </c>
      <c r="F1604" s="17" t="inlineStr">
        <is>
          <t>CAO</t>
        </is>
      </c>
      <c r="G1604" s="18" t="inlineStr">
        <is>
          <t>RISK_MEDIUM</t>
        </is>
      </c>
      <c r="H1604" s="19" t="n">
        <v>2608.602042663574</v>
      </c>
      <c r="I1604" s="19" t="n">
        <v>3373.767958129883</v>
      </c>
      <c r="J1604" s="19" t="n">
        <v>4326.233918273926</v>
      </c>
      <c r="K1604" s="19" t="n">
        <v>3373.767958129883</v>
      </c>
      <c r="L1604" s="19" t="n">
        <v>3969.05918321991</v>
      </c>
      <c r="M1604" s="19" t="n">
        <v>4326.233918273926</v>
      </c>
      <c r="N1604" s="17" t="inlineStr">
        <is>
          <t>C</t>
        </is>
      </c>
      <c r="O1604" s="19" t="n">
        <v>1627.21955177002</v>
      </c>
      <c r="P1604" s="18" t="inlineStr">
        <is>
          <t>CÂN NHẮC THỬ NGHIỆM</t>
        </is>
      </c>
      <c r="Q1604" s="17" t="inlineStr">
        <is>
          <t>Không</t>
        </is>
      </c>
      <c r="R1604" s="20" t="n"/>
      <c r="S1604" s="20" t="n"/>
      <c r="T1604" s="21" t="n"/>
      <c r="U1604" s="21" t="n"/>
      <c r="V1604" s="22">
        <f>IF(U1604="A",K1604,IF(U1604="B",L1604,IF(U1604="C",M1604,IF(N1604="A",K1604,IF(N1604="B",L1604,M1604)))))</f>
        <v/>
      </c>
      <c r="W1604" s="22">
        <f>IF(R1604="",O1604,MAX(V1604-R1604-N(S1604),0))</f>
        <v/>
      </c>
      <c r="X1604" s="20" t="n"/>
      <c r="Y1604" s="23">
        <f>IF(OR(X1604="",W1604=0),"",X1604/W1604-1)</f>
        <v/>
      </c>
      <c r="Z1604" s="24" t="n"/>
      <c r="AA1604" s="21" t="n"/>
      <c r="AB1604" s="25" t="n"/>
      <c r="AC1604" s="26">
        <f>IF(T1604="","Chưa quyết định",IF(OR(Z1604="",AA1604=""),"⚠ Thiếu lý do/người duyệt",IF(AND(X1604&lt;&gt;"",N(X1604)+N(R1604)+N(S1604)&gt;M1604*1.001,R1604&lt;&gt;""),"⚠ Vượt mục tiêu P90",IF(AND(Y1604&lt;&gt;"",ABS(N(Y1604))&gt;0.3),"⚠ Lệch &gt; 30% so với nhu cầu",IF(Q1604="Có","ℹ Kiểm tra ngoại suy KM","✓ Hợp lệ")))))</f>
        <v/>
      </c>
    </row>
    <row r="1605">
      <c r="A1605" s="16" t="n">
        <v>1601</v>
      </c>
      <c r="B1605" s="17" t="inlineStr">
        <is>
          <t>DEC-S29-POULTRY</t>
        </is>
      </c>
      <c r="C1605" s="16" t="n">
        <v>29</v>
      </c>
      <c r="D1605" s="17" t="inlineStr">
        <is>
          <t>POULTRY</t>
        </is>
      </c>
      <c r="E1605" s="17" t="inlineStr">
        <is>
          <t>MEDIUM</t>
        </is>
      </c>
      <c r="F1605" s="17" t="inlineStr">
        <is>
          <t>CAO</t>
        </is>
      </c>
      <c r="G1605" s="18" t="inlineStr">
        <is>
          <t>RISK_MEDIUM</t>
        </is>
      </c>
      <c r="H1605" s="19" t="n">
        <v>2597.933799255371</v>
      </c>
      <c r="I1605" s="19" t="n">
        <v>3363.099714721679</v>
      </c>
      <c r="J1605" s="19" t="n">
        <v>4315.565674865723</v>
      </c>
      <c r="K1605" s="19" t="n">
        <v>3363.099714721679</v>
      </c>
      <c r="L1605" s="19" t="n">
        <v>3958.390939811707</v>
      </c>
      <c r="M1605" s="19" t="n">
        <v>4315.565674865723</v>
      </c>
      <c r="N1605" s="17" t="inlineStr">
        <is>
          <t>C</t>
        </is>
      </c>
      <c r="O1605" s="19" t="n">
        <v>1625.085903088379</v>
      </c>
      <c r="P1605" s="18" t="inlineStr">
        <is>
          <t>CÂN NHẮC THỬ NGHIỆM</t>
        </is>
      </c>
      <c r="Q1605" s="17" t="inlineStr">
        <is>
          <t>Không</t>
        </is>
      </c>
      <c r="R1605" s="20" t="n"/>
      <c r="S1605" s="20" t="n"/>
      <c r="T1605" s="21" t="n"/>
      <c r="U1605" s="21" t="n"/>
      <c r="V1605" s="22">
        <f>IF(U1605="A",K1605,IF(U1605="B",L1605,IF(U1605="C",M1605,IF(N1605="A",K1605,IF(N1605="B",L1605,M1605)))))</f>
        <v/>
      </c>
      <c r="W1605" s="22">
        <f>IF(R1605="",O1605,MAX(V1605-R1605-N(S1605),0))</f>
        <v/>
      </c>
      <c r="X1605" s="20" t="n"/>
      <c r="Y1605" s="23">
        <f>IF(OR(X1605="",W1605=0),"",X1605/W1605-1)</f>
        <v/>
      </c>
      <c r="Z1605" s="24" t="n"/>
      <c r="AA1605" s="21" t="n"/>
      <c r="AB1605" s="25" t="n"/>
      <c r="AC1605" s="26">
        <f>IF(T1605="","Chưa quyết định",IF(OR(Z1605="",AA1605=""),"⚠ Thiếu lý do/người duyệt",IF(AND(X1605&lt;&gt;"",N(X1605)+N(R1605)+N(S1605)&gt;M1605*1.001,R1605&lt;&gt;""),"⚠ Vượt mục tiêu P90",IF(AND(Y1605&lt;&gt;"",ABS(N(Y1605))&gt;0.3),"⚠ Lệch &gt; 30% so với nhu cầu",IF(Q1605="Có","ℹ Kiểm tra ngoại suy KM","✓ Hợp lệ")))))</f>
        <v/>
      </c>
    </row>
    <row r="1606">
      <c r="A1606" s="16" t="n">
        <v>1602</v>
      </c>
      <c r="B1606" s="17" t="inlineStr">
        <is>
          <t>DEC-S52-EGGS</t>
        </is>
      </c>
      <c r="C1606" s="16" t="n">
        <v>52</v>
      </c>
      <c r="D1606" s="17" t="inlineStr">
        <is>
          <t>EGGS</t>
        </is>
      </c>
      <c r="E1606" s="17" t="inlineStr">
        <is>
          <t>MEDIUM</t>
        </is>
      </c>
      <c r="F1606" s="17" t="inlineStr">
        <is>
          <t>CAO</t>
        </is>
      </c>
      <c r="G1606" s="18" t="inlineStr">
        <is>
          <t>RISK_MEDIUM</t>
        </is>
      </c>
      <c r="H1606" s="19" t="n">
        <v>2574.792854614257</v>
      </c>
      <c r="I1606" s="19" t="n">
        <v>3358.718972167969</v>
      </c>
      <c r="J1606" s="19" t="n">
        <v>4339.443852905273</v>
      </c>
      <c r="K1606" s="19" t="n">
        <v>3358.718972167969</v>
      </c>
      <c r="L1606" s="19" t="n">
        <v>3971.672022628784</v>
      </c>
      <c r="M1606" s="19" t="n">
        <v>4339.443852905273</v>
      </c>
      <c r="N1606" s="17" t="inlineStr">
        <is>
          <t>C</t>
        </is>
      </c>
      <c r="O1606" s="19" t="n">
        <v>1652.468675170898</v>
      </c>
      <c r="P1606" s="18" t="inlineStr">
        <is>
          <t>CÂN NHẮC THỬ NGHIỆM</t>
        </is>
      </c>
      <c r="Q1606" s="17" t="inlineStr">
        <is>
          <t>Không</t>
        </is>
      </c>
      <c r="R1606" s="20" t="n"/>
      <c r="S1606" s="20" t="n"/>
      <c r="T1606" s="21" t="n"/>
      <c r="U1606" s="21" t="n"/>
      <c r="V1606" s="22">
        <f>IF(U1606="A",K1606,IF(U1606="B",L1606,IF(U1606="C",M1606,IF(N1606="A",K1606,IF(N1606="B",L1606,M1606)))))</f>
        <v/>
      </c>
      <c r="W1606" s="22">
        <f>IF(R1606="",O1606,MAX(V1606-R1606-N(S1606),0))</f>
        <v/>
      </c>
      <c r="X1606" s="20" t="n"/>
      <c r="Y1606" s="23">
        <f>IF(OR(X1606="",W1606=0),"",X1606/W1606-1)</f>
        <v/>
      </c>
      <c r="Z1606" s="24" t="n"/>
      <c r="AA1606" s="21" t="n"/>
      <c r="AB1606" s="25" t="n"/>
      <c r="AC1606" s="26">
        <f>IF(T1606="","Chưa quyết định",IF(OR(Z1606="",AA1606=""),"⚠ Thiếu lý do/người duyệt",IF(AND(X1606&lt;&gt;"",N(X1606)+N(R1606)+N(S1606)&gt;M1606*1.001,R1606&lt;&gt;""),"⚠ Vượt mục tiêu P90",IF(AND(Y1606&lt;&gt;"",ABS(N(Y1606))&gt;0.3),"⚠ Lệch &gt; 30% so với nhu cầu",IF(Q1606="Có","ℹ Kiểm tra ngoại suy KM","✓ Hợp lệ")))))</f>
        <v/>
      </c>
    </row>
    <row r="1607">
      <c r="A1607" s="16" t="n">
        <v>1603</v>
      </c>
      <c r="B1607" s="17" t="inlineStr">
        <is>
          <t>DEC-S17-EGGS</t>
        </is>
      </c>
      <c r="C1607" s="16" t="n">
        <v>17</v>
      </c>
      <c r="D1607" s="17" t="inlineStr">
        <is>
          <t>EGGS</t>
        </is>
      </c>
      <c r="E1607" s="17" t="inlineStr">
        <is>
          <t>MEDIUM</t>
        </is>
      </c>
      <c r="F1607" s="17" t="inlineStr">
        <is>
          <t>CAO</t>
        </is>
      </c>
      <c r="G1607" s="18" t="inlineStr">
        <is>
          <t>RISK_MEDIUM</t>
        </is>
      </c>
      <c r="H1607" s="19" t="n">
        <v>2645.252087585449</v>
      </c>
      <c r="I1607" s="19" t="n">
        <v>3354.137396789551</v>
      </c>
      <c r="J1607" s="19" t="n">
        <v>4221.826595153809</v>
      </c>
      <c r="K1607" s="19" t="n">
        <v>3354.137396789551</v>
      </c>
      <c r="L1607" s="19" t="n">
        <v>3896.443145767212</v>
      </c>
      <c r="M1607" s="19" t="n">
        <v>4221.826595153809</v>
      </c>
      <c r="N1607" s="17" t="inlineStr">
        <is>
          <t>C</t>
        </is>
      </c>
      <c r="O1607" s="19" t="n">
        <v>1538.516677722168</v>
      </c>
      <c r="P1607" s="18" t="inlineStr">
        <is>
          <t>CÂN NHẮC THỬ NGHIỆM</t>
        </is>
      </c>
      <c r="Q1607" s="17" t="inlineStr">
        <is>
          <t>Không</t>
        </is>
      </c>
      <c r="R1607" s="20" t="n"/>
      <c r="S1607" s="20" t="n"/>
      <c r="T1607" s="21" t="n"/>
      <c r="U1607" s="21" t="n"/>
      <c r="V1607" s="22">
        <f>IF(U1607="A",K1607,IF(U1607="B",L1607,IF(U1607="C",M1607,IF(N1607="A",K1607,IF(N1607="B",L1607,M1607)))))</f>
        <v/>
      </c>
      <c r="W1607" s="22">
        <f>IF(R1607="",O1607,MAX(V1607-R1607-N(S1607),0))</f>
        <v/>
      </c>
      <c r="X1607" s="20" t="n"/>
      <c r="Y1607" s="23">
        <f>IF(OR(X1607="",W1607=0),"",X1607/W1607-1)</f>
        <v/>
      </c>
      <c r="Z1607" s="24" t="n"/>
      <c r="AA1607" s="21" t="n"/>
      <c r="AB1607" s="25" t="n"/>
      <c r="AC1607" s="26">
        <f>IF(T1607="","Chưa quyết định",IF(OR(Z1607="",AA1607=""),"⚠ Thiếu lý do/người duyệt",IF(AND(X1607&lt;&gt;"",N(X1607)+N(R1607)+N(S1607)&gt;M1607*1.001,R1607&lt;&gt;""),"⚠ Vượt mục tiêu P90",IF(AND(Y1607&lt;&gt;"",ABS(N(Y1607))&gt;0.3),"⚠ Lệch &gt; 30% so với nhu cầu",IF(Q1607="Có","ℹ Kiểm tra ngoại suy KM","✓ Hợp lệ")))))</f>
        <v/>
      </c>
    </row>
    <row r="1608">
      <c r="A1608" s="16" t="n">
        <v>1604</v>
      </c>
      <c r="B1608" s="17" t="inlineStr">
        <is>
          <t>DEC-S41-POULTRY</t>
        </is>
      </c>
      <c r="C1608" s="16" t="n">
        <v>41</v>
      </c>
      <c r="D1608" s="17" t="inlineStr">
        <is>
          <t>POULTRY</t>
        </is>
      </c>
      <c r="E1608" s="17" t="inlineStr">
        <is>
          <t>MEDIUM</t>
        </is>
      </c>
      <c r="F1608" s="17" t="inlineStr">
        <is>
          <t>CAO</t>
        </is>
      </c>
      <c r="G1608" s="18" t="inlineStr">
        <is>
          <t>RISK_MEDIUM</t>
        </is>
      </c>
      <c r="H1608" s="19" t="n">
        <v>2548.252342529297</v>
      </c>
      <c r="I1608" s="19" t="n">
        <v>3332.178460083008</v>
      </c>
      <c r="J1608" s="19" t="n">
        <v>4312.903340820312</v>
      </c>
      <c r="K1608" s="19" t="n">
        <v>3332.178460083008</v>
      </c>
      <c r="L1608" s="19" t="n">
        <v>3945.131510543823</v>
      </c>
      <c r="M1608" s="19" t="n">
        <v>4312.903340820312</v>
      </c>
      <c r="N1608" s="17" t="inlineStr">
        <is>
          <t>C</t>
        </is>
      </c>
      <c r="O1608" s="19" t="n">
        <v>1647.160572753906</v>
      </c>
      <c r="P1608" s="18" t="inlineStr">
        <is>
          <t>CÂN NHẮC THỬ NGHIỆM</t>
        </is>
      </c>
      <c r="Q1608" s="17" t="inlineStr">
        <is>
          <t>Không</t>
        </is>
      </c>
      <c r="R1608" s="20" t="n"/>
      <c r="S1608" s="20" t="n"/>
      <c r="T1608" s="21" t="n"/>
      <c r="U1608" s="21" t="n"/>
      <c r="V1608" s="22">
        <f>IF(U1608="A",K1608,IF(U1608="B",L1608,IF(U1608="C",M1608,IF(N1608="A",K1608,IF(N1608="B",L1608,M1608)))))</f>
        <v/>
      </c>
      <c r="W1608" s="22">
        <f>IF(R1608="",O1608,MAX(V1608-R1608-N(S1608),0))</f>
        <v/>
      </c>
      <c r="X1608" s="20" t="n"/>
      <c r="Y1608" s="23">
        <f>IF(OR(X1608="",W1608=0),"",X1608/W1608-1)</f>
        <v/>
      </c>
      <c r="Z1608" s="24" t="n"/>
      <c r="AA1608" s="21" t="n"/>
      <c r="AB1608" s="25" t="n"/>
      <c r="AC1608" s="26">
        <f>IF(T1608="","Chưa quyết định",IF(OR(Z1608="",AA1608=""),"⚠ Thiếu lý do/người duyệt",IF(AND(X1608&lt;&gt;"",N(X1608)+N(R1608)+N(S1608)&gt;M1608*1.001,R1608&lt;&gt;""),"⚠ Vượt mục tiêu P90",IF(AND(Y1608&lt;&gt;"",ABS(N(Y1608))&gt;0.3),"⚠ Lệch &gt; 30% so với nhu cầu",IF(Q1608="Có","ℹ Kiểm tra ngoại suy KM","✓ Hợp lệ")))))</f>
        <v/>
      </c>
    </row>
    <row r="1609">
      <c r="A1609" s="16" t="n">
        <v>1605</v>
      </c>
      <c r="B1609" s="17" t="inlineStr">
        <is>
          <t>DEC-S47-LIQUOR_WINE_BEER</t>
        </is>
      </c>
      <c r="C1609" s="16" t="n">
        <v>47</v>
      </c>
      <c r="D1609" s="17" t="inlineStr">
        <is>
          <t>LIQUOR,WINE,BEER</t>
        </is>
      </c>
      <c r="E1609" s="17" t="inlineStr">
        <is>
          <t>MEDIUM</t>
        </is>
      </c>
      <c r="F1609" s="17" t="inlineStr">
        <is>
          <t>CAO</t>
        </is>
      </c>
      <c r="G1609" s="18" t="inlineStr">
        <is>
          <t>RISK_MEDIUM</t>
        </is>
      </c>
      <c r="H1609" s="19" t="n">
        <v>2607.500889770508</v>
      </c>
      <c r="I1609" s="19" t="n">
        <v>3316.386198974609</v>
      </c>
      <c r="J1609" s="19" t="n">
        <v>4184.075397338867</v>
      </c>
      <c r="K1609" s="19" t="n">
        <v>3316.386198974609</v>
      </c>
      <c r="L1609" s="19" t="n">
        <v>3858.69194795227</v>
      </c>
      <c r="M1609" s="19" t="n">
        <v>4184.075397338867</v>
      </c>
      <c r="N1609" s="17" t="inlineStr">
        <is>
          <t>C</t>
        </is>
      </c>
      <c r="O1609" s="19" t="n">
        <v>1530.966438159179</v>
      </c>
      <c r="P1609" s="18" t="inlineStr">
        <is>
          <t>KHÔNG ĐỀ XUẤT TĂNG</t>
        </is>
      </c>
      <c r="Q1609" s="17" t="inlineStr">
        <is>
          <t>Không</t>
        </is>
      </c>
      <c r="R1609" s="20" t="n"/>
      <c r="S1609" s="20" t="n"/>
      <c r="T1609" s="21" t="n"/>
      <c r="U1609" s="21" t="n"/>
      <c r="V1609" s="22">
        <f>IF(U1609="A",K1609,IF(U1609="B",L1609,IF(U1609="C",M1609,IF(N1609="A",K1609,IF(N1609="B",L1609,M1609)))))</f>
        <v/>
      </c>
      <c r="W1609" s="22">
        <f>IF(R1609="",O1609,MAX(V1609-R1609-N(S1609),0))</f>
        <v/>
      </c>
      <c r="X1609" s="20" t="n"/>
      <c r="Y1609" s="23">
        <f>IF(OR(X1609="",W1609=0),"",X1609/W1609-1)</f>
        <v/>
      </c>
      <c r="Z1609" s="24" t="n"/>
      <c r="AA1609" s="21" t="n"/>
      <c r="AB1609" s="25" t="n"/>
      <c r="AC1609" s="26">
        <f>IF(T1609="","Chưa quyết định",IF(OR(Z1609="",AA1609=""),"⚠ Thiếu lý do/người duyệt",IF(AND(X1609&lt;&gt;"",N(X1609)+N(R1609)+N(S1609)&gt;M1609*1.001,R1609&lt;&gt;""),"⚠ Vượt mục tiêu P90",IF(AND(Y1609&lt;&gt;"",ABS(N(Y1609))&gt;0.3),"⚠ Lệch &gt; 30% so với nhu cầu",IF(Q1609="Có","ℹ Kiểm tra ngoại suy KM","✓ Hợp lệ")))))</f>
        <v/>
      </c>
    </row>
    <row r="1610">
      <c r="A1610" s="16" t="n">
        <v>1606</v>
      </c>
      <c r="B1610" s="17" t="inlineStr">
        <is>
          <t>DEC-S18-EGGS</t>
        </is>
      </c>
      <c r="C1610" s="16" t="n">
        <v>18</v>
      </c>
      <c r="D1610" s="17" t="inlineStr">
        <is>
          <t>EGGS</t>
        </is>
      </c>
      <c r="E1610" s="17" t="inlineStr">
        <is>
          <t>MEDIUM</t>
        </is>
      </c>
      <c r="F1610" s="17" t="inlineStr">
        <is>
          <t>CAO</t>
        </is>
      </c>
      <c r="G1610" s="18" t="inlineStr">
        <is>
          <t>RISK_MEDIUM</t>
        </is>
      </c>
      <c r="H1610" s="19" t="n">
        <v>2563.650549560547</v>
      </c>
      <c r="I1610" s="19" t="n">
        <v>3310.056262939453</v>
      </c>
      <c r="J1610" s="19" t="n">
        <v>4234.263302490234</v>
      </c>
      <c r="K1610" s="19" t="n">
        <v>3310.056262939453</v>
      </c>
      <c r="L1610" s="19" t="n">
        <v>3887.685662658691</v>
      </c>
      <c r="M1610" s="19" t="n">
        <v>4234.263302490234</v>
      </c>
      <c r="N1610" s="17" t="inlineStr">
        <is>
          <t>C</t>
        </is>
      </c>
      <c r="O1610" s="19" t="n">
        <v>1586.218292138672</v>
      </c>
      <c r="P1610" s="18" t="inlineStr">
        <is>
          <t>CÂN NHẮC THỬ NGHIỆM</t>
        </is>
      </c>
      <c r="Q1610" s="17" t="inlineStr">
        <is>
          <t>Không</t>
        </is>
      </c>
      <c r="R1610" s="20" t="n"/>
      <c r="S1610" s="20" t="n"/>
      <c r="T1610" s="21" t="n"/>
      <c r="U1610" s="21" t="n"/>
      <c r="V1610" s="22">
        <f>IF(U1610="A",K1610,IF(U1610="B",L1610,IF(U1610="C",M1610,IF(N1610="A",K1610,IF(N1610="B",L1610,M1610)))))</f>
        <v/>
      </c>
      <c r="W1610" s="22">
        <f>IF(R1610="",O1610,MAX(V1610-R1610-N(S1610),0))</f>
        <v/>
      </c>
      <c r="X1610" s="20" t="n"/>
      <c r="Y1610" s="23">
        <f>IF(OR(X1610="",W1610=0),"",X1610/W1610-1)</f>
        <v/>
      </c>
      <c r="Z1610" s="24" t="n"/>
      <c r="AA1610" s="21" t="n"/>
      <c r="AB1610" s="25" t="n"/>
      <c r="AC1610" s="26">
        <f>IF(T1610="","Chưa quyết định",IF(OR(Z1610="",AA1610=""),"⚠ Thiếu lý do/người duyệt",IF(AND(X1610&lt;&gt;"",N(X1610)+N(R1610)+N(S1610)&gt;M1610*1.001,R1610&lt;&gt;""),"⚠ Vượt mục tiêu P90",IF(AND(Y1610&lt;&gt;"",ABS(N(Y1610))&gt;0.3),"⚠ Lệch &gt; 30% so với nhu cầu",IF(Q1610="Có","ℹ Kiểm tra ngoại suy KM","✓ Hợp lệ")))))</f>
        <v/>
      </c>
    </row>
    <row r="1611">
      <c r="A1611" s="16" t="n">
        <v>1607</v>
      </c>
      <c r="B1611" s="17" t="inlineStr">
        <is>
          <t>DEC-S32-EGGS</t>
        </is>
      </c>
      <c r="C1611" s="16" t="n">
        <v>32</v>
      </c>
      <c r="D1611" s="17" t="inlineStr">
        <is>
          <t>EGGS</t>
        </is>
      </c>
      <c r="E1611" s="17" t="inlineStr">
        <is>
          <t>MEDIUM</t>
        </is>
      </c>
      <c r="F1611" s="17" t="inlineStr">
        <is>
          <t>CAO</t>
        </is>
      </c>
      <c r="G1611" s="18" t="inlineStr">
        <is>
          <t>RISK_MEDIUM</t>
        </is>
      </c>
      <c r="H1611" s="19" t="n">
        <v>2520.579468566894</v>
      </c>
      <c r="I1611" s="19" t="n">
        <v>3306.155725952148</v>
      </c>
      <c r="J1611" s="19" t="n">
        <v>4253.088079772949</v>
      </c>
      <c r="K1611" s="19" t="n">
        <v>3306.155725952148</v>
      </c>
      <c r="L1611" s="19" t="n">
        <v>3897.988447090148</v>
      </c>
      <c r="M1611" s="19" t="n">
        <v>4253.088079772949</v>
      </c>
      <c r="N1611" s="17" t="inlineStr">
        <is>
          <t>C</t>
        </is>
      </c>
      <c r="O1611" s="19" t="n">
        <v>1608.16349901123</v>
      </c>
      <c r="P1611" s="18" t="inlineStr">
        <is>
          <t>CÂN NHẮC THỬ NGHIỆM</t>
        </is>
      </c>
      <c r="Q1611" s="17" t="inlineStr">
        <is>
          <t>Không</t>
        </is>
      </c>
      <c r="R1611" s="20" t="n"/>
      <c r="S1611" s="20" t="n"/>
      <c r="T1611" s="21" t="n"/>
      <c r="U1611" s="21" t="n"/>
      <c r="V1611" s="22">
        <f>IF(U1611="A",K1611,IF(U1611="B",L1611,IF(U1611="C",M1611,IF(N1611="A",K1611,IF(N1611="B",L1611,M1611)))))</f>
        <v/>
      </c>
      <c r="W1611" s="22">
        <f>IF(R1611="",O1611,MAX(V1611-R1611-N(S1611),0))</f>
        <v/>
      </c>
      <c r="X1611" s="20" t="n"/>
      <c r="Y1611" s="23">
        <f>IF(OR(X1611="",W1611=0),"",X1611/W1611-1)</f>
        <v/>
      </c>
      <c r="Z1611" s="24" t="n"/>
      <c r="AA1611" s="21" t="n"/>
      <c r="AB1611" s="25" t="n"/>
      <c r="AC1611" s="26">
        <f>IF(T1611="","Chưa quyết định",IF(OR(Z1611="",AA1611=""),"⚠ Thiếu lý do/người duyệt",IF(AND(X1611&lt;&gt;"",N(X1611)+N(R1611)+N(S1611)&gt;M1611*1.001,R1611&lt;&gt;""),"⚠ Vượt mục tiêu P90",IF(AND(Y1611&lt;&gt;"",ABS(N(Y1611))&gt;0.3),"⚠ Lệch &gt; 30% so với nhu cầu",IF(Q1611="Có","ℹ Kiểm tra ngoại suy KM","✓ Hợp lệ")))))</f>
        <v/>
      </c>
    </row>
    <row r="1612">
      <c r="A1612" s="16" t="n">
        <v>1608</v>
      </c>
      <c r="B1612" s="17" t="inlineStr">
        <is>
          <t>DEC-S48-FROZEN_FOODS</t>
        </is>
      </c>
      <c r="C1612" s="16" t="n">
        <v>48</v>
      </c>
      <c r="D1612" s="17" t="inlineStr">
        <is>
          <t>FROZEN FOODS</t>
        </is>
      </c>
      <c r="E1612" s="17" t="inlineStr">
        <is>
          <t>MEDIUM</t>
        </is>
      </c>
      <c r="F1612" s="17" t="inlineStr">
        <is>
          <t>CAO</t>
        </is>
      </c>
      <c r="G1612" s="18" t="inlineStr">
        <is>
          <t>RISK_MEDIUM</t>
        </is>
      </c>
      <c r="H1612" s="19" t="n">
        <v>2532.485616516113</v>
      </c>
      <c r="I1612" s="19" t="n">
        <v>3260.131127807617</v>
      </c>
      <c r="J1612" s="19" t="n">
        <v>4156.079246765136</v>
      </c>
      <c r="K1612" s="19" t="n">
        <v>3260.131127807617</v>
      </c>
      <c r="L1612" s="19" t="n">
        <v>3820.098702156067</v>
      </c>
      <c r="M1612" s="19" t="n">
        <v>4156.079246765136</v>
      </c>
      <c r="N1612" s="17" t="inlineStr">
        <is>
          <t>C</t>
        </is>
      </c>
      <c r="O1612" s="19" t="n">
        <v>1547.974344519042</v>
      </c>
      <c r="P1612" s="18" t="inlineStr">
        <is>
          <t>CÂN NHẮC THỬ NGHIỆM</t>
        </is>
      </c>
      <c r="Q1612" s="17" t="inlineStr">
        <is>
          <t>Không</t>
        </is>
      </c>
      <c r="R1612" s="20" t="n"/>
      <c r="S1612" s="20" t="n"/>
      <c r="T1612" s="21" t="n"/>
      <c r="U1612" s="21" t="n"/>
      <c r="V1612" s="22">
        <f>IF(U1612="A",K1612,IF(U1612="B",L1612,IF(U1612="C",M1612,IF(N1612="A",K1612,IF(N1612="B",L1612,M1612)))))</f>
        <v/>
      </c>
      <c r="W1612" s="22">
        <f>IF(R1612="",O1612,MAX(V1612-R1612-N(S1612),0))</f>
        <v/>
      </c>
      <c r="X1612" s="20" t="n"/>
      <c r="Y1612" s="23">
        <f>IF(OR(X1612="",W1612=0),"",X1612/W1612-1)</f>
        <v/>
      </c>
      <c r="Z1612" s="24" t="n"/>
      <c r="AA1612" s="21" t="n"/>
      <c r="AB1612" s="25" t="n"/>
      <c r="AC1612" s="26">
        <f>IF(T1612="","Chưa quyết định",IF(OR(Z1612="",AA1612=""),"⚠ Thiếu lý do/người duyệt",IF(AND(X1612&lt;&gt;"",N(X1612)+N(R1612)+N(S1612)&gt;M1612*1.001,R1612&lt;&gt;""),"⚠ Vượt mục tiêu P90",IF(AND(Y1612&lt;&gt;"",ABS(N(Y1612))&gt;0.3),"⚠ Lệch &gt; 30% so với nhu cầu",IF(Q1612="Có","ℹ Kiểm tra ngoại suy KM","✓ Hợp lệ")))))</f>
        <v/>
      </c>
    </row>
    <row r="1613">
      <c r="A1613" s="16" t="n">
        <v>1609</v>
      </c>
      <c r="B1613" s="17" t="inlineStr">
        <is>
          <t>DEC-S07-DELI</t>
        </is>
      </c>
      <c r="C1613" s="16" t="n">
        <v>7</v>
      </c>
      <c r="D1613" s="17" t="inlineStr">
        <is>
          <t>DELI</t>
        </is>
      </c>
      <c r="E1613" s="17" t="inlineStr">
        <is>
          <t>MEDIUM</t>
        </is>
      </c>
      <c r="F1613" s="17" t="inlineStr">
        <is>
          <t>CAO</t>
        </is>
      </c>
      <c r="G1613" s="18" t="inlineStr">
        <is>
          <t>RISK_MEDIUM</t>
        </is>
      </c>
      <c r="H1613" s="19" t="n">
        <v>2497.978872924805</v>
      </c>
      <c r="I1613" s="19" t="n">
        <v>3244.384586303711</v>
      </c>
      <c r="J1613" s="19" t="n">
        <v>4168.591625854492</v>
      </c>
      <c r="K1613" s="19" t="n">
        <v>3244.384586303711</v>
      </c>
      <c r="L1613" s="19" t="n">
        <v>3822.013986022949</v>
      </c>
      <c r="M1613" s="19" t="n">
        <v>4168.591625854492</v>
      </c>
      <c r="N1613" s="17" t="inlineStr">
        <is>
          <t>C</t>
        </is>
      </c>
      <c r="O1613" s="19" t="n">
        <v>1573.083956811523</v>
      </c>
      <c r="P1613" s="18" t="inlineStr">
        <is>
          <t>KHÔNG ĐỀ XUẤT TĂNG</t>
        </is>
      </c>
      <c r="Q1613" s="17" t="inlineStr">
        <is>
          <t>Không</t>
        </is>
      </c>
      <c r="R1613" s="20" t="n"/>
      <c r="S1613" s="20" t="n"/>
      <c r="T1613" s="21" t="n"/>
      <c r="U1613" s="21" t="n"/>
      <c r="V1613" s="22">
        <f>IF(U1613="A",K1613,IF(U1613="B",L1613,IF(U1613="C",M1613,IF(N1613="A",K1613,IF(N1613="B",L1613,M1613)))))</f>
        <v/>
      </c>
      <c r="W1613" s="22">
        <f>IF(R1613="",O1613,MAX(V1613-R1613-N(S1613),0))</f>
        <v/>
      </c>
      <c r="X1613" s="20" t="n"/>
      <c r="Y1613" s="23">
        <f>IF(OR(X1613="",W1613=0),"",X1613/W1613-1)</f>
        <v/>
      </c>
      <c r="Z1613" s="24" t="n"/>
      <c r="AA1613" s="21" t="n"/>
      <c r="AB1613" s="25" t="n"/>
      <c r="AC1613" s="26">
        <f>IF(T1613="","Chưa quyết định",IF(OR(Z1613="",AA1613=""),"⚠ Thiếu lý do/người duyệt",IF(AND(X1613&lt;&gt;"",N(X1613)+N(R1613)+N(S1613)&gt;M1613*1.001,R1613&lt;&gt;""),"⚠ Vượt mục tiêu P90",IF(AND(Y1613&lt;&gt;"",ABS(N(Y1613))&gt;0.3),"⚠ Lệch &gt; 30% so với nhu cầu",IF(Q1613="Có","ℹ Kiểm tra ngoại suy KM","✓ Hợp lệ")))))</f>
        <v/>
      </c>
    </row>
    <row r="1614">
      <c r="A1614" s="16" t="n">
        <v>1610</v>
      </c>
      <c r="B1614" s="17" t="inlineStr">
        <is>
          <t>DEC-S35-DAIRY</t>
        </is>
      </c>
      <c r="C1614" s="16" t="n">
        <v>35</v>
      </c>
      <c r="D1614" s="17" t="inlineStr">
        <is>
          <t>DAIRY</t>
        </is>
      </c>
      <c r="E1614" s="17" t="inlineStr">
        <is>
          <t>MEDIUM</t>
        </is>
      </c>
      <c r="F1614" s="17" t="inlineStr">
        <is>
          <t>CAO</t>
        </is>
      </c>
      <c r="G1614" s="18" t="inlineStr">
        <is>
          <t>RISK_MEDIUM</t>
        </is>
      </c>
      <c r="H1614" s="19" t="n">
        <v>2495.6171328125</v>
      </c>
      <c r="I1614" s="19" t="n">
        <v>3242.022846191406</v>
      </c>
      <c r="J1614" s="19" t="n">
        <v>4166.229885742187</v>
      </c>
      <c r="K1614" s="19" t="n">
        <v>3242.022846191406</v>
      </c>
      <c r="L1614" s="19" t="n">
        <v>3819.652245910645</v>
      </c>
      <c r="M1614" s="19" t="n">
        <v>4166.229885742187</v>
      </c>
      <c r="N1614" s="17" t="inlineStr">
        <is>
          <t>C</t>
        </is>
      </c>
      <c r="O1614" s="19" t="n">
        <v>1572.611608789062</v>
      </c>
      <c r="P1614" s="18" t="inlineStr">
        <is>
          <t>KHÔNG ĐỀ XUẤT TĂNG</t>
        </is>
      </c>
      <c r="Q1614" s="17" t="inlineStr">
        <is>
          <t>Không</t>
        </is>
      </c>
      <c r="R1614" s="20" t="n"/>
      <c r="S1614" s="20" t="n"/>
      <c r="T1614" s="21" t="n"/>
      <c r="U1614" s="21" t="n"/>
      <c r="V1614" s="22">
        <f>IF(U1614="A",K1614,IF(U1614="B",L1614,IF(U1614="C",M1614,IF(N1614="A",K1614,IF(N1614="B",L1614,M1614)))))</f>
        <v/>
      </c>
      <c r="W1614" s="22">
        <f>IF(R1614="",O1614,MAX(V1614-R1614-N(S1614),0))</f>
        <v/>
      </c>
      <c r="X1614" s="20" t="n"/>
      <c r="Y1614" s="23">
        <f>IF(OR(X1614="",W1614=0),"",X1614/W1614-1)</f>
        <v/>
      </c>
      <c r="Z1614" s="24" t="n"/>
      <c r="AA1614" s="21" t="n"/>
      <c r="AB1614" s="25" t="n"/>
      <c r="AC1614" s="26">
        <f>IF(T1614="","Chưa quyết định",IF(OR(Z1614="",AA1614=""),"⚠ Thiếu lý do/người duyệt",IF(AND(X1614&lt;&gt;"",N(X1614)+N(R1614)+N(S1614)&gt;M1614*1.001,R1614&lt;&gt;""),"⚠ Vượt mục tiêu P90",IF(AND(Y1614&lt;&gt;"",ABS(N(Y1614))&gt;0.3),"⚠ Lệch &gt; 30% so với nhu cầu",IF(Q1614="Có","ℹ Kiểm tra ngoại suy KM","✓ Hợp lệ")))))</f>
        <v/>
      </c>
    </row>
    <row r="1615">
      <c r="A1615" s="16" t="n">
        <v>1611</v>
      </c>
      <c r="B1615" s="17" t="inlineStr">
        <is>
          <t>DEC-S25-MEATS</t>
        </is>
      </c>
      <c r="C1615" s="16" t="n">
        <v>25</v>
      </c>
      <c r="D1615" s="17" t="inlineStr">
        <is>
          <t>MEATS</t>
        </is>
      </c>
      <c r="E1615" s="17" t="inlineStr">
        <is>
          <t>MEDIUM</t>
        </is>
      </c>
      <c r="F1615" s="17" t="inlineStr">
        <is>
          <t>CAO</t>
        </is>
      </c>
      <c r="G1615" s="18" t="inlineStr">
        <is>
          <t>RISK_MEDIUM</t>
        </is>
      </c>
      <c r="H1615" s="19" t="n">
        <v>2528.580524597168</v>
      </c>
      <c r="I1615" s="19" t="n">
        <v>3218.705631713867</v>
      </c>
      <c r="J1615" s="19" t="n">
        <v>4058.135909484863</v>
      </c>
      <c r="K1615" s="19" t="n">
        <v>3218.705631713867</v>
      </c>
      <c r="L1615" s="19" t="n">
        <v>3743.349555320739</v>
      </c>
      <c r="M1615" s="19" t="n">
        <v>4058.135909484863</v>
      </c>
      <c r="N1615" s="17" t="inlineStr">
        <is>
          <t>C</t>
        </is>
      </c>
      <c r="O1615" s="19" t="n">
        <v>1483.171404113769</v>
      </c>
      <c r="P1615" s="18" t="inlineStr">
        <is>
          <t>CÂN NHẮC THỬ NGHIỆM</t>
        </is>
      </c>
      <c r="Q1615" s="17" t="inlineStr">
        <is>
          <t>Không</t>
        </is>
      </c>
      <c r="R1615" s="20" t="n"/>
      <c r="S1615" s="20" t="n"/>
      <c r="T1615" s="21" t="n"/>
      <c r="U1615" s="21" t="n"/>
      <c r="V1615" s="22">
        <f>IF(U1615="A",K1615,IF(U1615="B",L1615,IF(U1615="C",M1615,IF(N1615="A",K1615,IF(N1615="B",L1615,M1615)))))</f>
        <v/>
      </c>
      <c r="W1615" s="22">
        <f>IF(R1615="",O1615,MAX(V1615-R1615-N(S1615),0))</f>
        <v/>
      </c>
      <c r="X1615" s="20" t="n"/>
      <c r="Y1615" s="23">
        <f>IF(OR(X1615="",W1615=0),"",X1615/W1615-1)</f>
        <v/>
      </c>
      <c r="Z1615" s="24" t="n"/>
      <c r="AA1615" s="21" t="n"/>
      <c r="AB1615" s="25" t="n"/>
      <c r="AC1615" s="26">
        <f>IF(T1615="","Chưa quyết định",IF(OR(Z1615="",AA1615=""),"⚠ Thiếu lý do/người duyệt",IF(AND(X1615&lt;&gt;"",N(X1615)+N(R1615)+N(S1615)&gt;M1615*1.001,R1615&lt;&gt;""),"⚠ Vượt mục tiêu P90",IF(AND(Y1615&lt;&gt;"",ABS(N(Y1615))&gt;0.3),"⚠ Lệch &gt; 30% so với nhu cầu",IF(Q1615="Có","ℹ Kiểm tra ngoại suy KM","✓ Hợp lệ")))))</f>
        <v/>
      </c>
    </row>
    <row r="1616">
      <c r="A1616" s="16" t="n">
        <v>1612</v>
      </c>
      <c r="B1616" s="17" t="inlineStr">
        <is>
          <t>DEC-S19-HOME_CARE</t>
        </is>
      </c>
      <c r="C1616" s="16" t="n">
        <v>19</v>
      </c>
      <c r="D1616" s="17" t="inlineStr">
        <is>
          <t>HOME CARE</t>
        </is>
      </c>
      <c r="E1616" s="17" t="inlineStr">
        <is>
          <t>MEDIUM</t>
        </is>
      </c>
      <c r="F1616" s="17" t="inlineStr">
        <is>
          <t>CAO</t>
        </is>
      </c>
      <c r="G1616" s="18" t="inlineStr">
        <is>
          <t>RISK_MEDIUM</t>
        </is>
      </c>
      <c r="H1616" s="19" t="n">
        <v>2486.88377935791</v>
      </c>
      <c r="I1616" s="19" t="n">
        <v>3214.529290649414</v>
      </c>
      <c r="J1616" s="19" t="n">
        <v>4110.477409606933</v>
      </c>
      <c r="K1616" s="19" t="n">
        <v>3214.529290649414</v>
      </c>
      <c r="L1616" s="19" t="n">
        <v>3774.496864997864</v>
      </c>
      <c r="M1616" s="19" t="n">
        <v>4110.477409606933</v>
      </c>
      <c r="N1616" s="17" t="inlineStr">
        <is>
          <t>C</t>
        </is>
      </c>
      <c r="O1616" s="19" t="n">
        <v>1538.853977087402</v>
      </c>
      <c r="P1616" s="18" t="inlineStr">
        <is>
          <t>KHÔNG ĐỀ XUẤT TĂNG</t>
        </is>
      </c>
      <c r="Q1616" s="17" t="inlineStr">
        <is>
          <t>Không</t>
        </is>
      </c>
      <c r="R1616" s="20" t="n"/>
      <c r="S1616" s="20" t="n"/>
      <c r="T1616" s="21" t="n"/>
      <c r="U1616" s="21" t="n"/>
      <c r="V1616" s="22">
        <f>IF(U1616="A",K1616,IF(U1616="B",L1616,IF(U1616="C",M1616,IF(N1616="A",K1616,IF(N1616="B",L1616,M1616)))))</f>
        <v/>
      </c>
      <c r="W1616" s="22">
        <f>IF(R1616="",O1616,MAX(V1616-R1616-N(S1616),0))</f>
        <v/>
      </c>
      <c r="X1616" s="20" t="n"/>
      <c r="Y1616" s="23">
        <f>IF(OR(X1616="",W1616=0),"",X1616/W1616-1)</f>
        <v/>
      </c>
      <c r="Z1616" s="24" t="n"/>
      <c r="AA1616" s="21" t="n"/>
      <c r="AB1616" s="25" t="n"/>
      <c r="AC1616" s="26">
        <f>IF(T1616="","Chưa quyết định",IF(OR(Z1616="",AA1616=""),"⚠ Thiếu lý do/người duyệt",IF(AND(X1616&lt;&gt;"",N(X1616)+N(R1616)+N(S1616)&gt;M1616*1.001,R1616&lt;&gt;""),"⚠ Vượt mục tiêu P90",IF(AND(Y1616&lt;&gt;"",ABS(N(Y1616))&gt;0.3),"⚠ Lệch &gt; 30% so với nhu cầu",IF(Q1616="Có","ℹ Kiểm tra ngoại suy KM","✓ Hợp lệ")))))</f>
        <v/>
      </c>
    </row>
    <row r="1617">
      <c r="A1617" s="16" t="n">
        <v>1613</v>
      </c>
      <c r="B1617" s="17" t="inlineStr">
        <is>
          <t>DEC-S19-PERSONAL_CARE</t>
        </is>
      </c>
      <c r="C1617" s="16" t="n">
        <v>19</v>
      </c>
      <c r="D1617" s="17" t="inlineStr">
        <is>
          <t>PERSONAL CARE</t>
        </is>
      </c>
      <c r="E1617" s="17" t="inlineStr">
        <is>
          <t>MEDIUM</t>
        </is>
      </c>
      <c r="F1617" s="17" t="inlineStr">
        <is>
          <t>CAO</t>
        </is>
      </c>
      <c r="G1617" s="18" t="inlineStr">
        <is>
          <t>RISK_MEDIUM</t>
        </is>
      </c>
      <c r="H1617" s="19" t="n">
        <v>2454.76871282959</v>
      </c>
      <c r="I1617" s="19" t="n">
        <v>3182.414224121094</v>
      </c>
      <c r="J1617" s="19" t="n">
        <v>4078.362343078613</v>
      </c>
      <c r="K1617" s="19" t="n">
        <v>3182.414224121094</v>
      </c>
      <c r="L1617" s="19" t="n">
        <v>3742.381798469543</v>
      </c>
      <c r="M1617" s="19" t="n">
        <v>4078.362343078613</v>
      </c>
      <c r="N1617" s="17" t="inlineStr">
        <is>
          <t>C</t>
        </is>
      </c>
      <c r="O1617" s="19" t="n">
        <v>1532.430963781738</v>
      </c>
      <c r="P1617" s="18" t="inlineStr">
        <is>
          <t>KHÔNG ĐỀ XUẤT TĂNG</t>
        </is>
      </c>
      <c r="Q1617" s="17" t="inlineStr">
        <is>
          <t>Không</t>
        </is>
      </c>
      <c r="R1617" s="20" t="n"/>
      <c r="S1617" s="20" t="n"/>
      <c r="T1617" s="21" t="n"/>
      <c r="U1617" s="21" t="n"/>
      <c r="V1617" s="22">
        <f>IF(U1617="A",K1617,IF(U1617="B",L1617,IF(U1617="C",M1617,IF(N1617="A",K1617,IF(N1617="B",L1617,M1617)))))</f>
        <v/>
      </c>
      <c r="W1617" s="22">
        <f>IF(R1617="",O1617,MAX(V1617-R1617-N(S1617),0))</f>
        <v/>
      </c>
      <c r="X1617" s="20" t="n"/>
      <c r="Y1617" s="23">
        <f>IF(OR(X1617="",W1617=0),"",X1617/W1617-1)</f>
        <v/>
      </c>
      <c r="Z1617" s="24" t="n"/>
      <c r="AA1617" s="21" t="n"/>
      <c r="AB1617" s="25" t="n"/>
      <c r="AC1617" s="26">
        <f>IF(T1617="","Chưa quyết định",IF(OR(Z1617="",AA1617=""),"⚠ Thiếu lý do/người duyệt",IF(AND(X1617&lt;&gt;"",N(X1617)+N(R1617)+N(S1617)&gt;M1617*1.001,R1617&lt;&gt;""),"⚠ Vượt mục tiêu P90",IF(AND(Y1617&lt;&gt;"",ABS(N(Y1617))&gt;0.3),"⚠ Lệch &gt; 30% so với nhu cầu",IF(Q1617="Có","ℹ Kiểm tra ngoại suy KM","✓ Hợp lệ")))))</f>
        <v/>
      </c>
    </row>
    <row r="1618">
      <c r="A1618" s="16" t="n">
        <v>1614</v>
      </c>
      <c r="B1618" s="17" t="inlineStr">
        <is>
          <t>DEC-S18-PERSONAL_CARE</t>
        </is>
      </c>
      <c r="C1618" s="16" t="n">
        <v>18</v>
      </c>
      <c r="D1618" s="17" t="inlineStr">
        <is>
          <t>PERSONAL CARE</t>
        </is>
      </c>
      <c r="E1618" s="17" t="inlineStr">
        <is>
          <t>MEDIUM</t>
        </is>
      </c>
      <c r="F1618" s="17" t="inlineStr">
        <is>
          <t>CAO</t>
        </is>
      </c>
      <c r="G1618" s="18" t="inlineStr">
        <is>
          <t>RISK_MEDIUM</t>
        </is>
      </c>
      <c r="H1618" s="19" t="n">
        <v>2447.950551818848</v>
      </c>
      <c r="I1618" s="19" t="n">
        <v>3175.596063110352</v>
      </c>
      <c r="J1618" s="19" t="n">
        <v>4071.544182067871</v>
      </c>
      <c r="K1618" s="19" t="n">
        <v>3175.596063110352</v>
      </c>
      <c r="L1618" s="19" t="n">
        <v>3735.563637458802</v>
      </c>
      <c r="M1618" s="19" t="n">
        <v>4071.544182067871</v>
      </c>
      <c r="N1618" s="17" t="inlineStr">
        <is>
          <t>C</t>
        </is>
      </c>
      <c r="O1618" s="19" t="n">
        <v>1531.06733157959</v>
      </c>
      <c r="P1618" s="18" t="inlineStr">
        <is>
          <t>KHÔNG ĐỀ XUẤT TĂNG</t>
        </is>
      </c>
      <c r="Q1618" s="17" t="inlineStr">
        <is>
          <t>Không</t>
        </is>
      </c>
      <c r="R1618" s="20" t="n"/>
      <c r="S1618" s="20" t="n"/>
      <c r="T1618" s="21" t="n"/>
      <c r="U1618" s="21" t="n"/>
      <c r="V1618" s="22">
        <f>IF(U1618="A",K1618,IF(U1618="B",L1618,IF(U1618="C",M1618,IF(N1618="A",K1618,IF(N1618="B",L1618,M1618)))))</f>
        <v/>
      </c>
      <c r="W1618" s="22">
        <f>IF(R1618="",O1618,MAX(V1618-R1618-N(S1618),0))</f>
        <v/>
      </c>
      <c r="X1618" s="20" t="n"/>
      <c r="Y1618" s="23">
        <f>IF(OR(X1618="",W1618=0),"",X1618/W1618-1)</f>
        <v/>
      </c>
      <c r="Z1618" s="24" t="n"/>
      <c r="AA1618" s="21" t="n"/>
      <c r="AB1618" s="25" t="n"/>
      <c r="AC1618" s="26">
        <f>IF(T1618="","Chưa quyết định",IF(OR(Z1618="",AA1618=""),"⚠ Thiếu lý do/người duyệt",IF(AND(X1618&lt;&gt;"",N(X1618)+N(R1618)+N(S1618)&gt;M1618*1.001,R1618&lt;&gt;""),"⚠ Vượt mục tiêu P90",IF(AND(Y1618&lt;&gt;"",ABS(N(Y1618))&gt;0.3),"⚠ Lệch &gt; 30% so với nhu cầu",IF(Q1618="Có","ℹ Kiểm tra ngoại suy KM","✓ Hợp lệ")))))</f>
        <v/>
      </c>
    </row>
    <row r="1619">
      <c r="A1619" s="16" t="n">
        <v>1615</v>
      </c>
      <c r="B1619" s="17" t="inlineStr">
        <is>
          <t>DEC-S40-POULTRY</t>
        </is>
      </c>
      <c r="C1619" s="16" t="n">
        <v>40</v>
      </c>
      <c r="D1619" s="17" t="inlineStr">
        <is>
          <t>POULTRY</t>
        </is>
      </c>
      <c r="E1619" s="17" t="inlineStr">
        <is>
          <t>MEDIUM</t>
        </is>
      </c>
      <c r="F1619" s="17" t="inlineStr">
        <is>
          <t>CAO</t>
        </is>
      </c>
      <c r="G1619" s="18" t="inlineStr">
        <is>
          <t>RISK_MEDIUM</t>
        </is>
      </c>
      <c r="H1619" s="19" t="n">
        <v>2494.15719921875</v>
      </c>
      <c r="I1619" s="19" t="n">
        <v>3165.522104248047</v>
      </c>
      <c r="J1619" s="19" t="n">
        <v>3976.693461425781</v>
      </c>
      <c r="K1619" s="19" t="n">
        <v>3165.522104248047</v>
      </c>
      <c r="L1619" s="19" t="n">
        <v>3672.504202484131</v>
      </c>
      <c r="M1619" s="19" t="n">
        <v>3976.693461425781</v>
      </c>
      <c r="N1619" s="17" t="inlineStr">
        <is>
          <t>C</t>
        </is>
      </c>
      <c r="O1619" s="19" t="n">
        <v>1444.275778027343</v>
      </c>
      <c r="P1619" s="18" t="inlineStr">
        <is>
          <t>CÂN NHẮC THỬ NGHIỆM</t>
        </is>
      </c>
      <c r="Q1619" s="17" t="inlineStr">
        <is>
          <t>Không</t>
        </is>
      </c>
      <c r="R1619" s="20" t="n"/>
      <c r="S1619" s="20" t="n"/>
      <c r="T1619" s="21" t="n"/>
      <c r="U1619" s="21" t="n"/>
      <c r="V1619" s="22">
        <f>IF(U1619="A",K1619,IF(U1619="B",L1619,IF(U1619="C",M1619,IF(N1619="A",K1619,IF(N1619="B",L1619,M1619)))))</f>
        <v/>
      </c>
      <c r="W1619" s="22">
        <f>IF(R1619="",O1619,MAX(V1619-R1619-N(S1619),0))</f>
        <v/>
      </c>
      <c r="X1619" s="20" t="n"/>
      <c r="Y1619" s="23">
        <f>IF(OR(X1619="",W1619=0),"",X1619/W1619-1)</f>
        <v/>
      </c>
      <c r="Z1619" s="24" t="n"/>
      <c r="AA1619" s="21" t="n"/>
      <c r="AB1619" s="25" t="n"/>
      <c r="AC1619" s="26">
        <f>IF(T1619="","Chưa quyết định",IF(OR(Z1619="",AA1619=""),"⚠ Thiếu lý do/người duyệt",IF(AND(X1619&lt;&gt;"",N(X1619)+N(R1619)+N(S1619)&gt;M1619*1.001,R1619&lt;&gt;""),"⚠ Vượt mục tiêu P90",IF(AND(Y1619&lt;&gt;"",ABS(N(Y1619))&gt;0.3),"⚠ Lệch &gt; 30% so với nhu cầu",IF(Q1619="Có","ℹ Kiểm tra ngoại suy KM","✓ Hợp lệ")))))</f>
        <v/>
      </c>
    </row>
    <row r="1620">
      <c r="A1620" s="16" t="n">
        <v>1616</v>
      </c>
      <c r="B1620" s="17" t="inlineStr">
        <is>
          <t>DEC-S33-DELI</t>
        </is>
      </c>
      <c r="C1620" s="16" t="n">
        <v>33</v>
      </c>
      <c r="D1620" s="17" t="inlineStr">
        <is>
          <t>DELI</t>
        </is>
      </c>
      <c r="E1620" s="17" t="inlineStr">
        <is>
          <t>MEDIUM</t>
        </is>
      </c>
      <c r="F1620" s="17" t="inlineStr">
        <is>
          <t>CAO</t>
        </is>
      </c>
      <c r="G1620" s="18" t="inlineStr">
        <is>
          <t>RISK_MEDIUM</t>
        </is>
      </c>
      <c r="H1620" s="19" t="n">
        <v>2418.676931213379</v>
      </c>
      <c r="I1620" s="19" t="n">
        <v>3146.322442504883</v>
      </c>
      <c r="J1620" s="19" t="n">
        <v>4042.270561462401</v>
      </c>
      <c r="K1620" s="19" t="n">
        <v>3146.322442504883</v>
      </c>
      <c r="L1620" s="19" t="n">
        <v>3706.290016853332</v>
      </c>
      <c r="M1620" s="19" t="n">
        <v>4042.270561462401</v>
      </c>
      <c r="N1620" s="17" t="inlineStr">
        <is>
          <t>C</t>
        </is>
      </c>
      <c r="O1620" s="19" t="n">
        <v>1525.212607458495</v>
      </c>
      <c r="P1620" s="18" t="inlineStr">
        <is>
          <t>KHÔNG ĐỀ XUẤT TĂNG</t>
        </is>
      </c>
      <c r="Q1620" s="17" t="inlineStr">
        <is>
          <t>Không</t>
        </is>
      </c>
      <c r="R1620" s="20" t="n"/>
      <c r="S1620" s="20" t="n"/>
      <c r="T1620" s="21" t="n"/>
      <c r="U1620" s="21" t="n"/>
      <c r="V1620" s="22">
        <f>IF(U1620="A",K1620,IF(U1620="B",L1620,IF(U1620="C",M1620,IF(N1620="A",K1620,IF(N1620="B",L1620,M1620)))))</f>
        <v/>
      </c>
      <c r="W1620" s="22">
        <f>IF(R1620="",O1620,MAX(V1620-R1620-N(S1620),0))</f>
        <v/>
      </c>
      <c r="X1620" s="20" t="n"/>
      <c r="Y1620" s="23">
        <f>IF(OR(X1620="",W1620=0),"",X1620/W1620-1)</f>
        <v/>
      </c>
      <c r="Z1620" s="24" t="n"/>
      <c r="AA1620" s="21" t="n"/>
      <c r="AB1620" s="25" t="n"/>
      <c r="AC1620" s="26">
        <f>IF(T1620="","Chưa quyết định",IF(OR(Z1620="",AA1620=""),"⚠ Thiếu lý do/người duyệt",IF(AND(X1620&lt;&gt;"",N(X1620)+N(R1620)+N(S1620)&gt;M1620*1.001,R1620&lt;&gt;""),"⚠ Vượt mục tiêu P90",IF(AND(Y1620&lt;&gt;"",ABS(N(Y1620))&gt;0.3),"⚠ Lệch &gt; 30% so với nhu cầu",IF(Q1620="Có","ℹ Kiểm tra ngoại suy KM","✓ Hợp lệ")))))</f>
        <v/>
      </c>
    </row>
    <row r="1621">
      <c r="A1621" s="16" t="n">
        <v>1617</v>
      </c>
      <c r="B1621" s="17" t="inlineStr">
        <is>
          <t>DEC-S54-PERSONAL_CARE</t>
        </is>
      </c>
      <c r="C1621" s="16" t="n">
        <v>54</v>
      </c>
      <c r="D1621" s="17" t="inlineStr">
        <is>
          <t>PERSONAL CARE</t>
        </is>
      </c>
      <c r="E1621" s="17" t="inlineStr">
        <is>
          <t>MEDIUM</t>
        </is>
      </c>
      <c r="F1621" s="17" t="inlineStr">
        <is>
          <t>CAO</t>
        </is>
      </c>
      <c r="G1621" s="18" t="inlineStr">
        <is>
          <t>RISK_MEDIUM</t>
        </is>
      </c>
      <c r="H1621" s="19" t="n">
        <v>2447.981281433105</v>
      </c>
      <c r="I1621" s="19" t="n">
        <v>3138.106388549805</v>
      </c>
      <c r="J1621" s="19" t="n">
        <v>3977.536666320801</v>
      </c>
      <c r="K1621" s="19" t="n">
        <v>3138.106388549805</v>
      </c>
      <c r="L1621" s="19" t="n">
        <v>3662.750312156677</v>
      </c>
      <c r="M1621" s="19" t="n">
        <v>3977.536666320801</v>
      </c>
      <c r="N1621" s="17" t="inlineStr">
        <is>
          <t>C</t>
        </is>
      </c>
      <c r="O1621" s="19" t="n">
        <v>1467.051555480957</v>
      </c>
      <c r="P1621" s="18" t="inlineStr">
        <is>
          <t>KHÔNG ĐỀ XUẤT TĂNG</t>
        </is>
      </c>
      <c r="Q1621" s="17" t="inlineStr">
        <is>
          <t>Không</t>
        </is>
      </c>
      <c r="R1621" s="20" t="n"/>
      <c r="S1621" s="20" t="n"/>
      <c r="T1621" s="21" t="n"/>
      <c r="U1621" s="21" t="n"/>
      <c r="V1621" s="22">
        <f>IF(U1621="A",K1621,IF(U1621="B",L1621,IF(U1621="C",M1621,IF(N1621="A",K1621,IF(N1621="B",L1621,M1621)))))</f>
        <v/>
      </c>
      <c r="W1621" s="22">
        <f>IF(R1621="",O1621,MAX(V1621-R1621-N(S1621),0))</f>
        <v/>
      </c>
      <c r="X1621" s="20" t="n"/>
      <c r="Y1621" s="23">
        <f>IF(OR(X1621="",W1621=0),"",X1621/W1621-1)</f>
        <v/>
      </c>
      <c r="Z1621" s="24" t="n"/>
      <c r="AA1621" s="21" t="n"/>
      <c r="AB1621" s="25" t="n"/>
      <c r="AC1621" s="26">
        <f>IF(T1621="","Chưa quyết định",IF(OR(Z1621="",AA1621=""),"⚠ Thiếu lý do/người duyệt",IF(AND(X1621&lt;&gt;"",N(X1621)+N(R1621)+N(S1621)&gt;M1621*1.001,R1621&lt;&gt;""),"⚠ Vượt mục tiêu P90",IF(AND(Y1621&lt;&gt;"",ABS(N(Y1621))&gt;0.3),"⚠ Lệch &gt; 30% so với nhu cầu",IF(Q1621="Có","ℹ Kiểm tra ngoại suy KM","✓ Hợp lệ")))))</f>
        <v/>
      </c>
    </row>
    <row r="1622">
      <c r="A1622" s="16" t="n">
        <v>1618</v>
      </c>
      <c r="B1622" s="17" t="inlineStr">
        <is>
          <t>DEC-S42-DELI</t>
        </is>
      </c>
      <c r="C1622" s="16" t="n">
        <v>42</v>
      </c>
      <c r="D1622" s="17" t="inlineStr">
        <is>
          <t>DELI</t>
        </is>
      </c>
      <c r="E1622" s="17" t="inlineStr">
        <is>
          <t>MEDIUM</t>
        </is>
      </c>
      <c r="F1622" s="17" t="inlineStr">
        <is>
          <t>CAO</t>
        </is>
      </c>
      <c r="G1622" s="18" t="inlineStr">
        <is>
          <t>RISK_MEDIUM</t>
        </is>
      </c>
      <c r="H1622" s="19" t="n">
        <v>2378.419104248047</v>
      </c>
      <c r="I1622" s="19" t="n">
        <v>3124.824817626953</v>
      </c>
      <c r="J1622" s="19" t="n">
        <v>4049.031857177734</v>
      </c>
      <c r="K1622" s="19" t="n">
        <v>3124.824817626953</v>
      </c>
      <c r="L1622" s="19" t="n">
        <v>3702.454217346191</v>
      </c>
      <c r="M1622" s="19" t="n">
        <v>4049.031857177734</v>
      </c>
      <c r="N1622" s="17" t="inlineStr">
        <is>
          <t>C</t>
        </is>
      </c>
      <c r="O1622" s="19" t="n">
        <v>1549.172003076172</v>
      </c>
      <c r="P1622" s="18" t="inlineStr">
        <is>
          <t>KHÔNG ĐỀ XUẤT TĂNG</t>
        </is>
      </c>
      <c r="Q1622" s="17" t="inlineStr">
        <is>
          <t>Không</t>
        </is>
      </c>
      <c r="R1622" s="20" t="n"/>
      <c r="S1622" s="20" t="n"/>
      <c r="T1622" s="21" t="n"/>
      <c r="U1622" s="21" t="n"/>
      <c r="V1622" s="22">
        <f>IF(U1622="A",K1622,IF(U1622="B",L1622,IF(U1622="C",M1622,IF(N1622="A",K1622,IF(N1622="B",L1622,M1622)))))</f>
        <v/>
      </c>
      <c r="W1622" s="22">
        <f>IF(R1622="",O1622,MAX(V1622-R1622-N(S1622),0))</f>
        <v/>
      </c>
      <c r="X1622" s="20" t="n"/>
      <c r="Y1622" s="23">
        <f>IF(OR(X1622="",W1622=0),"",X1622/W1622-1)</f>
        <v/>
      </c>
      <c r="Z1622" s="24" t="n"/>
      <c r="AA1622" s="21" t="n"/>
      <c r="AB1622" s="25" t="n"/>
      <c r="AC1622" s="26">
        <f>IF(T1622="","Chưa quyết định",IF(OR(Z1622="",AA1622=""),"⚠ Thiếu lý do/người duyệt",IF(AND(X1622&lt;&gt;"",N(X1622)+N(R1622)+N(S1622)&gt;M1622*1.001,R1622&lt;&gt;""),"⚠ Vượt mục tiêu P90",IF(AND(Y1622&lt;&gt;"",ABS(N(Y1622))&gt;0.3),"⚠ Lệch &gt; 30% so với nhu cầu",IF(Q1622="Có","ℹ Kiểm tra ngoại suy KM","✓ Hợp lệ")))))</f>
        <v/>
      </c>
    </row>
    <row r="1623">
      <c r="A1623" s="16" t="n">
        <v>1619</v>
      </c>
      <c r="B1623" s="17" t="inlineStr">
        <is>
          <t>DEC-S15-PERSONAL_CARE</t>
        </is>
      </c>
      <c r="C1623" s="16" t="n">
        <v>15</v>
      </c>
      <c r="D1623" s="17" t="inlineStr">
        <is>
          <t>PERSONAL CARE</t>
        </is>
      </c>
      <c r="E1623" s="17" t="inlineStr">
        <is>
          <t>MEDIUM</t>
        </is>
      </c>
      <c r="F1623" s="17" t="inlineStr">
        <is>
          <t>CAO</t>
        </is>
      </c>
      <c r="G1623" s="18" t="inlineStr">
        <is>
          <t>RISK_MEDIUM</t>
        </is>
      </c>
      <c r="H1623" s="19" t="n">
        <v>2394.776967834473</v>
      </c>
      <c r="I1623" s="19" t="n">
        <v>3122.422479125977</v>
      </c>
      <c r="J1623" s="19" t="n">
        <v>4018.370598083496</v>
      </c>
      <c r="K1623" s="19" t="n">
        <v>3122.422479125977</v>
      </c>
      <c r="L1623" s="19" t="n">
        <v>3682.390053474426</v>
      </c>
      <c r="M1623" s="19" t="n">
        <v>4018.370598083496</v>
      </c>
      <c r="N1623" s="17" t="inlineStr">
        <is>
          <t>C</t>
        </is>
      </c>
      <c r="O1623" s="19" t="n">
        <v>1520.432614782715</v>
      </c>
      <c r="P1623" s="18" t="inlineStr">
        <is>
          <t>KHÔNG ĐỀ XUẤT TĂNG</t>
        </is>
      </c>
      <c r="Q1623" s="17" t="inlineStr">
        <is>
          <t>Không</t>
        </is>
      </c>
      <c r="R1623" s="20" t="n"/>
      <c r="S1623" s="20" t="n"/>
      <c r="T1623" s="21" t="n"/>
      <c r="U1623" s="21" t="n"/>
      <c r="V1623" s="22">
        <f>IF(U1623="A",K1623,IF(U1623="B",L1623,IF(U1623="C",M1623,IF(N1623="A",K1623,IF(N1623="B",L1623,M1623)))))</f>
        <v/>
      </c>
      <c r="W1623" s="22">
        <f>IF(R1623="",O1623,MAX(V1623-R1623-N(S1623),0))</f>
        <v/>
      </c>
      <c r="X1623" s="20" t="n"/>
      <c r="Y1623" s="23">
        <f>IF(OR(X1623="",W1623=0),"",X1623/W1623-1)</f>
        <v/>
      </c>
      <c r="Z1623" s="24" t="n"/>
      <c r="AA1623" s="21" t="n"/>
      <c r="AB1623" s="25" t="n"/>
      <c r="AC1623" s="26">
        <f>IF(T1623="","Chưa quyết định",IF(OR(Z1623="",AA1623=""),"⚠ Thiếu lý do/người duyệt",IF(AND(X1623&lt;&gt;"",N(X1623)+N(R1623)+N(S1623)&gt;M1623*1.001,R1623&lt;&gt;""),"⚠ Vượt mục tiêu P90",IF(AND(Y1623&lt;&gt;"",ABS(N(Y1623))&gt;0.3),"⚠ Lệch &gt; 30% so với nhu cầu",IF(Q1623="Có","ℹ Kiểm tra ngoại suy KM","✓ Hợp lệ")))))</f>
        <v/>
      </c>
    </row>
    <row r="1624">
      <c r="A1624" s="16" t="n">
        <v>1620</v>
      </c>
      <c r="B1624" s="17" t="inlineStr">
        <is>
          <t>DEC-S06-EGGS</t>
        </is>
      </c>
      <c r="C1624" s="16" t="n">
        <v>6</v>
      </c>
      <c r="D1624" s="17" t="inlineStr">
        <is>
          <t>EGGS</t>
        </is>
      </c>
      <c r="E1624" s="17" t="inlineStr">
        <is>
          <t>MEDIUM</t>
        </is>
      </c>
      <c r="F1624" s="17" t="inlineStr">
        <is>
          <t>CAO</t>
        </is>
      </c>
      <c r="G1624" s="18" t="inlineStr">
        <is>
          <t>RISK_MEDIUM</t>
        </is>
      </c>
      <c r="H1624" s="19" t="n">
        <v>2411.281788024902</v>
      </c>
      <c r="I1624" s="19" t="n">
        <v>3101.406895141602</v>
      </c>
      <c r="J1624" s="19" t="n">
        <v>3940.837172912597</v>
      </c>
      <c r="K1624" s="19" t="n">
        <v>3101.406895141602</v>
      </c>
      <c r="L1624" s="19" t="n">
        <v>3626.050818748474</v>
      </c>
      <c r="M1624" s="19" t="n">
        <v>3940.837172912597</v>
      </c>
      <c r="N1624" s="17" t="inlineStr">
        <is>
          <t>C</t>
        </is>
      </c>
      <c r="O1624" s="19" t="n">
        <v>1459.711656799316</v>
      </c>
      <c r="P1624" s="18" t="inlineStr">
        <is>
          <t>CÂN NHẮC THỬ NGHIỆM</t>
        </is>
      </c>
      <c r="Q1624" s="17" t="inlineStr">
        <is>
          <t>Không</t>
        </is>
      </c>
      <c r="R1624" s="20" t="n"/>
      <c r="S1624" s="20" t="n"/>
      <c r="T1624" s="21" t="n"/>
      <c r="U1624" s="21" t="n"/>
      <c r="V1624" s="22">
        <f>IF(U1624="A",K1624,IF(U1624="B",L1624,IF(U1624="C",M1624,IF(N1624="A",K1624,IF(N1624="B",L1624,M1624)))))</f>
        <v/>
      </c>
      <c r="W1624" s="22">
        <f>IF(R1624="",O1624,MAX(V1624-R1624-N(S1624),0))</f>
        <v/>
      </c>
      <c r="X1624" s="20" t="n"/>
      <c r="Y1624" s="23">
        <f>IF(OR(X1624="",W1624=0),"",X1624/W1624-1)</f>
        <v/>
      </c>
      <c r="Z1624" s="24" t="n"/>
      <c r="AA1624" s="21" t="n"/>
      <c r="AB1624" s="25" t="n"/>
      <c r="AC1624" s="26">
        <f>IF(T1624="","Chưa quyết định",IF(OR(Z1624="",AA1624=""),"⚠ Thiếu lý do/người duyệt",IF(AND(X1624&lt;&gt;"",N(X1624)+N(R1624)+N(S1624)&gt;M1624*1.001,R1624&lt;&gt;""),"⚠ Vượt mục tiêu P90",IF(AND(Y1624&lt;&gt;"",ABS(N(Y1624))&gt;0.3),"⚠ Lệch &gt; 30% so với nhu cầu",IF(Q1624="Có","ℹ Kiểm tra ngoại suy KM","✓ Hợp lệ")))))</f>
        <v/>
      </c>
    </row>
    <row r="1625">
      <c r="A1625" s="16" t="n">
        <v>1621</v>
      </c>
      <c r="B1625" s="17" t="inlineStr">
        <is>
          <t>DEC-S32-DAIRY</t>
        </is>
      </c>
      <c r="C1625" s="16" t="n">
        <v>32</v>
      </c>
      <c r="D1625" s="17" t="inlineStr">
        <is>
          <t>DAIRY</t>
        </is>
      </c>
      <c r="E1625" s="17" t="inlineStr">
        <is>
          <t>MEDIUM</t>
        </is>
      </c>
      <c r="F1625" s="17" t="inlineStr">
        <is>
          <t>CAO</t>
        </is>
      </c>
      <c r="G1625" s="18" t="inlineStr">
        <is>
          <t>RISK_MEDIUM</t>
        </is>
      </c>
      <c r="H1625" s="19" t="n">
        <v>2389.275821838379</v>
      </c>
      <c r="I1625" s="19" t="n">
        <v>3079.400928955078</v>
      </c>
      <c r="J1625" s="19" t="n">
        <v>3918.831206726074</v>
      </c>
      <c r="K1625" s="19" t="n">
        <v>3079.400928955078</v>
      </c>
      <c r="L1625" s="19" t="n">
        <v>3604.04485256195</v>
      </c>
      <c r="M1625" s="19" t="n">
        <v>3918.831206726074</v>
      </c>
      <c r="N1625" s="17" t="inlineStr">
        <is>
          <t>C</t>
        </is>
      </c>
      <c r="O1625" s="19" t="n">
        <v>1455.310463562011</v>
      </c>
      <c r="P1625" s="18" t="inlineStr">
        <is>
          <t>KHÔNG ĐỀ XUẤT TĂNG</t>
        </is>
      </c>
      <c r="Q1625" s="17" t="inlineStr">
        <is>
          <t>Không</t>
        </is>
      </c>
      <c r="R1625" s="20" t="n"/>
      <c r="S1625" s="20" t="n"/>
      <c r="T1625" s="21" t="n"/>
      <c r="U1625" s="21" t="n"/>
      <c r="V1625" s="22">
        <f>IF(U1625="A",K1625,IF(U1625="B",L1625,IF(U1625="C",M1625,IF(N1625="A",K1625,IF(N1625="B",L1625,M1625)))))</f>
        <v/>
      </c>
      <c r="W1625" s="22">
        <f>IF(R1625="",O1625,MAX(V1625-R1625-N(S1625),0))</f>
        <v/>
      </c>
      <c r="X1625" s="20" t="n"/>
      <c r="Y1625" s="23">
        <f>IF(OR(X1625="",W1625=0),"",X1625/W1625-1)</f>
        <v/>
      </c>
      <c r="Z1625" s="24" t="n"/>
      <c r="AA1625" s="21" t="n"/>
      <c r="AB1625" s="25" t="n"/>
      <c r="AC1625" s="26">
        <f>IF(T1625="","Chưa quyết định",IF(OR(Z1625="",AA1625=""),"⚠ Thiếu lý do/người duyệt",IF(AND(X1625&lt;&gt;"",N(X1625)+N(R1625)+N(S1625)&gt;M1625*1.001,R1625&lt;&gt;""),"⚠ Vượt mục tiêu P90",IF(AND(Y1625&lt;&gt;"",ABS(N(Y1625))&gt;0.3),"⚠ Lệch &gt; 30% so với nhu cầu",IF(Q1625="Có","ℹ Kiểm tra ngoại suy KM","✓ Hợp lệ")))))</f>
        <v/>
      </c>
    </row>
    <row r="1626">
      <c r="A1626" s="16" t="n">
        <v>1622</v>
      </c>
      <c r="B1626" s="17" t="inlineStr">
        <is>
          <t>DEC-S12-BREAD_BAKERY</t>
        </is>
      </c>
      <c r="C1626" s="16" t="n">
        <v>12</v>
      </c>
      <c r="D1626" s="17" t="inlineStr">
        <is>
          <t>BREAD/BAKERY</t>
        </is>
      </c>
      <c r="E1626" s="17" t="inlineStr">
        <is>
          <t>MEDIUM</t>
        </is>
      </c>
      <c r="F1626" s="17" t="inlineStr">
        <is>
          <t>CAO</t>
        </is>
      </c>
      <c r="G1626" s="18" t="inlineStr">
        <is>
          <t>RISK_MEDIUM</t>
        </is>
      </c>
      <c r="H1626" s="19" t="n">
        <v>2329.95143762207</v>
      </c>
      <c r="I1626" s="19" t="n">
        <v>3076.357151000977</v>
      </c>
      <c r="J1626" s="19" t="n">
        <v>4000.564190551758</v>
      </c>
      <c r="K1626" s="19" t="n">
        <v>3076.357151000977</v>
      </c>
      <c r="L1626" s="19" t="n">
        <v>3653.986550720215</v>
      </c>
      <c r="M1626" s="19" t="n">
        <v>4000.564190551758</v>
      </c>
      <c r="N1626" s="17" t="inlineStr">
        <is>
          <t>C</t>
        </is>
      </c>
      <c r="O1626" s="19" t="n">
        <v>1539.478469750977</v>
      </c>
      <c r="P1626" s="18" t="inlineStr">
        <is>
          <t>KHÔNG ĐỀ XUẤT TĂNG</t>
        </is>
      </c>
      <c r="Q1626" s="17" t="inlineStr">
        <is>
          <t>Không</t>
        </is>
      </c>
      <c r="R1626" s="20" t="n"/>
      <c r="S1626" s="20" t="n"/>
      <c r="T1626" s="21" t="n"/>
      <c r="U1626" s="21" t="n"/>
      <c r="V1626" s="22">
        <f>IF(U1626="A",K1626,IF(U1626="B",L1626,IF(U1626="C",M1626,IF(N1626="A",K1626,IF(N1626="B",L1626,M1626)))))</f>
        <v/>
      </c>
      <c r="W1626" s="22">
        <f>IF(R1626="",O1626,MAX(V1626-R1626-N(S1626),0))</f>
        <v/>
      </c>
      <c r="X1626" s="20" t="n"/>
      <c r="Y1626" s="23">
        <f>IF(OR(X1626="",W1626=0),"",X1626/W1626-1)</f>
        <v/>
      </c>
      <c r="Z1626" s="24" t="n"/>
      <c r="AA1626" s="21" t="n"/>
      <c r="AB1626" s="25" t="n"/>
      <c r="AC1626" s="26">
        <f>IF(T1626="","Chưa quyết định",IF(OR(Z1626="",AA1626=""),"⚠ Thiếu lý do/người duyệt",IF(AND(X1626&lt;&gt;"",N(X1626)+N(R1626)+N(S1626)&gt;M1626*1.001,R1626&lt;&gt;""),"⚠ Vượt mục tiêu P90",IF(AND(Y1626&lt;&gt;"",ABS(N(Y1626))&gt;0.3),"⚠ Lệch &gt; 30% so với nhu cầu",IF(Q1626="Có","ℹ Kiểm tra ngoại suy KM","✓ Hợp lệ")))))</f>
        <v/>
      </c>
    </row>
    <row r="1627">
      <c r="A1627" s="16" t="n">
        <v>1623</v>
      </c>
      <c r="B1627" s="17" t="inlineStr">
        <is>
          <t>DEC-S12-HOME_CARE</t>
        </is>
      </c>
      <c r="C1627" s="16" t="n">
        <v>12</v>
      </c>
      <c r="D1627" s="17" t="inlineStr">
        <is>
          <t>HOME CARE</t>
        </is>
      </c>
      <c r="E1627" s="17" t="inlineStr">
        <is>
          <t>MEDIUM</t>
        </is>
      </c>
      <c r="F1627" s="17" t="inlineStr">
        <is>
          <t>CAO</t>
        </is>
      </c>
      <c r="G1627" s="18" t="inlineStr">
        <is>
          <t>RISK_MEDIUM</t>
        </is>
      </c>
      <c r="H1627" s="19" t="n">
        <v>2329.521490722656</v>
      </c>
      <c r="I1627" s="19" t="n">
        <v>3075.927204101562</v>
      </c>
      <c r="J1627" s="19" t="n">
        <v>4000.134243652344</v>
      </c>
      <c r="K1627" s="19" t="n">
        <v>3075.927204101562</v>
      </c>
      <c r="L1627" s="19" t="n">
        <v>3653.556603820801</v>
      </c>
      <c r="M1627" s="19" t="n">
        <v>4000.134243652344</v>
      </c>
      <c r="N1627" s="17" t="inlineStr">
        <is>
          <t>C</t>
        </is>
      </c>
      <c r="O1627" s="19" t="n">
        <v>1539.392480371094</v>
      </c>
      <c r="P1627" s="18" t="inlineStr">
        <is>
          <t>KHÔNG ĐỀ XUẤT TĂNG</t>
        </is>
      </c>
      <c r="Q1627" s="17" t="inlineStr">
        <is>
          <t>Không</t>
        </is>
      </c>
      <c r="R1627" s="20" t="n"/>
      <c r="S1627" s="20" t="n"/>
      <c r="T1627" s="21" t="n"/>
      <c r="U1627" s="21" t="n"/>
      <c r="V1627" s="22">
        <f>IF(U1627="A",K1627,IF(U1627="B",L1627,IF(U1627="C",M1627,IF(N1627="A",K1627,IF(N1627="B",L1627,M1627)))))</f>
        <v/>
      </c>
      <c r="W1627" s="22">
        <f>IF(R1627="",O1627,MAX(V1627-R1627-N(S1627),0))</f>
        <v/>
      </c>
      <c r="X1627" s="20" t="n"/>
      <c r="Y1627" s="23">
        <f>IF(OR(X1627="",W1627=0),"",X1627/W1627-1)</f>
        <v/>
      </c>
      <c r="Z1627" s="24" t="n"/>
      <c r="AA1627" s="21" t="n"/>
      <c r="AB1627" s="25" t="n"/>
      <c r="AC1627" s="26">
        <f>IF(T1627="","Chưa quyết định",IF(OR(Z1627="",AA1627=""),"⚠ Thiếu lý do/người duyệt",IF(AND(X1627&lt;&gt;"",N(X1627)+N(R1627)+N(S1627)&gt;M1627*1.001,R1627&lt;&gt;""),"⚠ Vượt mục tiêu P90",IF(AND(Y1627&lt;&gt;"",ABS(N(Y1627))&gt;0.3),"⚠ Lệch &gt; 30% so với nhu cầu",IF(Q1627="Có","ℹ Kiểm tra ngoại suy KM","✓ Hợp lệ")))))</f>
        <v/>
      </c>
    </row>
    <row r="1628">
      <c r="A1628" s="16" t="n">
        <v>1624</v>
      </c>
      <c r="B1628" s="17" t="inlineStr">
        <is>
          <t>DEC-S10-HOME_CARE</t>
        </is>
      </c>
      <c r="C1628" s="16" t="n">
        <v>10</v>
      </c>
      <c r="D1628" s="17" t="inlineStr">
        <is>
          <t>HOME CARE</t>
        </is>
      </c>
      <c r="E1628" s="17" t="inlineStr">
        <is>
          <t>MEDIUM</t>
        </is>
      </c>
      <c r="F1628" s="17" t="inlineStr">
        <is>
          <t>CAO</t>
        </is>
      </c>
      <c r="G1628" s="18" t="inlineStr">
        <is>
          <t>RISK_MEDIUM</t>
        </is>
      </c>
      <c r="H1628" s="19" t="n">
        <v>2299.433567993164</v>
      </c>
      <c r="I1628" s="19" t="n">
        <v>3008.318877197265</v>
      </c>
      <c r="J1628" s="19" t="n">
        <v>3876.008075561524</v>
      </c>
      <c r="K1628" s="19" t="n">
        <v>3008.318877197265</v>
      </c>
      <c r="L1628" s="19" t="n">
        <v>3550.624626174927</v>
      </c>
      <c r="M1628" s="19" t="n">
        <v>3876.008075561524</v>
      </c>
      <c r="N1628" s="17" t="inlineStr">
        <is>
          <t>C</t>
        </is>
      </c>
      <c r="O1628" s="19" t="n">
        <v>1469.352973803711</v>
      </c>
      <c r="P1628" s="18" t="inlineStr">
        <is>
          <t>KHÔNG ĐỀ XUẤT TĂNG</t>
        </is>
      </c>
      <c r="Q1628" s="17" t="inlineStr">
        <is>
          <t>Không</t>
        </is>
      </c>
      <c r="R1628" s="20" t="n"/>
      <c r="S1628" s="20" t="n"/>
      <c r="T1628" s="21" t="n"/>
      <c r="U1628" s="21" t="n"/>
      <c r="V1628" s="22">
        <f>IF(U1628="A",K1628,IF(U1628="B",L1628,IF(U1628="C",M1628,IF(N1628="A",K1628,IF(N1628="B",L1628,M1628)))))</f>
        <v/>
      </c>
      <c r="W1628" s="22">
        <f>IF(R1628="",O1628,MAX(V1628-R1628-N(S1628),0))</f>
        <v/>
      </c>
      <c r="X1628" s="20" t="n"/>
      <c r="Y1628" s="23">
        <f>IF(OR(X1628="",W1628=0),"",X1628/W1628-1)</f>
        <v/>
      </c>
      <c r="Z1628" s="24" t="n"/>
      <c r="AA1628" s="21" t="n"/>
      <c r="AB1628" s="25" t="n"/>
      <c r="AC1628" s="26">
        <f>IF(T1628="","Chưa quyết định",IF(OR(Z1628="",AA1628=""),"⚠ Thiếu lý do/người duyệt",IF(AND(X1628&lt;&gt;"",N(X1628)+N(R1628)+N(S1628)&gt;M1628*1.001,R1628&lt;&gt;""),"⚠ Vượt mục tiêu P90",IF(AND(Y1628&lt;&gt;"",ABS(N(Y1628))&gt;0.3),"⚠ Lệch &gt; 30% so với nhu cầu",IF(Q1628="Có","ℹ Kiểm tra ngoại suy KM","✓ Hợp lệ")))))</f>
        <v/>
      </c>
    </row>
    <row r="1629">
      <c r="A1629" s="16" t="n">
        <v>1625</v>
      </c>
      <c r="B1629" s="17" t="inlineStr">
        <is>
          <t>DEC-S02-EGGS</t>
        </is>
      </c>
      <c r="C1629" s="16" t="n">
        <v>2</v>
      </c>
      <c r="D1629" s="17" t="inlineStr">
        <is>
          <t>EGGS</t>
        </is>
      </c>
      <c r="E1629" s="17" t="inlineStr">
        <is>
          <t>MEDIUM</t>
        </is>
      </c>
      <c r="F1629" s="17" t="inlineStr">
        <is>
          <t>CAO</t>
        </is>
      </c>
      <c r="G1629" s="18" t="inlineStr">
        <is>
          <t>RISK_MEDIUM</t>
        </is>
      </c>
      <c r="H1629" s="19" t="n">
        <v>2325.06132824707</v>
      </c>
      <c r="I1629" s="19" t="n">
        <v>2996.426233276367</v>
      </c>
      <c r="J1629" s="19" t="n">
        <v>3807.597590454101</v>
      </c>
      <c r="K1629" s="19" t="n">
        <v>2996.426233276367</v>
      </c>
      <c r="L1629" s="19" t="n">
        <v>3503.408331512451</v>
      </c>
      <c r="M1629" s="19" t="n">
        <v>3807.597590454101</v>
      </c>
      <c r="N1629" s="17" t="inlineStr">
        <is>
          <t>C</t>
        </is>
      </c>
      <c r="O1629" s="19" t="n">
        <v>1410.456603833008</v>
      </c>
      <c r="P1629" s="18" t="inlineStr">
        <is>
          <t>CÂN NHẮC THỬ NGHIỆM</t>
        </is>
      </c>
      <c r="Q1629" s="17" t="inlineStr">
        <is>
          <t>Không</t>
        </is>
      </c>
      <c r="R1629" s="20" t="n"/>
      <c r="S1629" s="20" t="n"/>
      <c r="T1629" s="21" t="n"/>
      <c r="U1629" s="21" t="n"/>
      <c r="V1629" s="22">
        <f>IF(U1629="A",K1629,IF(U1629="B",L1629,IF(U1629="C",M1629,IF(N1629="A",K1629,IF(N1629="B",L1629,M1629)))))</f>
        <v/>
      </c>
      <c r="W1629" s="22">
        <f>IF(R1629="",O1629,MAX(V1629-R1629-N(S1629),0))</f>
        <v/>
      </c>
      <c r="X1629" s="20" t="n"/>
      <c r="Y1629" s="23">
        <f>IF(OR(X1629="",W1629=0),"",X1629/W1629-1)</f>
        <v/>
      </c>
      <c r="Z1629" s="24" t="n"/>
      <c r="AA1629" s="21" t="n"/>
      <c r="AB1629" s="25" t="n"/>
      <c r="AC1629" s="26">
        <f>IF(T1629="","Chưa quyết định",IF(OR(Z1629="",AA1629=""),"⚠ Thiếu lý do/người duyệt",IF(AND(X1629&lt;&gt;"",N(X1629)+N(R1629)+N(S1629)&gt;M1629*1.001,R1629&lt;&gt;""),"⚠ Vượt mục tiêu P90",IF(AND(Y1629&lt;&gt;"",ABS(N(Y1629))&gt;0.3),"⚠ Lệch &gt; 30% so với nhu cầu",IF(Q1629="Có","ℹ Kiểm tra ngoại suy KM","✓ Hợp lệ")))))</f>
        <v/>
      </c>
    </row>
    <row r="1630">
      <c r="A1630" s="16" t="n">
        <v>1626</v>
      </c>
      <c r="B1630" s="17" t="inlineStr">
        <is>
          <t>DEC-S16-HOME_CARE</t>
        </is>
      </c>
      <c r="C1630" s="16" t="n">
        <v>16</v>
      </c>
      <c r="D1630" s="17" t="inlineStr">
        <is>
          <t>HOME CARE</t>
        </is>
      </c>
      <c r="E1630" s="17" t="inlineStr">
        <is>
          <t>MEDIUM</t>
        </is>
      </c>
      <c r="F1630" s="17" t="inlineStr">
        <is>
          <t>CAO</t>
        </is>
      </c>
      <c r="G1630" s="18" t="inlineStr">
        <is>
          <t>RISK_MEDIUM</t>
        </is>
      </c>
      <c r="H1630" s="19" t="n">
        <v>2302.634998474121</v>
      </c>
      <c r="I1630" s="19" t="n">
        <v>2992.76010559082</v>
      </c>
      <c r="J1630" s="19" t="n">
        <v>3832.190383361816</v>
      </c>
      <c r="K1630" s="19" t="n">
        <v>2992.76010559082</v>
      </c>
      <c r="L1630" s="19" t="n">
        <v>3517.404029197693</v>
      </c>
      <c r="M1630" s="19" t="n">
        <v>3832.190383361816</v>
      </c>
      <c r="N1630" s="17" t="inlineStr">
        <is>
          <t>C</t>
        </is>
      </c>
      <c r="O1630" s="19" t="n">
        <v>1437.98229888916</v>
      </c>
      <c r="P1630" s="18" t="inlineStr">
        <is>
          <t>KHÔNG ĐỀ XUẤT TĂNG</t>
        </is>
      </c>
      <c r="Q1630" s="17" t="inlineStr">
        <is>
          <t>Không</t>
        </is>
      </c>
      <c r="R1630" s="20" t="n"/>
      <c r="S1630" s="20" t="n"/>
      <c r="T1630" s="21" t="n"/>
      <c r="U1630" s="21" t="n"/>
      <c r="V1630" s="22">
        <f>IF(U1630="A",K1630,IF(U1630="B",L1630,IF(U1630="C",M1630,IF(N1630="A",K1630,IF(N1630="B",L1630,M1630)))))</f>
        <v/>
      </c>
      <c r="W1630" s="22">
        <f>IF(R1630="",O1630,MAX(V1630-R1630-N(S1630),0))</f>
        <v/>
      </c>
      <c r="X1630" s="20" t="n"/>
      <c r="Y1630" s="23">
        <f>IF(OR(X1630="",W1630=0),"",X1630/W1630-1)</f>
        <v/>
      </c>
      <c r="Z1630" s="24" t="n"/>
      <c r="AA1630" s="21" t="n"/>
      <c r="AB1630" s="25" t="n"/>
      <c r="AC1630" s="26">
        <f>IF(T1630="","Chưa quyết định",IF(OR(Z1630="",AA1630=""),"⚠ Thiếu lý do/người duyệt",IF(AND(X1630&lt;&gt;"",N(X1630)+N(R1630)+N(S1630)&gt;M1630*1.001,R1630&lt;&gt;""),"⚠ Vượt mục tiêu P90",IF(AND(Y1630&lt;&gt;"",ABS(N(Y1630))&gt;0.3),"⚠ Lệch &gt; 30% so với nhu cầu",IF(Q1630="Có","ℹ Kiểm tra ngoại suy KM","✓ Hợp lệ")))))</f>
        <v/>
      </c>
    </row>
    <row r="1631">
      <c r="A1631" s="16" t="n">
        <v>1627</v>
      </c>
      <c r="B1631" s="17" t="inlineStr">
        <is>
          <t>DEC-S13-PERSONAL_CARE</t>
        </is>
      </c>
      <c r="C1631" s="16" t="n">
        <v>13</v>
      </c>
      <c r="D1631" s="17" t="inlineStr">
        <is>
          <t>PERSONAL CARE</t>
        </is>
      </c>
      <c r="E1631" s="17" t="inlineStr">
        <is>
          <t>MEDIUM</t>
        </is>
      </c>
      <c r="F1631" s="17" t="inlineStr">
        <is>
          <t>CAO</t>
        </is>
      </c>
      <c r="G1631" s="18" t="inlineStr">
        <is>
          <t>RISK_MEDIUM</t>
        </is>
      </c>
      <c r="H1631" s="19" t="n">
        <v>2308.204791381836</v>
      </c>
      <c r="I1631" s="19" t="n">
        <v>2979.569696411133</v>
      </c>
      <c r="J1631" s="19" t="n">
        <v>3790.741053588867</v>
      </c>
      <c r="K1631" s="19" t="n">
        <v>2979.569696411133</v>
      </c>
      <c r="L1631" s="19" t="n">
        <v>3486.551794647217</v>
      </c>
      <c r="M1631" s="19" t="n">
        <v>3790.741053588867</v>
      </c>
      <c r="N1631" s="17" t="inlineStr">
        <is>
          <t>C</t>
        </is>
      </c>
      <c r="O1631" s="19" t="n">
        <v>1407.085296459961</v>
      </c>
      <c r="P1631" s="18" t="inlineStr">
        <is>
          <t>KHÔNG ĐỀ XUẤT TĂNG</t>
        </is>
      </c>
      <c r="Q1631" s="17" t="inlineStr">
        <is>
          <t>Không</t>
        </is>
      </c>
      <c r="R1631" s="20" t="n"/>
      <c r="S1631" s="20" t="n"/>
      <c r="T1631" s="21" t="n"/>
      <c r="U1631" s="21" t="n"/>
      <c r="V1631" s="22">
        <f>IF(U1631="A",K1631,IF(U1631="B",L1631,IF(U1631="C",M1631,IF(N1631="A",K1631,IF(N1631="B",L1631,M1631)))))</f>
        <v/>
      </c>
      <c r="W1631" s="22">
        <f>IF(R1631="",O1631,MAX(V1631-R1631-N(S1631),0))</f>
        <v/>
      </c>
      <c r="X1631" s="20" t="n"/>
      <c r="Y1631" s="23">
        <f>IF(OR(X1631="",W1631=0),"",X1631/W1631-1)</f>
        <v/>
      </c>
      <c r="Z1631" s="24" t="n"/>
      <c r="AA1631" s="21" t="n"/>
      <c r="AB1631" s="25" t="n"/>
      <c r="AC1631" s="26">
        <f>IF(T1631="","Chưa quyết định",IF(OR(Z1631="",AA1631=""),"⚠ Thiếu lý do/người duyệt",IF(AND(X1631&lt;&gt;"",N(X1631)+N(R1631)+N(S1631)&gt;M1631*1.001,R1631&lt;&gt;""),"⚠ Vượt mục tiêu P90",IF(AND(Y1631&lt;&gt;"",ABS(N(Y1631))&gt;0.3),"⚠ Lệch &gt; 30% so với nhu cầu",IF(Q1631="Có","ℹ Kiểm tra ngoại suy KM","✓ Hợp lệ")))))</f>
        <v/>
      </c>
    </row>
    <row r="1632">
      <c r="A1632" s="16" t="n">
        <v>1628</v>
      </c>
      <c r="B1632" s="17" t="inlineStr">
        <is>
          <t>DEC-S22-HOME_CARE</t>
        </is>
      </c>
      <c r="C1632" s="16" t="n">
        <v>22</v>
      </c>
      <c r="D1632" s="17" t="inlineStr">
        <is>
          <t>HOME CARE</t>
        </is>
      </c>
      <c r="E1632" s="17" t="inlineStr">
        <is>
          <t>MEDIUM</t>
        </is>
      </c>
      <c r="F1632" s="17" t="inlineStr">
        <is>
          <t>CAO</t>
        </is>
      </c>
      <c r="G1632" s="18" t="inlineStr">
        <is>
          <t>RISK_MEDIUM</t>
        </is>
      </c>
      <c r="H1632" s="19" t="n">
        <v>2246.694111816406</v>
      </c>
      <c r="I1632" s="19" t="n">
        <v>2955.579421020508</v>
      </c>
      <c r="J1632" s="19" t="n">
        <v>3823.268619384766</v>
      </c>
      <c r="K1632" s="19" t="n">
        <v>2955.579421020508</v>
      </c>
      <c r="L1632" s="19" t="n">
        <v>3497.885169998169</v>
      </c>
      <c r="M1632" s="19" t="n">
        <v>3823.268619384766</v>
      </c>
      <c r="N1632" s="17" t="inlineStr">
        <is>
          <t>C</t>
        </is>
      </c>
      <c r="O1632" s="19" t="n">
        <v>1458.80508256836</v>
      </c>
      <c r="P1632" s="18" t="inlineStr">
        <is>
          <t>KHÔNG ĐỀ XUẤT TĂNG</t>
        </is>
      </c>
      <c r="Q1632" s="17" t="inlineStr">
        <is>
          <t>Không</t>
        </is>
      </c>
      <c r="R1632" s="20" t="n"/>
      <c r="S1632" s="20" t="n"/>
      <c r="T1632" s="21" t="n"/>
      <c r="U1632" s="21" t="n"/>
      <c r="V1632" s="22">
        <f>IF(U1632="A",K1632,IF(U1632="B",L1632,IF(U1632="C",M1632,IF(N1632="A",K1632,IF(N1632="B",L1632,M1632)))))</f>
        <v/>
      </c>
      <c r="W1632" s="22">
        <f>IF(R1632="",O1632,MAX(V1632-R1632-N(S1632),0))</f>
        <v/>
      </c>
      <c r="X1632" s="20" t="n"/>
      <c r="Y1632" s="23">
        <f>IF(OR(X1632="",W1632=0),"",X1632/W1632-1)</f>
        <v/>
      </c>
      <c r="Z1632" s="24" t="n"/>
      <c r="AA1632" s="21" t="n"/>
      <c r="AB1632" s="25" t="n"/>
      <c r="AC1632" s="26">
        <f>IF(T1632="","Chưa quyết định",IF(OR(Z1632="",AA1632=""),"⚠ Thiếu lý do/người duyệt",IF(AND(X1632&lt;&gt;"",N(X1632)+N(R1632)+N(S1632)&gt;M1632*1.001,R1632&lt;&gt;""),"⚠ Vượt mục tiêu P90",IF(AND(Y1632&lt;&gt;"",ABS(N(Y1632))&gt;0.3),"⚠ Lệch &gt; 30% so với nhu cầu",IF(Q1632="Có","ℹ Kiểm tra ngoại suy KM","✓ Hợp lệ")))))</f>
        <v/>
      </c>
    </row>
    <row r="1633">
      <c r="A1633" s="16" t="n">
        <v>1629</v>
      </c>
      <c r="B1633" s="17" t="inlineStr">
        <is>
          <t>DEC-S12-PERSONAL_CARE</t>
        </is>
      </c>
      <c r="C1633" s="16" t="n">
        <v>12</v>
      </c>
      <c r="D1633" s="17" t="inlineStr">
        <is>
          <t>PERSONAL CARE</t>
        </is>
      </c>
      <c r="E1633" s="17" t="inlineStr">
        <is>
          <t>MEDIUM</t>
        </is>
      </c>
      <c r="F1633" s="17" t="inlineStr">
        <is>
          <t>CAO</t>
        </is>
      </c>
      <c r="G1633" s="18" t="inlineStr">
        <is>
          <t>RISK_MEDIUM</t>
        </is>
      </c>
      <c r="H1633" s="19" t="n">
        <v>2246.68396472168</v>
      </c>
      <c r="I1633" s="19" t="n">
        <v>2955.569273925781</v>
      </c>
      <c r="J1633" s="19" t="n">
        <v>3823.258472290039</v>
      </c>
      <c r="K1633" s="19" t="n">
        <v>2955.569273925781</v>
      </c>
      <c r="L1633" s="19" t="n">
        <v>3497.875022903442</v>
      </c>
      <c r="M1633" s="19" t="n">
        <v>3823.258472290039</v>
      </c>
      <c r="N1633" s="17" t="inlineStr">
        <is>
          <t>C</t>
        </is>
      </c>
      <c r="O1633" s="19" t="n">
        <v>1458.803053149414</v>
      </c>
      <c r="P1633" s="18" t="inlineStr">
        <is>
          <t>KHÔNG ĐỀ XUẤT TĂNG</t>
        </is>
      </c>
      <c r="Q1633" s="17" t="inlineStr">
        <is>
          <t>Không</t>
        </is>
      </c>
      <c r="R1633" s="20" t="n"/>
      <c r="S1633" s="20" t="n"/>
      <c r="T1633" s="21" t="n"/>
      <c r="U1633" s="21" t="n"/>
      <c r="V1633" s="22">
        <f>IF(U1633="A",K1633,IF(U1633="B",L1633,IF(U1633="C",M1633,IF(N1633="A",K1633,IF(N1633="B",L1633,M1633)))))</f>
        <v/>
      </c>
      <c r="W1633" s="22">
        <f>IF(R1633="",O1633,MAX(V1633-R1633-N(S1633),0))</f>
        <v/>
      </c>
      <c r="X1633" s="20" t="n"/>
      <c r="Y1633" s="23">
        <f>IF(OR(X1633="",W1633=0),"",X1633/W1633-1)</f>
        <v/>
      </c>
      <c r="Z1633" s="24" t="n"/>
      <c r="AA1633" s="21" t="n"/>
      <c r="AB1633" s="25" t="n"/>
      <c r="AC1633" s="26">
        <f>IF(T1633="","Chưa quyết định",IF(OR(Z1633="",AA1633=""),"⚠ Thiếu lý do/người duyệt",IF(AND(X1633&lt;&gt;"",N(X1633)+N(R1633)+N(S1633)&gt;M1633*1.001,R1633&lt;&gt;""),"⚠ Vượt mục tiêu P90",IF(AND(Y1633&lt;&gt;"",ABS(N(Y1633))&gt;0.3),"⚠ Lệch &gt; 30% so với nhu cầu",IF(Q1633="Có","ℹ Kiểm tra ngoại suy KM","✓ Hợp lệ")))))</f>
        <v/>
      </c>
    </row>
    <row r="1634">
      <c r="A1634" s="16" t="n">
        <v>1630</v>
      </c>
      <c r="B1634" s="17" t="inlineStr">
        <is>
          <t>DEC-S39-MEATS</t>
        </is>
      </c>
      <c r="C1634" s="16" t="n">
        <v>39</v>
      </c>
      <c r="D1634" s="17" t="inlineStr">
        <is>
          <t>MEATS</t>
        </is>
      </c>
      <c r="E1634" s="17" t="inlineStr">
        <is>
          <t>MEDIUM</t>
        </is>
      </c>
      <c r="F1634" s="17" t="inlineStr">
        <is>
          <t>CAO</t>
        </is>
      </c>
      <c r="G1634" s="18" t="inlineStr">
        <is>
          <t>RISK_MEDIUM</t>
        </is>
      </c>
      <c r="H1634" s="19" t="n">
        <v>2268.919925048828</v>
      </c>
      <c r="I1634" s="19" t="n">
        <v>2940.284830078125</v>
      </c>
      <c r="J1634" s="19" t="n">
        <v>3751.456187255859</v>
      </c>
      <c r="K1634" s="19" t="n">
        <v>2940.284830078125</v>
      </c>
      <c r="L1634" s="19" t="n">
        <v>3447.266928314209</v>
      </c>
      <c r="M1634" s="19" t="n">
        <v>3751.456187255859</v>
      </c>
      <c r="N1634" s="17" t="inlineStr">
        <is>
          <t>C</t>
        </is>
      </c>
      <c r="O1634" s="19" t="n">
        <v>1399.228323193359</v>
      </c>
      <c r="P1634" s="18" t="inlineStr">
        <is>
          <t>CÂN NHẮC THỬ NGHIỆM</t>
        </is>
      </c>
      <c r="Q1634" s="17" t="inlineStr">
        <is>
          <t>Không</t>
        </is>
      </c>
      <c r="R1634" s="20" t="n"/>
      <c r="S1634" s="20" t="n"/>
      <c r="T1634" s="21" t="n"/>
      <c r="U1634" s="21" t="n"/>
      <c r="V1634" s="22">
        <f>IF(U1634="A",K1634,IF(U1634="B",L1634,IF(U1634="C",M1634,IF(N1634="A",K1634,IF(N1634="B",L1634,M1634)))))</f>
        <v/>
      </c>
      <c r="W1634" s="22">
        <f>IF(R1634="",O1634,MAX(V1634-R1634-N(S1634),0))</f>
        <v/>
      </c>
      <c r="X1634" s="20" t="n"/>
      <c r="Y1634" s="23">
        <f>IF(OR(X1634="",W1634=0),"",X1634/W1634-1)</f>
        <v/>
      </c>
      <c r="Z1634" s="24" t="n"/>
      <c r="AA1634" s="21" t="n"/>
      <c r="AB1634" s="25" t="n"/>
      <c r="AC1634" s="26">
        <f>IF(T1634="","Chưa quyết định",IF(OR(Z1634="",AA1634=""),"⚠ Thiếu lý do/người duyệt",IF(AND(X1634&lt;&gt;"",N(X1634)+N(R1634)+N(S1634)&gt;M1634*1.001,R1634&lt;&gt;""),"⚠ Vượt mục tiêu P90",IF(AND(Y1634&lt;&gt;"",ABS(N(Y1634))&gt;0.3),"⚠ Lệch &gt; 30% so với nhu cầu",IF(Q1634="Có","ℹ Kiểm tra ngoại suy KM","✓ Hợp lệ")))))</f>
        <v/>
      </c>
    </row>
    <row r="1635">
      <c r="A1635" s="16" t="n">
        <v>1631</v>
      </c>
      <c r="B1635" s="17" t="inlineStr">
        <is>
          <t>DEC-S01-HOME_CARE</t>
        </is>
      </c>
      <c r="C1635" s="16" t="n">
        <v>1</v>
      </c>
      <c r="D1635" s="17" t="inlineStr">
        <is>
          <t>HOME CARE</t>
        </is>
      </c>
      <c r="E1635" s="17" t="inlineStr">
        <is>
          <t>MEDIUM</t>
        </is>
      </c>
      <c r="F1635" s="17" t="inlineStr">
        <is>
          <t>CAO</t>
        </is>
      </c>
      <c r="G1635" s="18" t="inlineStr">
        <is>
          <t>RISK_MEDIUM</t>
        </is>
      </c>
      <c r="H1635" s="19" t="n">
        <v>2235.05884185791</v>
      </c>
      <c r="I1635" s="19" t="n">
        <v>2925.183948974609</v>
      </c>
      <c r="J1635" s="19" t="n">
        <v>3764.614226745605</v>
      </c>
      <c r="K1635" s="19" t="n">
        <v>2925.183948974609</v>
      </c>
      <c r="L1635" s="19" t="n">
        <v>3449.827872581482</v>
      </c>
      <c r="M1635" s="19" t="n">
        <v>3764.614226745605</v>
      </c>
      <c r="N1635" s="17" t="inlineStr">
        <is>
          <t>C</t>
        </is>
      </c>
      <c r="O1635" s="19" t="n">
        <v>1424.467067565917</v>
      </c>
      <c r="P1635" s="18" t="inlineStr">
        <is>
          <t>KHÔNG ĐỀ XUẤT TĂNG</t>
        </is>
      </c>
      <c r="Q1635" s="17" t="inlineStr">
        <is>
          <t>Không</t>
        </is>
      </c>
      <c r="R1635" s="20" t="n"/>
      <c r="S1635" s="20" t="n"/>
      <c r="T1635" s="21" t="n"/>
      <c r="U1635" s="21" t="n"/>
      <c r="V1635" s="22">
        <f>IF(U1635="A",K1635,IF(U1635="B",L1635,IF(U1635="C",M1635,IF(N1635="A",K1635,IF(N1635="B",L1635,M1635)))))</f>
        <v/>
      </c>
      <c r="W1635" s="22">
        <f>IF(R1635="",O1635,MAX(V1635-R1635-N(S1635),0))</f>
        <v/>
      </c>
      <c r="X1635" s="20" t="n"/>
      <c r="Y1635" s="23">
        <f>IF(OR(X1635="",W1635=0),"",X1635/W1635-1)</f>
        <v/>
      </c>
      <c r="Z1635" s="24" t="n"/>
      <c r="AA1635" s="21" t="n"/>
      <c r="AB1635" s="25" t="n"/>
      <c r="AC1635" s="26">
        <f>IF(T1635="","Chưa quyết định",IF(OR(Z1635="",AA1635=""),"⚠ Thiếu lý do/người duyệt",IF(AND(X1635&lt;&gt;"",N(X1635)+N(R1635)+N(S1635)&gt;M1635*1.001,R1635&lt;&gt;""),"⚠ Vượt mục tiêu P90",IF(AND(Y1635&lt;&gt;"",ABS(N(Y1635))&gt;0.3),"⚠ Lệch &gt; 30% so với nhu cầu",IF(Q1635="Có","ℹ Kiểm tra ngoại suy KM","✓ Hợp lệ")))))</f>
        <v/>
      </c>
    </row>
    <row r="1636">
      <c r="A1636" s="16" t="n">
        <v>1632</v>
      </c>
      <c r="B1636" s="17" t="inlineStr">
        <is>
          <t>DEC-S34-MEATS</t>
        </is>
      </c>
      <c r="C1636" s="16" t="n">
        <v>34</v>
      </c>
      <c r="D1636" s="17" t="inlineStr">
        <is>
          <t>MEATS</t>
        </is>
      </c>
      <c r="E1636" s="17" t="inlineStr">
        <is>
          <t>MEDIUM</t>
        </is>
      </c>
      <c r="F1636" s="17" t="inlineStr">
        <is>
          <t>CAO</t>
        </is>
      </c>
      <c r="G1636" s="18" t="inlineStr">
        <is>
          <t>RISK_MEDIUM</t>
        </is>
      </c>
      <c r="H1636" s="19" t="n">
        <v>2237.808337524414</v>
      </c>
      <c r="I1636" s="19" t="n">
        <v>2909.173242553711</v>
      </c>
      <c r="J1636" s="19" t="n">
        <v>3720.344599731445</v>
      </c>
      <c r="K1636" s="19" t="n">
        <v>2909.173242553711</v>
      </c>
      <c r="L1636" s="19" t="n">
        <v>3416.155340789795</v>
      </c>
      <c r="M1636" s="19" t="n">
        <v>3720.344599731445</v>
      </c>
      <c r="N1636" s="17" t="inlineStr">
        <is>
          <t>C</t>
        </is>
      </c>
      <c r="O1636" s="19" t="n">
        <v>1393.006005688476</v>
      </c>
      <c r="P1636" s="18" t="inlineStr">
        <is>
          <t>CÂN NHẮC THỬ NGHIỆM</t>
        </is>
      </c>
      <c r="Q1636" s="17" t="inlineStr">
        <is>
          <t>Không</t>
        </is>
      </c>
      <c r="R1636" s="20" t="n"/>
      <c r="S1636" s="20" t="n"/>
      <c r="T1636" s="21" t="n"/>
      <c r="U1636" s="21" t="n"/>
      <c r="V1636" s="22">
        <f>IF(U1636="A",K1636,IF(U1636="B",L1636,IF(U1636="C",M1636,IF(N1636="A",K1636,IF(N1636="B",L1636,M1636)))))</f>
        <v/>
      </c>
      <c r="W1636" s="22">
        <f>IF(R1636="",O1636,MAX(V1636-R1636-N(S1636),0))</f>
        <v/>
      </c>
      <c r="X1636" s="20" t="n"/>
      <c r="Y1636" s="23">
        <f>IF(OR(X1636="",W1636=0),"",X1636/W1636-1)</f>
        <v/>
      </c>
      <c r="Z1636" s="24" t="n"/>
      <c r="AA1636" s="21" t="n"/>
      <c r="AB1636" s="25" t="n"/>
      <c r="AC1636" s="26">
        <f>IF(T1636="","Chưa quyết định",IF(OR(Z1636="",AA1636=""),"⚠ Thiếu lý do/người duyệt",IF(AND(X1636&lt;&gt;"",N(X1636)+N(R1636)+N(S1636)&gt;M1636*1.001,R1636&lt;&gt;""),"⚠ Vượt mục tiêu P90",IF(AND(Y1636&lt;&gt;"",ABS(N(Y1636))&gt;0.3),"⚠ Lệch &gt; 30% so với nhu cầu",IF(Q1636="Có","ℹ Kiểm tra ngoại suy KM","✓ Hợp lệ")))))</f>
        <v/>
      </c>
    </row>
    <row r="1637">
      <c r="A1637" s="16" t="n">
        <v>1633</v>
      </c>
      <c r="B1637" s="17" t="inlineStr">
        <is>
          <t>DEC-S10-PERSONAL_CARE</t>
        </is>
      </c>
      <c r="C1637" s="16" t="n">
        <v>10</v>
      </c>
      <c r="D1637" s="17" t="inlineStr">
        <is>
          <t>PERSONAL CARE</t>
        </is>
      </c>
      <c r="E1637" s="17" t="inlineStr">
        <is>
          <t>MEDIUM</t>
        </is>
      </c>
      <c r="F1637" s="17" t="inlineStr">
        <is>
          <t>CAO</t>
        </is>
      </c>
      <c r="G1637" s="18" t="inlineStr">
        <is>
          <t>RISK_MEDIUM</t>
        </is>
      </c>
      <c r="H1637" s="19" t="n">
        <v>2217.026691589356</v>
      </c>
      <c r="I1637" s="19" t="n">
        <v>2907.151798706055</v>
      </c>
      <c r="J1637" s="19" t="n">
        <v>3746.582076477051</v>
      </c>
      <c r="K1637" s="19" t="n">
        <v>2907.151798706055</v>
      </c>
      <c r="L1637" s="19" t="n">
        <v>3431.795722312927</v>
      </c>
      <c r="M1637" s="19" t="n">
        <v>3746.582076477051</v>
      </c>
      <c r="N1637" s="17" t="inlineStr">
        <is>
          <t>C</t>
        </is>
      </c>
      <c r="O1637" s="19" t="n">
        <v>1420.860637512207</v>
      </c>
      <c r="P1637" s="18" t="inlineStr">
        <is>
          <t>KHÔNG ĐỀ XUẤT TĂNG</t>
        </is>
      </c>
      <c r="Q1637" s="17" t="inlineStr">
        <is>
          <t>Không</t>
        </is>
      </c>
      <c r="R1637" s="20" t="n"/>
      <c r="S1637" s="20" t="n"/>
      <c r="T1637" s="21" t="n"/>
      <c r="U1637" s="21" t="n"/>
      <c r="V1637" s="22">
        <f>IF(U1637="A",K1637,IF(U1637="B",L1637,IF(U1637="C",M1637,IF(N1637="A",K1637,IF(N1637="B",L1637,M1637)))))</f>
        <v/>
      </c>
      <c r="W1637" s="22">
        <f>IF(R1637="",O1637,MAX(V1637-R1637-N(S1637),0))</f>
        <v/>
      </c>
      <c r="X1637" s="20" t="n"/>
      <c r="Y1637" s="23">
        <f>IF(OR(X1637="",W1637=0),"",X1637/W1637-1)</f>
        <v/>
      </c>
      <c r="Z1637" s="24" t="n"/>
      <c r="AA1637" s="21" t="n"/>
      <c r="AB1637" s="25" t="n"/>
      <c r="AC1637" s="26">
        <f>IF(T1637="","Chưa quyết định",IF(OR(Z1637="",AA1637=""),"⚠ Thiếu lý do/người duyệt",IF(AND(X1637&lt;&gt;"",N(X1637)+N(R1637)+N(S1637)&gt;M1637*1.001,R1637&lt;&gt;""),"⚠ Vượt mục tiêu P90",IF(AND(Y1637&lt;&gt;"",ABS(N(Y1637))&gt;0.3),"⚠ Lệch &gt; 30% so với nhu cầu",IF(Q1637="Có","ℹ Kiểm tra ngoại suy KM","✓ Hợp lệ")))))</f>
        <v/>
      </c>
    </row>
    <row r="1638">
      <c r="A1638" s="16" t="n">
        <v>1634</v>
      </c>
      <c r="B1638" s="17" t="inlineStr">
        <is>
          <t>DEC-S40-EGGS</t>
        </is>
      </c>
      <c r="C1638" s="16" t="n">
        <v>40</v>
      </c>
      <c r="D1638" s="17" t="inlineStr">
        <is>
          <t>EGGS</t>
        </is>
      </c>
      <c r="E1638" s="17" t="inlineStr">
        <is>
          <t>MEDIUM</t>
        </is>
      </c>
      <c r="F1638" s="17" t="inlineStr">
        <is>
          <t>CAO</t>
        </is>
      </c>
      <c r="G1638" s="18" t="inlineStr">
        <is>
          <t>RISK_MEDIUM</t>
        </is>
      </c>
      <c r="H1638" s="19" t="n">
        <v>2213.150332763672</v>
      </c>
      <c r="I1638" s="19" t="n">
        <v>2884.515237792969</v>
      </c>
      <c r="J1638" s="19" t="n">
        <v>3695.686594970703</v>
      </c>
      <c r="K1638" s="19" t="n">
        <v>2884.515237792969</v>
      </c>
      <c r="L1638" s="19" t="n">
        <v>3391.497336029053</v>
      </c>
      <c r="M1638" s="19" t="n">
        <v>3695.686594970703</v>
      </c>
      <c r="N1638" s="17" t="inlineStr">
        <is>
          <t>C</t>
        </is>
      </c>
      <c r="O1638" s="19" t="n">
        <v>1388.074404736328</v>
      </c>
      <c r="P1638" s="18" t="inlineStr">
        <is>
          <t>CÂN NHẮC THỬ NGHIỆM</t>
        </is>
      </c>
      <c r="Q1638" s="17" t="inlineStr">
        <is>
          <t>Không</t>
        </is>
      </c>
      <c r="R1638" s="20" t="n"/>
      <c r="S1638" s="20" t="n"/>
      <c r="T1638" s="21" t="n"/>
      <c r="U1638" s="21" t="n"/>
      <c r="V1638" s="22">
        <f>IF(U1638="A",K1638,IF(U1638="B",L1638,IF(U1638="C",M1638,IF(N1638="A",K1638,IF(N1638="B",L1638,M1638)))))</f>
        <v/>
      </c>
      <c r="W1638" s="22">
        <f>IF(R1638="",O1638,MAX(V1638-R1638-N(S1638),0))</f>
        <v/>
      </c>
      <c r="X1638" s="20" t="n"/>
      <c r="Y1638" s="23">
        <f>IF(OR(X1638="",W1638=0),"",X1638/W1638-1)</f>
        <v/>
      </c>
      <c r="Z1638" s="24" t="n"/>
      <c r="AA1638" s="21" t="n"/>
      <c r="AB1638" s="25" t="n"/>
      <c r="AC1638" s="26">
        <f>IF(T1638="","Chưa quyết định",IF(OR(Z1638="",AA1638=""),"⚠ Thiếu lý do/người duyệt",IF(AND(X1638&lt;&gt;"",N(X1638)+N(R1638)+N(S1638)&gt;M1638*1.001,R1638&lt;&gt;""),"⚠ Vượt mục tiêu P90",IF(AND(Y1638&lt;&gt;"",ABS(N(Y1638))&gt;0.3),"⚠ Lệch &gt; 30% so với nhu cầu",IF(Q1638="Có","ℹ Kiểm tra ngoại suy KM","✓ Hợp lệ")))))</f>
        <v/>
      </c>
    </row>
    <row r="1639">
      <c r="A1639" s="16" t="n">
        <v>1635</v>
      </c>
      <c r="B1639" s="17" t="inlineStr">
        <is>
          <t>DEC-S08-FROZEN_FOODS</t>
        </is>
      </c>
      <c r="C1639" s="16" t="n">
        <v>8</v>
      </c>
      <c r="D1639" s="17" t="inlineStr">
        <is>
          <t>FROZEN FOODS</t>
        </is>
      </c>
      <c r="E1639" s="17" t="inlineStr">
        <is>
          <t>MEDIUM</t>
        </is>
      </c>
      <c r="F1639" s="17" t="inlineStr">
        <is>
          <t>CAO</t>
        </is>
      </c>
      <c r="G1639" s="18" t="inlineStr">
        <is>
          <t>RISK_MEDIUM</t>
        </is>
      </c>
      <c r="H1639" s="19" t="n">
        <v>2150.021763793945</v>
      </c>
      <c r="I1639" s="19" t="n">
        <v>2858.907072998047</v>
      </c>
      <c r="J1639" s="19" t="n">
        <v>3726.596271362305</v>
      </c>
      <c r="K1639" s="19" t="n">
        <v>2858.907072998047</v>
      </c>
      <c r="L1639" s="19" t="n">
        <v>3401.212821975708</v>
      </c>
      <c r="M1639" s="19" t="n">
        <v>3726.596271362305</v>
      </c>
      <c r="N1639" s="17" t="inlineStr">
        <is>
          <t>C</t>
        </is>
      </c>
      <c r="O1639" s="19" t="n">
        <v>1439.470612963868</v>
      </c>
      <c r="P1639" s="18" t="inlineStr">
        <is>
          <t>CÂN NHẮC THỬ NGHIỆM</t>
        </is>
      </c>
      <c r="Q1639" s="17" t="inlineStr">
        <is>
          <t>Không</t>
        </is>
      </c>
      <c r="R1639" s="20" t="n"/>
      <c r="S1639" s="20" t="n"/>
      <c r="T1639" s="21" t="n"/>
      <c r="U1639" s="21" t="n"/>
      <c r="V1639" s="22">
        <f>IF(U1639="A",K1639,IF(U1639="B",L1639,IF(U1639="C",M1639,IF(N1639="A",K1639,IF(N1639="B",L1639,M1639)))))</f>
        <v/>
      </c>
      <c r="W1639" s="22">
        <f>IF(R1639="",O1639,MAX(V1639-R1639-N(S1639),0))</f>
        <v/>
      </c>
      <c r="X1639" s="20" t="n"/>
      <c r="Y1639" s="23">
        <f>IF(OR(X1639="",W1639=0),"",X1639/W1639-1)</f>
        <v/>
      </c>
      <c r="Z1639" s="24" t="n"/>
      <c r="AA1639" s="21" t="n"/>
      <c r="AB1639" s="25" t="n"/>
      <c r="AC1639" s="26">
        <f>IF(T1639="","Chưa quyết định",IF(OR(Z1639="",AA1639=""),"⚠ Thiếu lý do/người duyệt",IF(AND(X1639&lt;&gt;"",N(X1639)+N(R1639)+N(S1639)&gt;M1639*1.001,R1639&lt;&gt;""),"⚠ Vượt mục tiêu P90",IF(AND(Y1639&lt;&gt;"",ABS(N(Y1639))&gt;0.3),"⚠ Lệch &gt; 30% so với nhu cầu",IF(Q1639="Có","ℹ Kiểm tra ngoại suy KM","✓ Hợp lệ")))))</f>
        <v/>
      </c>
    </row>
    <row r="1640">
      <c r="A1640" s="16" t="n">
        <v>1636</v>
      </c>
      <c r="B1640" s="17" t="inlineStr">
        <is>
          <t>DEC-S38-DELI</t>
        </is>
      </c>
      <c r="C1640" s="16" t="n">
        <v>38</v>
      </c>
      <c r="D1640" s="17" t="inlineStr">
        <is>
          <t>DELI</t>
        </is>
      </c>
      <c r="E1640" s="17" t="inlineStr">
        <is>
          <t>MEDIUM</t>
        </is>
      </c>
      <c r="F1640" s="17" t="inlineStr">
        <is>
          <t>CAO</t>
        </is>
      </c>
      <c r="G1640" s="18" t="inlineStr">
        <is>
          <t>RISK_MEDIUM</t>
        </is>
      </c>
      <c r="H1640" s="19" t="n">
        <v>2162.667499694824</v>
      </c>
      <c r="I1640" s="19" t="n">
        <v>2852.792606811523</v>
      </c>
      <c r="J1640" s="19" t="n">
        <v>3692.222884582519</v>
      </c>
      <c r="K1640" s="19" t="n">
        <v>2852.792606811523</v>
      </c>
      <c r="L1640" s="19" t="n">
        <v>3377.436530418396</v>
      </c>
      <c r="M1640" s="19" t="n">
        <v>3692.222884582519</v>
      </c>
      <c r="N1640" s="17" t="inlineStr">
        <is>
          <t>C</t>
        </is>
      </c>
      <c r="O1640" s="19" t="n">
        <v>1409.9887991333</v>
      </c>
      <c r="P1640" s="18" t="inlineStr">
        <is>
          <t>KHÔNG ĐỀ XUẤT TĂNG</t>
        </is>
      </c>
      <c r="Q1640" s="17" t="inlineStr">
        <is>
          <t>Không</t>
        </is>
      </c>
      <c r="R1640" s="20" t="n"/>
      <c r="S1640" s="20" t="n"/>
      <c r="T1640" s="21" t="n"/>
      <c r="U1640" s="21" t="n"/>
      <c r="V1640" s="22">
        <f>IF(U1640="A",K1640,IF(U1640="B",L1640,IF(U1640="C",M1640,IF(N1640="A",K1640,IF(N1640="B",L1640,M1640)))))</f>
        <v/>
      </c>
      <c r="W1640" s="22">
        <f>IF(R1640="",O1640,MAX(V1640-R1640-N(S1640),0))</f>
        <v/>
      </c>
      <c r="X1640" s="20" t="n"/>
      <c r="Y1640" s="23">
        <f>IF(OR(X1640="",W1640=0),"",X1640/W1640-1)</f>
        <v/>
      </c>
      <c r="Z1640" s="24" t="n"/>
      <c r="AA1640" s="21" t="n"/>
      <c r="AB1640" s="25" t="n"/>
      <c r="AC1640" s="26">
        <f>IF(T1640="","Chưa quyết định",IF(OR(Z1640="",AA1640=""),"⚠ Thiếu lý do/người duyệt",IF(AND(X1640&lt;&gt;"",N(X1640)+N(R1640)+N(S1640)&gt;M1640*1.001,R1640&lt;&gt;""),"⚠ Vượt mục tiêu P90",IF(AND(Y1640&lt;&gt;"",ABS(N(Y1640))&gt;0.3),"⚠ Lệch &gt; 30% so với nhu cầu",IF(Q1640="Có","ℹ Kiểm tra ngoại suy KM","✓ Hợp lệ")))))</f>
        <v/>
      </c>
    </row>
    <row r="1641">
      <c r="A1641" s="16" t="n">
        <v>1637</v>
      </c>
      <c r="B1641" s="17" t="inlineStr">
        <is>
          <t>DEC-S07-LIQUOR_WINE_BEER</t>
        </is>
      </c>
      <c r="C1641" s="16" t="n">
        <v>7</v>
      </c>
      <c r="D1641" s="17" t="inlineStr">
        <is>
          <t>LIQUOR,WINE,BEER</t>
        </is>
      </c>
      <c r="E1641" s="17" t="inlineStr">
        <is>
          <t>MEDIUM</t>
        </is>
      </c>
      <c r="F1641" s="17" t="inlineStr">
        <is>
          <t>CAO</t>
        </is>
      </c>
      <c r="G1641" s="18" t="inlineStr">
        <is>
          <t>RISK_MEDIUM</t>
        </is>
      </c>
      <c r="H1641" s="19" t="n">
        <v>2140.49133013916</v>
      </c>
      <c r="I1641" s="19" t="n">
        <v>2849.376639343262</v>
      </c>
      <c r="J1641" s="19" t="n">
        <v>3717.06583770752</v>
      </c>
      <c r="K1641" s="19" t="n">
        <v>2849.376639343262</v>
      </c>
      <c r="L1641" s="19" t="n">
        <v>3391.682388320923</v>
      </c>
      <c r="M1641" s="19" t="n">
        <v>3717.06583770752</v>
      </c>
      <c r="N1641" s="17" t="inlineStr">
        <is>
          <t>C</t>
        </is>
      </c>
      <c r="O1641" s="19" t="n">
        <v>1437.564526232911</v>
      </c>
      <c r="P1641" s="18" t="inlineStr">
        <is>
          <t>KHÔNG ĐỀ XUẤT TĂNG</t>
        </is>
      </c>
      <c r="Q1641" s="17" t="inlineStr">
        <is>
          <t>Không</t>
        </is>
      </c>
      <c r="R1641" s="20" t="n"/>
      <c r="S1641" s="20" t="n"/>
      <c r="T1641" s="21" t="n"/>
      <c r="U1641" s="21" t="n"/>
      <c r="V1641" s="22">
        <f>IF(U1641="A",K1641,IF(U1641="B",L1641,IF(U1641="C",M1641,IF(N1641="A",K1641,IF(N1641="B",L1641,M1641)))))</f>
        <v/>
      </c>
      <c r="W1641" s="22">
        <f>IF(R1641="",O1641,MAX(V1641-R1641-N(S1641),0))</f>
        <v/>
      </c>
      <c r="X1641" s="20" t="n"/>
      <c r="Y1641" s="23">
        <f>IF(OR(X1641="",W1641=0),"",X1641/W1641-1)</f>
        <v/>
      </c>
      <c r="Z1641" s="24" t="n"/>
      <c r="AA1641" s="21" t="n"/>
      <c r="AB1641" s="25" t="n"/>
      <c r="AC1641" s="26">
        <f>IF(T1641="","Chưa quyết định",IF(OR(Z1641="",AA1641=""),"⚠ Thiếu lý do/người duyệt",IF(AND(X1641&lt;&gt;"",N(X1641)+N(R1641)+N(S1641)&gt;M1641*1.001,R1641&lt;&gt;""),"⚠ Vượt mục tiêu P90",IF(AND(Y1641&lt;&gt;"",ABS(N(Y1641))&gt;0.3),"⚠ Lệch &gt; 30% so với nhu cầu",IF(Q1641="Có","ℹ Kiểm tra ngoại suy KM","✓ Hợp lệ")))))</f>
        <v/>
      </c>
    </row>
    <row r="1642">
      <c r="A1642" s="16" t="n">
        <v>1638</v>
      </c>
      <c r="B1642" s="17" t="inlineStr">
        <is>
          <t>DEC-S16-DELI</t>
        </is>
      </c>
      <c r="C1642" s="16" t="n">
        <v>16</v>
      </c>
      <c r="D1642" s="17" t="inlineStr">
        <is>
          <t>DELI</t>
        </is>
      </c>
      <c r="E1642" s="17" t="inlineStr">
        <is>
          <t>MEDIUM</t>
        </is>
      </c>
      <c r="F1642" s="17" t="inlineStr">
        <is>
          <t>CAO</t>
        </is>
      </c>
      <c r="G1642" s="18" t="inlineStr">
        <is>
          <t>RISK_MEDIUM</t>
        </is>
      </c>
      <c r="H1642" s="19" t="n">
        <v>2168.388491943359</v>
      </c>
      <c r="I1642" s="19" t="n">
        <v>2839.753396972656</v>
      </c>
      <c r="J1642" s="19" t="n">
        <v>3650.924754150391</v>
      </c>
      <c r="K1642" s="19" t="n">
        <v>2839.753396972656</v>
      </c>
      <c r="L1642" s="19" t="n">
        <v>3346.735495208741</v>
      </c>
      <c r="M1642" s="19" t="n">
        <v>3650.924754150391</v>
      </c>
      <c r="N1642" s="17" t="inlineStr">
        <is>
          <t>C</t>
        </is>
      </c>
      <c r="O1642" s="19" t="n">
        <v>1379.122036572266</v>
      </c>
      <c r="P1642" s="18" t="inlineStr">
        <is>
          <t>KHÔNG ĐỀ XUẤT TĂNG</t>
        </is>
      </c>
      <c r="Q1642" s="17" t="inlineStr">
        <is>
          <t>Không</t>
        </is>
      </c>
      <c r="R1642" s="20" t="n"/>
      <c r="S1642" s="20" t="n"/>
      <c r="T1642" s="21" t="n"/>
      <c r="U1642" s="21" t="n"/>
      <c r="V1642" s="22">
        <f>IF(U1642="A",K1642,IF(U1642="B",L1642,IF(U1642="C",M1642,IF(N1642="A",K1642,IF(N1642="B",L1642,M1642)))))</f>
        <v/>
      </c>
      <c r="W1642" s="22">
        <f>IF(R1642="",O1642,MAX(V1642-R1642-N(S1642),0))</f>
        <v/>
      </c>
      <c r="X1642" s="20" t="n"/>
      <c r="Y1642" s="23">
        <f>IF(OR(X1642="",W1642=0),"",X1642/W1642-1)</f>
        <v/>
      </c>
      <c r="Z1642" s="24" t="n"/>
      <c r="AA1642" s="21" t="n"/>
      <c r="AB1642" s="25" t="n"/>
      <c r="AC1642" s="26">
        <f>IF(T1642="","Chưa quyết định",IF(OR(Z1642="",AA1642=""),"⚠ Thiếu lý do/người duyệt",IF(AND(X1642&lt;&gt;"",N(X1642)+N(R1642)+N(S1642)&gt;M1642*1.001,R1642&lt;&gt;""),"⚠ Vượt mục tiêu P90",IF(AND(Y1642&lt;&gt;"",ABS(N(Y1642))&gt;0.3),"⚠ Lệch &gt; 30% so với nhu cầu",IF(Q1642="Có","ℹ Kiểm tra ngoại suy KM","✓ Hợp lệ")))))</f>
        <v/>
      </c>
    </row>
    <row r="1643">
      <c r="A1643" s="16" t="n">
        <v>1639</v>
      </c>
      <c r="B1643" s="17" t="inlineStr">
        <is>
          <t>DEC-S21-POULTRY</t>
        </is>
      </c>
      <c r="C1643" s="16" t="n">
        <v>21</v>
      </c>
      <c r="D1643" s="17" t="inlineStr">
        <is>
          <t>POULTRY</t>
        </is>
      </c>
      <c r="E1643" s="17" t="inlineStr">
        <is>
          <t>MEDIUM</t>
        </is>
      </c>
      <c r="F1643" s="17" t="inlineStr">
        <is>
          <t>CAO</t>
        </is>
      </c>
      <c r="G1643" s="18" t="inlineStr">
        <is>
          <t>RISK_MEDIUM</t>
        </is>
      </c>
      <c r="H1643" s="19" t="n">
        <v>2164.442691162109</v>
      </c>
      <c r="I1643" s="19" t="n">
        <v>2835.807596191406</v>
      </c>
      <c r="J1643" s="19" t="n">
        <v>3646.978953369141</v>
      </c>
      <c r="K1643" s="19" t="n">
        <v>2835.807596191406</v>
      </c>
      <c r="L1643" s="19" t="n">
        <v>3342.789694427491</v>
      </c>
      <c r="M1643" s="19" t="n">
        <v>3646.978953369141</v>
      </c>
      <c r="N1643" s="17" t="inlineStr">
        <is>
          <t>C</t>
        </is>
      </c>
      <c r="O1643" s="19" t="n">
        <v>1378.332876416016</v>
      </c>
      <c r="P1643" s="18" t="inlineStr">
        <is>
          <t>CÂN NHẮC THỬ NGHIỆM</t>
        </is>
      </c>
      <c r="Q1643" s="17" t="inlineStr">
        <is>
          <t>Không</t>
        </is>
      </c>
      <c r="R1643" s="20" t="n"/>
      <c r="S1643" s="20" t="n"/>
      <c r="T1643" s="21" t="n"/>
      <c r="U1643" s="21" t="n"/>
      <c r="V1643" s="22">
        <f>IF(U1643="A",K1643,IF(U1643="B",L1643,IF(U1643="C",M1643,IF(N1643="A",K1643,IF(N1643="B",L1643,M1643)))))</f>
        <v/>
      </c>
      <c r="W1643" s="22">
        <f>IF(R1643="",O1643,MAX(V1643-R1643-N(S1643),0))</f>
        <v/>
      </c>
      <c r="X1643" s="20" t="n"/>
      <c r="Y1643" s="23">
        <f>IF(OR(X1643="",W1643=0),"",X1643/W1643-1)</f>
        <v/>
      </c>
      <c r="Z1643" s="24" t="n"/>
      <c r="AA1643" s="21" t="n"/>
      <c r="AB1643" s="25" t="n"/>
      <c r="AC1643" s="26">
        <f>IF(T1643="","Chưa quyết định",IF(OR(Z1643="",AA1643=""),"⚠ Thiếu lý do/người duyệt",IF(AND(X1643&lt;&gt;"",N(X1643)+N(R1643)+N(S1643)&gt;M1643*1.001,R1643&lt;&gt;""),"⚠ Vượt mục tiêu P90",IF(AND(Y1643&lt;&gt;"",ABS(N(Y1643))&gt;0.3),"⚠ Lệch &gt; 30% so với nhu cầu",IF(Q1643="Có","ℹ Kiểm tra ngoại suy KM","✓ Hợp lệ")))))</f>
        <v/>
      </c>
    </row>
    <row r="1644">
      <c r="A1644" s="16" t="n">
        <v>1640</v>
      </c>
      <c r="B1644" s="17" t="inlineStr">
        <is>
          <t>DEC-S19-BREAD_BAKERY</t>
        </is>
      </c>
      <c r="C1644" s="16" t="n">
        <v>19</v>
      </c>
      <c r="D1644" s="17" t="inlineStr">
        <is>
          <t>BREAD/BAKERY</t>
        </is>
      </c>
      <c r="E1644" s="17" t="inlineStr">
        <is>
          <t>MEDIUM</t>
        </is>
      </c>
      <c r="F1644" s="17" t="inlineStr">
        <is>
          <t>CAO</t>
        </is>
      </c>
      <c r="G1644" s="18" t="inlineStr">
        <is>
          <t>RISK_MEDIUM</t>
        </is>
      </c>
      <c r="H1644" s="19" t="n">
        <v>2150.780368164063</v>
      </c>
      <c r="I1644" s="19" t="n">
        <v>2822.14527319336</v>
      </c>
      <c r="J1644" s="19" t="n">
        <v>3633.316630371094</v>
      </c>
      <c r="K1644" s="19" t="n">
        <v>2822.14527319336</v>
      </c>
      <c r="L1644" s="19" t="n">
        <v>3329.127371429443</v>
      </c>
      <c r="M1644" s="19" t="n">
        <v>3633.316630371094</v>
      </c>
      <c r="N1644" s="17" t="inlineStr">
        <is>
          <t>C</t>
        </is>
      </c>
      <c r="O1644" s="19" t="n">
        <v>1375.600411816406</v>
      </c>
      <c r="P1644" s="18" t="inlineStr">
        <is>
          <t>KHÔNG ĐỀ XUẤT TĂNG</t>
        </is>
      </c>
      <c r="Q1644" s="17" t="inlineStr">
        <is>
          <t>Không</t>
        </is>
      </c>
      <c r="R1644" s="20" t="n"/>
      <c r="S1644" s="20" t="n"/>
      <c r="T1644" s="21" t="n"/>
      <c r="U1644" s="21" t="n"/>
      <c r="V1644" s="22">
        <f>IF(U1644="A",K1644,IF(U1644="B",L1644,IF(U1644="C",M1644,IF(N1644="A",K1644,IF(N1644="B",L1644,M1644)))))</f>
        <v/>
      </c>
      <c r="W1644" s="22">
        <f>IF(R1644="",O1644,MAX(V1644-R1644-N(S1644),0))</f>
        <v/>
      </c>
      <c r="X1644" s="20" t="n"/>
      <c r="Y1644" s="23">
        <f>IF(OR(X1644="",W1644=0),"",X1644/W1644-1)</f>
        <v/>
      </c>
      <c r="Z1644" s="24" t="n"/>
      <c r="AA1644" s="21" t="n"/>
      <c r="AB1644" s="25" t="n"/>
      <c r="AC1644" s="26">
        <f>IF(T1644="","Chưa quyết định",IF(OR(Z1644="",AA1644=""),"⚠ Thiếu lý do/người duyệt",IF(AND(X1644&lt;&gt;"",N(X1644)+N(R1644)+N(S1644)&gt;M1644*1.001,R1644&lt;&gt;""),"⚠ Vượt mục tiêu P90",IF(AND(Y1644&lt;&gt;"",ABS(N(Y1644))&gt;0.3),"⚠ Lệch &gt; 30% so với nhu cầu",IF(Q1644="Có","ℹ Kiểm tra ngoại suy KM","✓ Hợp lệ")))))</f>
        <v/>
      </c>
    </row>
    <row r="1645">
      <c r="A1645" s="16" t="n">
        <v>1641</v>
      </c>
      <c r="B1645" s="17" t="inlineStr">
        <is>
          <t>DEC-S22-DELI</t>
        </is>
      </c>
      <c r="C1645" s="16" t="n">
        <v>22</v>
      </c>
      <c r="D1645" s="17" t="inlineStr">
        <is>
          <t>DELI</t>
        </is>
      </c>
      <c r="E1645" s="17" t="inlineStr">
        <is>
          <t>MEDIUM</t>
        </is>
      </c>
      <c r="F1645" s="17" t="inlineStr">
        <is>
          <t>CAO</t>
        </is>
      </c>
      <c r="G1645" s="18" t="inlineStr">
        <is>
          <t>RISK_MEDIUM</t>
        </is>
      </c>
      <c r="H1645" s="19" t="n">
        <v>2166.766664978027</v>
      </c>
      <c r="I1645" s="19" t="n">
        <v>2819.371367919922</v>
      </c>
      <c r="J1645" s="19" t="n">
        <v>3602.283804504395</v>
      </c>
      <c r="K1645" s="19" t="n">
        <v>2819.371367919922</v>
      </c>
      <c r="L1645" s="19" t="n">
        <v>3308.691640785217</v>
      </c>
      <c r="M1645" s="19" t="n">
        <v>3602.283804504395</v>
      </c>
      <c r="N1645" s="17" t="inlineStr">
        <is>
          <t>C</t>
        </is>
      </c>
      <c r="O1645" s="19" t="n">
        <v>1346.786710168457</v>
      </c>
      <c r="P1645" s="18" t="inlineStr">
        <is>
          <t>KHÔNG ĐỀ XUẤT TĂNG</t>
        </is>
      </c>
      <c r="Q1645" s="17" t="inlineStr">
        <is>
          <t>Không</t>
        </is>
      </c>
      <c r="R1645" s="20" t="n"/>
      <c r="S1645" s="20" t="n"/>
      <c r="T1645" s="21" t="n"/>
      <c r="U1645" s="21" t="n"/>
      <c r="V1645" s="22">
        <f>IF(U1645="A",K1645,IF(U1645="B",L1645,IF(U1645="C",M1645,IF(N1645="A",K1645,IF(N1645="B",L1645,M1645)))))</f>
        <v/>
      </c>
      <c r="W1645" s="22">
        <f>IF(R1645="",O1645,MAX(V1645-R1645-N(S1645),0))</f>
        <v/>
      </c>
      <c r="X1645" s="20" t="n"/>
      <c r="Y1645" s="23">
        <f>IF(OR(X1645="",W1645=0),"",X1645/W1645-1)</f>
        <v/>
      </c>
      <c r="Z1645" s="24" t="n"/>
      <c r="AA1645" s="21" t="n"/>
      <c r="AB1645" s="25" t="n"/>
      <c r="AC1645" s="26">
        <f>IF(T1645="","Chưa quyết định",IF(OR(Z1645="",AA1645=""),"⚠ Thiếu lý do/người duyệt",IF(AND(X1645&lt;&gt;"",N(X1645)+N(R1645)+N(S1645)&gt;M1645*1.001,R1645&lt;&gt;""),"⚠ Vượt mục tiêu P90",IF(AND(Y1645&lt;&gt;"",ABS(N(Y1645))&gt;0.3),"⚠ Lệch &gt; 30% so với nhu cầu",IF(Q1645="Có","ℹ Kiểm tra ngoại suy KM","✓ Hợp lệ")))))</f>
        <v/>
      </c>
    </row>
    <row r="1646">
      <c r="A1646" s="16" t="n">
        <v>1642</v>
      </c>
      <c r="B1646" s="17" t="inlineStr">
        <is>
          <t>DEC-S24-FROZEN_FOODS</t>
        </is>
      </c>
      <c r="C1646" s="16" t="n">
        <v>24</v>
      </c>
      <c r="D1646" s="17" t="inlineStr">
        <is>
          <t>FROZEN FOODS</t>
        </is>
      </c>
      <c r="E1646" s="17" t="inlineStr">
        <is>
          <t>MEDIUM</t>
        </is>
      </c>
      <c r="F1646" s="17" t="inlineStr">
        <is>
          <t>CAO</t>
        </is>
      </c>
      <c r="G1646" s="18" t="inlineStr">
        <is>
          <t>RISK_MEDIUM</t>
        </is>
      </c>
      <c r="H1646" s="19" t="n">
        <v>2080.34204498291</v>
      </c>
      <c r="I1646" s="19" t="n">
        <v>2770.467152099609</v>
      </c>
      <c r="J1646" s="19" t="n">
        <v>3609.897429870605</v>
      </c>
      <c r="K1646" s="19" t="n">
        <v>2770.467152099609</v>
      </c>
      <c r="L1646" s="19" t="n">
        <v>3295.111075706482</v>
      </c>
      <c r="M1646" s="19" t="n">
        <v>3609.897429870605</v>
      </c>
      <c r="N1646" s="17" t="inlineStr">
        <is>
          <t>C</t>
        </is>
      </c>
      <c r="O1646" s="19" t="n">
        <v>1393.523708190917</v>
      </c>
      <c r="P1646" s="18" t="inlineStr">
        <is>
          <t>CÂN NHẮC THỬ NGHIỆM</t>
        </is>
      </c>
      <c r="Q1646" s="17" t="inlineStr">
        <is>
          <t>Không</t>
        </is>
      </c>
      <c r="R1646" s="20" t="n"/>
      <c r="S1646" s="20" t="n"/>
      <c r="T1646" s="21" t="n"/>
      <c r="U1646" s="21" t="n"/>
      <c r="V1646" s="22">
        <f>IF(U1646="A",K1646,IF(U1646="B",L1646,IF(U1646="C",M1646,IF(N1646="A",K1646,IF(N1646="B",L1646,M1646)))))</f>
        <v/>
      </c>
      <c r="W1646" s="22">
        <f>IF(R1646="",O1646,MAX(V1646-R1646-N(S1646),0))</f>
        <v/>
      </c>
      <c r="X1646" s="20" t="n"/>
      <c r="Y1646" s="23">
        <f>IF(OR(X1646="",W1646=0),"",X1646/W1646-1)</f>
        <v/>
      </c>
      <c r="Z1646" s="24" t="n"/>
      <c r="AA1646" s="21" t="n"/>
      <c r="AB1646" s="25" t="n"/>
      <c r="AC1646" s="26">
        <f>IF(T1646="","Chưa quyết định",IF(OR(Z1646="",AA1646=""),"⚠ Thiếu lý do/người duyệt",IF(AND(X1646&lt;&gt;"",N(X1646)+N(R1646)+N(S1646)&gt;M1646*1.001,R1646&lt;&gt;""),"⚠ Vượt mục tiêu P90",IF(AND(Y1646&lt;&gt;"",ABS(N(Y1646))&gt;0.3),"⚠ Lệch &gt; 30% so với nhu cầu",IF(Q1646="Có","ℹ Kiểm tra ngoại suy KM","✓ Hợp lệ")))))</f>
        <v/>
      </c>
    </row>
    <row r="1647">
      <c r="A1647" s="16" t="n">
        <v>1643</v>
      </c>
      <c r="B1647" s="17" t="inlineStr">
        <is>
          <t>DEC-S13-DELI</t>
        </is>
      </c>
      <c r="C1647" s="16" t="n">
        <v>13</v>
      </c>
      <c r="D1647" s="17" t="inlineStr">
        <is>
          <t>DELI</t>
        </is>
      </c>
      <c r="E1647" s="17" t="inlineStr">
        <is>
          <t>MEDIUM</t>
        </is>
      </c>
      <c r="F1647" s="17" t="inlineStr">
        <is>
          <t>CAO</t>
        </is>
      </c>
      <c r="G1647" s="18" t="inlineStr">
        <is>
          <t>RISK_MEDIUM</t>
        </is>
      </c>
      <c r="H1647" s="19" t="n">
        <v>2114.740328308105</v>
      </c>
      <c r="I1647" s="19" t="n">
        <v>2767.34503125</v>
      </c>
      <c r="J1647" s="19" t="n">
        <v>3550.257467834473</v>
      </c>
      <c r="K1647" s="19" t="n">
        <v>2767.34503125</v>
      </c>
      <c r="L1647" s="19" t="n">
        <v>3256.665304115295</v>
      </c>
      <c r="M1647" s="19" t="n">
        <v>3550.257467834473</v>
      </c>
      <c r="N1647" s="17" t="inlineStr">
        <is>
          <t>C</t>
        </is>
      </c>
      <c r="O1647" s="19" t="n">
        <v>1336.381442834473</v>
      </c>
      <c r="P1647" s="18" t="inlineStr">
        <is>
          <t>CÂN NHẮC THỬ NGHIỆM</t>
        </is>
      </c>
      <c r="Q1647" s="17" t="inlineStr">
        <is>
          <t>Không</t>
        </is>
      </c>
      <c r="R1647" s="20" t="n"/>
      <c r="S1647" s="20" t="n"/>
      <c r="T1647" s="21" t="n"/>
      <c r="U1647" s="21" t="n"/>
      <c r="V1647" s="22">
        <f>IF(U1647="A",K1647,IF(U1647="B",L1647,IF(U1647="C",M1647,IF(N1647="A",K1647,IF(N1647="B",L1647,M1647)))))</f>
        <v/>
      </c>
      <c r="W1647" s="22">
        <f>IF(R1647="",O1647,MAX(V1647-R1647-N(S1647),0))</f>
        <v/>
      </c>
      <c r="X1647" s="20" t="n"/>
      <c r="Y1647" s="23">
        <f>IF(OR(X1647="",W1647=0),"",X1647/W1647-1)</f>
        <v/>
      </c>
      <c r="Z1647" s="24" t="n"/>
      <c r="AA1647" s="21" t="n"/>
      <c r="AB1647" s="25" t="n"/>
      <c r="AC1647" s="26">
        <f>IF(T1647="","Chưa quyết định",IF(OR(Z1647="",AA1647=""),"⚠ Thiếu lý do/người duyệt",IF(AND(X1647&lt;&gt;"",N(X1647)+N(R1647)+N(S1647)&gt;M1647*1.001,R1647&lt;&gt;""),"⚠ Vượt mục tiêu P90",IF(AND(Y1647&lt;&gt;"",ABS(N(Y1647))&gt;0.3),"⚠ Lệch &gt; 30% so với nhu cầu",IF(Q1647="Có","ℹ Kiểm tra ngoại suy KM","✓ Hợp lệ")))))</f>
        <v/>
      </c>
    </row>
    <row r="1648">
      <c r="A1648" s="16" t="n">
        <v>1644</v>
      </c>
      <c r="B1648" s="17" t="inlineStr">
        <is>
          <t>DEC-S14-BREAD_BAKERY</t>
        </is>
      </c>
      <c r="C1648" s="16" t="n">
        <v>14</v>
      </c>
      <c r="D1648" s="17" t="inlineStr">
        <is>
          <t>BREAD/BAKERY</t>
        </is>
      </c>
      <c r="E1648" s="17" t="inlineStr">
        <is>
          <t>MEDIUM</t>
        </is>
      </c>
      <c r="F1648" s="17" t="inlineStr">
        <is>
          <t>CAO</t>
        </is>
      </c>
      <c r="G1648" s="18" t="inlineStr">
        <is>
          <t>RISK_MEDIUM</t>
        </is>
      </c>
      <c r="H1648" s="19" t="n">
        <v>2144.852433044433</v>
      </c>
      <c r="I1648" s="19" t="n">
        <v>2759.936731811524</v>
      </c>
      <c r="J1648" s="19" t="n">
        <v>3486.331327209472</v>
      </c>
      <c r="K1648" s="19" t="n">
        <v>2759.936731811524</v>
      </c>
      <c r="L1648" s="19" t="n">
        <v>3213.933353935241</v>
      </c>
      <c r="M1648" s="19" t="n">
        <v>3486.331327209472</v>
      </c>
      <c r="N1648" s="17" t="inlineStr">
        <is>
          <t>C</t>
        </is>
      </c>
      <c r="O1648" s="19" t="n">
        <v>1278.381941760254</v>
      </c>
      <c r="P1648" s="18" t="inlineStr">
        <is>
          <t>KHÔNG ĐỀ XUẤT TĂNG</t>
        </is>
      </c>
      <c r="Q1648" s="17" t="inlineStr">
        <is>
          <t>Không</t>
        </is>
      </c>
      <c r="R1648" s="20" t="n"/>
      <c r="S1648" s="20" t="n"/>
      <c r="T1648" s="21" t="n"/>
      <c r="U1648" s="21" t="n"/>
      <c r="V1648" s="22">
        <f>IF(U1648="A",K1648,IF(U1648="B",L1648,IF(U1648="C",M1648,IF(N1648="A",K1648,IF(N1648="B",L1648,M1648)))))</f>
        <v/>
      </c>
      <c r="W1648" s="22">
        <f>IF(R1648="",O1648,MAX(V1648-R1648-N(S1648),0))</f>
        <v/>
      </c>
      <c r="X1648" s="20" t="n"/>
      <c r="Y1648" s="23">
        <f>IF(OR(X1648="",W1648=0),"",X1648/W1648-1)</f>
        <v/>
      </c>
      <c r="Z1648" s="24" t="n"/>
      <c r="AA1648" s="21" t="n"/>
      <c r="AB1648" s="25" t="n"/>
      <c r="AC1648" s="26">
        <f>IF(T1648="","Chưa quyết định",IF(OR(Z1648="",AA1648=""),"⚠ Thiếu lý do/người duyệt",IF(AND(X1648&lt;&gt;"",N(X1648)+N(R1648)+N(S1648)&gt;M1648*1.001,R1648&lt;&gt;""),"⚠ Vượt mục tiêu P90",IF(AND(Y1648&lt;&gt;"",ABS(N(Y1648))&gt;0.3),"⚠ Lệch &gt; 30% so với nhu cầu",IF(Q1648="Có","ℹ Kiểm tra ngoại suy KM","✓ Hợp lệ")))))</f>
        <v/>
      </c>
    </row>
    <row r="1649">
      <c r="A1649" s="16" t="n">
        <v>1645</v>
      </c>
      <c r="B1649" s="17" t="inlineStr">
        <is>
          <t>DEC-S30-BREAD_BAKERY</t>
        </is>
      </c>
      <c r="C1649" s="16" t="n">
        <v>30</v>
      </c>
      <c r="D1649" s="17" t="inlineStr">
        <is>
          <t>BREAD/BAKERY</t>
        </is>
      </c>
      <c r="E1649" s="17" t="inlineStr">
        <is>
          <t>MEDIUM</t>
        </is>
      </c>
      <c r="F1649" s="17" t="inlineStr">
        <is>
          <t>CAO</t>
        </is>
      </c>
      <c r="G1649" s="18" t="inlineStr">
        <is>
          <t>RISK_MEDIUM</t>
        </is>
      </c>
      <c r="H1649" s="19" t="n">
        <v>2104.414614196777</v>
      </c>
      <c r="I1649" s="19" t="n">
        <v>2757.019317138672</v>
      </c>
      <c r="J1649" s="19" t="n">
        <v>3539.931753723145</v>
      </c>
      <c r="K1649" s="19" t="n">
        <v>2757.019317138672</v>
      </c>
      <c r="L1649" s="19" t="n">
        <v>3246.339590003967</v>
      </c>
      <c r="M1649" s="19" t="n">
        <v>3539.931753723145</v>
      </c>
      <c r="N1649" s="17" t="inlineStr">
        <is>
          <t>C</t>
        </is>
      </c>
      <c r="O1649" s="19" t="n">
        <v>1334.316300012207</v>
      </c>
      <c r="P1649" s="18" t="inlineStr">
        <is>
          <t>KHÔNG ĐỀ XUẤT TĂNG</t>
        </is>
      </c>
      <c r="Q1649" s="17" t="inlineStr">
        <is>
          <t>Không</t>
        </is>
      </c>
      <c r="R1649" s="20" t="n"/>
      <c r="S1649" s="20" t="n"/>
      <c r="T1649" s="21" t="n"/>
      <c r="U1649" s="21" t="n"/>
      <c r="V1649" s="22">
        <f>IF(U1649="A",K1649,IF(U1649="B",L1649,IF(U1649="C",M1649,IF(N1649="A",K1649,IF(N1649="B",L1649,M1649)))))</f>
        <v/>
      </c>
      <c r="W1649" s="22">
        <f>IF(R1649="",O1649,MAX(V1649-R1649-N(S1649),0))</f>
        <v/>
      </c>
      <c r="X1649" s="20" t="n"/>
      <c r="Y1649" s="23">
        <f>IF(OR(X1649="",W1649=0),"",X1649/W1649-1)</f>
        <v/>
      </c>
      <c r="Z1649" s="24" t="n"/>
      <c r="AA1649" s="21" t="n"/>
      <c r="AB1649" s="25" t="n"/>
      <c r="AC1649" s="26">
        <f>IF(T1649="","Chưa quyết định",IF(OR(Z1649="",AA1649=""),"⚠ Thiếu lý do/người duyệt",IF(AND(X1649&lt;&gt;"",N(X1649)+N(R1649)+N(S1649)&gt;M1649*1.001,R1649&lt;&gt;""),"⚠ Vượt mục tiêu P90",IF(AND(Y1649&lt;&gt;"",ABS(N(Y1649))&gt;0.3),"⚠ Lệch &gt; 30% so với nhu cầu",IF(Q1649="Có","ℹ Kiểm tra ngoại suy KM","✓ Hợp lệ")))))</f>
        <v/>
      </c>
    </row>
    <row r="1650">
      <c r="A1650" s="16" t="n">
        <v>1646</v>
      </c>
      <c r="B1650" s="17" t="inlineStr">
        <is>
          <t>DEC-S15-BREAD_BAKERY</t>
        </is>
      </c>
      <c r="C1650" s="16" t="n">
        <v>15</v>
      </c>
      <c r="D1650" s="17" t="inlineStr">
        <is>
          <t>BREAD/BAKERY</t>
        </is>
      </c>
      <c r="E1650" s="17" t="inlineStr">
        <is>
          <t>MEDIUM</t>
        </is>
      </c>
      <c r="F1650" s="17" t="inlineStr">
        <is>
          <t>CAO</t>
        </is>
      </c>
      <c r="G1650" s="18" t="inlineStr">
        <is>
          <t>RISK_MEDIUM</t>
        </is>
      </c>
      <c r="H1650" s="19" t="n">
        <v>2094.119615234375</v>
      </c>
      <c r="I1650" s="19" t="n">
        <v>2727.964116088868</v>
      </c>
      <c r="J1650" s="19" t="n">
        <v>3482.617632080078</v>
      </c>
      <c r="K1650" s="19" t="n">
        <v>2727.964116088868</v>
      </c>
      <c r="L1650" s="19" t="n">
        <v>3199.622563583374</v>
      </c>
      <c r="M1650" s="19" t="n">
        <v>3482.617632080078</v>
      </c>
      <c r="N1650" s="17" t="inlineStr">
        <is>
          <t>C</t>
        </is>
      </c>
      <c r="O1650" s="19" t="n">
        <v>1300.246339208984</v>
      </c>
      <c r="P1650" s="18" t="inlineStr">
        <is>
          <t>KHÔNG ĐỀ XUẤT TĂNG</t>
        </is>
      </c>
      <c r="Q1650" s="17" t="inlineStr">
        <is>
          <t>Không</t>
        </is>
      </c>
      <c r="R1650" s="20" t="n"/>
      <c r="S1650" s="20" t="n"/>
      <c r="T1650" s="21" t="n"/>
      <c r="U1650" s="21" t="n"/>
      <c r="V1650" s="22">
        <f>IF(U1650="A",K1650,IF(U1650="B",L1650,IF(U1650="C",M1650,IF(N1650="A",K1650,IF(N1650="B",L1650,M1650)))))</f>
        <v/>
      </c>
      <c r="W1650" s="22">
        <f>IF(R1650="",O1650,MAX(V1650-R1650-N(S1650),0))</f>
        <v/>
      </c>
      <c r="X1650" s="20" t="n"/>
      <c r="Y1650" s="23">
        <f>IF(OR(X1650="",W1650=0),"",X1650/W1650-1)</f>
        <v/>
      </c>
      <c r="Z1650" s="24" t="n"/>
      <c r="AA1650" s="21" t="n"/>
      <c r="AB1650" s="25" t="n"/>
      <c r="AC1650" s="26">
        <f>IF(T1650="","Chưa quyết định",IF(OR(Z1650="",AA1650=""),"⚠ Thiếu lý do/người duyệt",IF(AND(X1650&lt;&gt;"",N(X1650)+N(R1650)+N(S1650)&gt;M1650*1.001,R1650&lt;&gt;""),"⚠ Vượt mục tiêu P90",IF(AND(Y1650&lt;&gt;"",ABS(N(Y1650))&gt;0.3),"⚠ Lệch &gt; 30% so với nhu cầu",IF(Q1650="Có","ℹ Kiểm tra ngoại suy KM","✓ Hợp lệ")))))</f>
        <v/>
      </c>
    </row>
    <row r="1651">
      <c r="A1651" s="16" t="n">
        <v>1647</v>
      </c>
      <c r="B1651" s="17" t="inlineStr">
        <is>
          <t>DEC-S37-DELI</t>
        </is>
      </c>
      <c r="C1651" s="16" t="n">
        <v>37</v>
      </c>
      <c r="D1651" s="17" t="inlineStr">
        <is>
          <t>DELI</t>
        </is>
      </c>
      <c r="E1651" s="17" t="inlineStr">
        <is>
          <t>MEDIUM</t>
        </is>
      </c>
      <c r="F1651" s="17" t="inlineStr">
        <is>
          <t>CAO</t>
        </is>
      </c>
      <c r="G1651" s="18" t="inlineStr">
        <is>
          <t>RISK_MEDIUM</t>
        </is>
      </c>
      <c r="H1651" s="19" t="n">
        <v>2111.737564880371</v>
      </c>
      <c r="I1651" s="19" t="n">
        <v>2726.821863647461</v>
      </c>
      <c r="J1651" s="19" t="n">
        <v>3453.21645904541</v>
      </c>
      <c r="K1651" s="19" t="n">
        <v>2726.821863647461</v>
      </c>
      <c r="L1651" s="19" t="n">
        <v>3180.818485771179</v>
      </c>
      <c r="M1651" s="19" t="n">
        <v>3453.21645904541</v>
      </c>
      <c r="N1651" s="17" t="inlineStr">
        <is>
          <t>C</t>
        </is>
      </c>
      <c r="O1651" s="19" t="n">
        <v>1271.758968127441</v>
      </c>
      <c r="P1651" s="18" t="inlineStr">
        <is>
          <t>KHÔNG ĐỀ XUẤT TĂNG</t>
        </is>
      </c>
      <c r="Q1651" s="17" t="inlineStr">
        <is>
          <t>Không</t>
        </is>
      </c>
      <c r="R1651" s="20" t="n"/>
      <c r="S1651" s="20" t="n"/>
      <c r="T1651" s="21" t="n"/>
      <c r="U1651" s="21" t="n"/>
      <c r="V1651" s="22">
        <f>IF(U1651="A",K1651,IF(U1651="B",L1651,IF(U1651="C",M1651,IF(N1651="A",K1651,IF(N1651="B",L1651,M1651)))))</f>
        <v/>
      </c>
      <c r="W1651" s="22">
        <f>IF(R1651="",O1651,MAX(V1651-R1651-N(S1651),0))</f>
        <v/>
      </c>
      <c r="X1651" s="20" t="n"/>
      <c r="Y1651" s="23">
        <f>IF(OR(X1651="",W1651=0),"",X1651/W1651-1)</f>
        <v/>
      </c>
      <c r="Z1651" s="24" t="n"/>
      <c r="AA1651" s="21" t="n"/>
      <c r="AB1651" s="25" t="n"/>
      <c r="AC1651" s="26">
        <f>IF(T1651="","Chưa quyết định",IF(OR(Z1651="",AA1651=""),"⚠ Thiếu lý do/người duyệt",IF(AND(X1651&lt;&gt;"",N(X1651)+N(R1651)+N(S1651)&gt;M1651*1.001,R1651&lt;&gt;""),"⚠ Vượt mục tiêu P90",IF(AND(Y1651&lt;&gt;"",ABS(N(Y1651))&gt;0.3),"⚠ Lệch &gt; 30% so với nhu cầu",IF(Q1651="Có","ℹ Kiểm tra ngoại suy KM","✓ Hợp lệ")))))</f>
        <v/>
      </c>
    </row>
    <row r="1652">
      <c r="A1652" s="16" t="n">
        <v>1648</v>
      </c>
      <c r="B1652" s="17" t="inlineStr">
        <is>
          <t>DEC-S50-FROZEN_FOODS</t>
        </is>
      </c>
      <c r="C1652" s="16" t="n">
        <v>50</v>
      </c>
      <c r="D1652" s="17" t="inlineStr">
        <is>
          <t>FROZEN FOODS</t>
        </is>
      </c>
      <c r="E1652" s="17" t="inlineStr">
        <is>
          <t>MEDIUM</t>
        </is>
      </c>
      <c r="F1652" s="17" t="inlineStr">
        <is>
          <t>CAO</t>
        </is>
      </c>
      <c r="G1652" s="18" t="inlineStr">
        <is>
          <t>RISK_MEDIUM</t>
        </is>
      </c>
      <c r="H1652" s="19" t="n">
        <v>2002.666042480469</v>
      </c>
      <c r="I1652" s="19" t="n">
        <v>2692.791149597168</v>
      </c>
      <c r="J1652" s="19" t="n">
        <v>3532.221427368164</v>
      </c>
      <c r="K1652" s="19" t="n">
        <v>2692.791149597168</v>
      </c>
      <c r="L1652" s="19" t="n">
        <v>3217.43507320404</v>
      </c>
      <c r="M1652" s="19" t="n">
        <v>3532.221427368164</v>
      </c>
      <c r="N1652" s="17" t="inlineStr">
        <is>
          <t>C</t>
        </is>
      </c>
      <c r="O1652" s="19" t="n">
        <v>1377.988507690429</v>
      </c>
      <c r="P1652" s="18" t="inlineStr">
        <is>
          <t>CÂN NHẮC THỬ NGHIỆM</t>
        </is>
      </c>
      <c r="Q1652" s="17" t="inlineStr">
        <is>
          <t>Không</t>
        </is>
      </c>
      <c r="R1652" s="20" t="n"/>
      <c r="S1652" s="20" t="n"/>
      <c r="T1652" s="21" t="n"/>
      <c r="U1652" s="21" t="n"/>
      <c r="V1652" s="22">
        <f>IF(U1652="A",K1652,IF(U1652="B",L1652,IF(U1652="C",M1652,IF(N1652="A",K1652,IF(N1652="B",L1652,M1652)))))</f>
        <v/>
      </c>
      <c r="W1652" s="22">
        <f>IF(R1652="",O1652,MAX(V1652-R1652-N(S1652),0))</f>
        <v/>
      </c>
      <c r="X1652" s="20" t="n"/>
      <c r="Y1652" s="23">
        <f>IF(OR(X1652="",W1652=0),"",X1652/W1652-1)</f>
        <v/>
      </c>
      <c r="Z1652" s="24" t="n"/>
      <c r="AA1652" s="21" t="n"/>
      <c r="AB1652" s="25" t="n"/>
      <c r="AC1652" s="26">
        <f>IF(T1652="","Chưa quyết định",IF(OR(Z1652="",AA1652=""),"⚠ Thiếu lý do/người duyệt",IF(AND(X1652&lt;&gt;"",N(X1652)+N(R1652)+N(S1652)&gt;M1652*1.001,R1652&lt;&gt;""),"⚠ Vượt mục tiêu P90",IF(AND(Y1652&lt;&gt;"",ABS(N(Y1652))&gt;0.3),"⚠ Lệch &gt; 30% so với nhu cầu",IF(Q1652="Có","ℹ Kiểm tra ngoại suy KM","✓ Hợp lệ")))))</f>
        <v/>
      </c>
    </row>
    <row r="1653">
      <c r="A1653" s="16" t="n">
        <v>1649</v>
      </c>
      <c r="B1653" s="17" t="inlineStr">
        <is>
          <t>DEC-S22-PERSONAL_CARE</t>
        </is>
      </c>
      <c r="C1653" s="16" t="n">
        <v>22</v>
      </c>
      <c r="D1653" s="17" t="inlineStr">
        <is>
          <t>PERSONAL CARE</t>
        </is>
      </c>
      <c r="E1653" s="17" t="inlineStr">
        <is>
          <t>MEDIUM</t>
        </is>
      </c>
      <c r="F1653" s="17" t="inlineStr">
        <is>
          <t>CAO</t>
        </is>
      </c>
      <c r="G1653" s="18" t="inlineStr">
        <is>
          <t>RISK_MEDIUM</t>
        </is>
      </c>
      <c r="H1653" s="19" t="n">
        <v>2029.496523376465</v>
      </c>
      <c r="I1653" s="19" t="n">
        <v>2682.10122631836</v>
      </c>
      <c r="J1653" s="19" t="n">
        <v>3465.013662902832</v>
      </c>
      <c r="K1653" s="19" t="n">
        <v>2682.10122631836</v>
      </c>
      <c r="L1653" s="19" t="n">
        <v>3171.421499183655</v>
      </c>
      <c r="M1653" s="19" t="n">
        <v>3465.013662902832</v>
      </c>
      <c r="N1653" s="17" t="inlineStr">
        <is>
          <t>C</t>
        </is>
      </c>
      <c r="O1653" s="19" t="n">
        <v>1319.332681848145</v>
      </c>
      <c r="P1653" s="18" t="inlineStr">
        <is>
          <t>KHÔNG ĐỀ XUẤT TĂNG</t>
        </is>
      </c>
      <c r="Q1653" s="17" t="inlineStr">
        <is>
          <t>Không</t>
        </is>
      </c>
      <c r="R1653" s="20" t="n"/>
      <c r="S1653" s="20" t="n"/>
      <c r="T1653" s="21" t="n"/>
      <c r="U1653" s="21" t="n"/>
      <c r="V1653" s="22">
        <f>IF(U1653="A",K1653,IF(U1653="B",L1653,IF(U1653="C",M1653,IF(N1653="A",K1653,IF(N1653="B",L1653,M1653)))))</f>
        <v/>
      </c>
      <c r="W1653" s="22">
        <f>IF(R1653="",O1653,MAX(V1653-R1653-N(S1653),0))</f>
        <v/>
      </c>
      <c r="X1653" s="20" t="n"/>
      <c r="Y1653" s="23">
        <f>IF(OR(X1653="",W1653=0),"",X1653/W1653-1)</f>
        <v/>
      </c>
      <c r="Z1653" s="24" t="n"/>
      <c r="AA1653" s="21" t="n"/>
      <c r="AB1653" s="25" t="n"/>
      <c r="AC1653" s="26">
        <f>IF(T1653="","Chưa quyết định",IF(OR(Z1653="",AA1653=""),"⚠ Thiếu lý do/người duyệt",IF(AND(X1653&lt;&gt;"",N(X1653)+N(R1653)+N(S1653)&gt;M1653*1.001,R1653&lt;&gt;""),"⚠ Vượt mục tiêu P90",IF(AND(Y1653&lt;&gt;"",ABS(N(Y1653))&gt;0.3),"⚠ Lệch &gt; 30% so với nhu cầu",IF(Q1653="Có","ℹ Kiểm tra ngoại suy KM","✓ Hợp lệ")))))</f>
        <v/>
      </c>
    </row>
    <row r="1654">
      <c r="A1654" s="16" t="n">
        <v>1650</v>
      </c>
      <c r="B1654" s="17" t="inlineStr">
        <is>
          <t>DEC-S30-HOME_CARE</t>
        </is>
      </c>
      <c r="C1654" s="16" t="n">
        <v>30</v>
      </c>
      <c r="D1654" s="17" t="inlineStr">
        <is>
          <t>HOME CARE</t>
        </is>
      </c>
      <c r="E1654" s="17" t="inlineStr">
        <is>
          <t>MEDIUM</t>
        </is>
      </c>
      <c r="F1654" s="17" t="inlineStr">
        <is>
          <t>CAO</t>
        </is>
      </c>
      <c r="G1654" s="18" t="inlineStr">
        <is>
          <t>RISK_MEDIUM</t>
        </is>
      </c>
      <c r="H1654" s="19" t="n">
        <v>2056.033783752441</v>
      </c>
      <c r="I1654" s="19" t="n">
        <v>2671.118082519531</v>
      </c>
      <c r="J1654" s="19" t="n">
        <v>3397.51267791748</v>
      </c>
      <c r="K1654" s="19" t="n">
        <v>2671.118082519531</v>
      </c>
      <c r="L1654" s="19" t="n">
        <v>3125.114704643249</v>
      </c>
      <c r="M1654" s="19" t="n">
        <v>3397.51267791748</v>
      </c>
      <c r="N1654" s="17" t="inlineStr">
        <is>
          <t>C</t>
        </is>
      </c>
      <c r="O1654" s="19" t="n">
        <v>1260.618211901855</v>
      </c>
      <c r="P1654" s="18" t="inlineStr">
        <is>
          <t>CÂN NHẮC THỬ NGHIỆM</t>
        </is>
      </c>
      <c r="Q1654" s="17" t="inlineStr">
        <is>
          <t>Không</t>
        </is>
      </c>
      <c r="R1654" s="20" t="n"/>
      <c r="S1654" s="20" t="n"/>
      <c r="T1654" s="21" t="n"/>
      <c r="U1654" s="21" t="n"/>
      <c r="V1654" s="22">
        <f>IF(U1654="A",K1654,IF(U1654="B",L1654,IF(U1654="C",M1654,IF(N1654="A",K1654,IF(N1654="B",L1654,M1654)))))</f>
        <v/>
      </c>
      <c r="W1654" s="22">
        <f>IF(R1654="",O1654,MAX(V1654-R1654-N(S1654),0))</f>
        <v/>
      </c>
      <c r="X1654" s="20" t="n"/>
      <c r="Y1654" s="23">
        <f>IF(OR(X1654="",W1654=0),"",X1654/W1654-1)</f>
        <v/>
      </c>
      <c r="Z1654" s="24" t="n"/>
      <c r="AA1654" s="21" t="n"/>
      <c r="AB1654" s="25" t="n"/>
      <c r="AC1654" s="26">
        <f>IF(T1654="","Chưa quyết định",IF(OR(Z1654="",AA1654=""),"⚠ Thiếu lý do/người duyệt",IF(AND(X1654&lt;&gt;"",N(X1654)+N(R1654)+N(S1654)&gt;M1654*1.001,R1654&lt;&gt;""),"⚠ Vượt mục tiêu P90",IF(AND(Y1654&lt;&gt;"",ABS(N(Y1654))&gt;0.3),"⚠ Lệch &gt; 30% so với nhu cầu",IF(Q1654="Có","ℹ Kiểm tra ngoại suy KM","✓ Hợp lệ")))))</f>
        <v/>
      </c>
    </row>
    <row r="1655">
      <c r="A1655" s="16" t="n">
        <v>1651</v>
      </c>
      <c r="B1655" s="17" t="inlineStr">
        <is>
          <t>DEC-S13-MEATS</t>
        </is>
      </c>
      <c r="C1655" s="16" t="n">
        <v>13</v>
      </c>
      <c r="D1655" s="17" t="inlineStr">
        <is>
          <t>MEATS</t>
        </is>
      </c>
      <c r="E1655" s="17" t="inlineStr">
        <is>
          <t>MEDIUM</t>
        </is>
      </c>
      <c r="F1655" s="17" t="inlineStr">
        <is>
          <t>CAO</t>
        </is>
      </c>
      <c r="G1655" s="18" t="inlineStr">
        <is>
          <t>RISK_MEDIUM</t>
        </is>
      </c>
      <c r="H1655" s="19" t="n">
        <v>2051.985695678711</v>
      </c>
      <c r="I1655" s="19" t="n">
        <v>2667.069994445801</v>
      </c>
      <c r="J1655" s="19" t="n">
        <v>3393.46458984375</v>
      </c>
      <c r="K1655" s="19" t="n">
        <v>2667.069994445801</v>
      </c>
      <c r="L1655" s="19" t="n">
        <v>3121.066616569519</v>
      </c>
      <c r="M1655" s="19" t="n">
        <v>3393.46458984375</v>
      </c>
      <c r="N1655" s="17" t="inlineStr">
        <is>
          <t>C</t>
        </is>
      </c>
      <c r="O1655" s="19" t="n">
        <v>1259.808594287109</v>
      </c>
      <c r="P1655" s="18" t="inlineStr">
        <is>
          <t>CÂN NHẮC THỬ NGHIỆM</t>
        </is>
      </c>
      <c r="Q1655" s="17" t="inlineStr">
        <is>
          <t>Không</t>
        </is>
      </c>
      <c r="R1655" s="20" t="n"/>
      <c r="S1655" s="20" t="n"/>
      <c r="T1655" s="21" t="n"/>
      <c r="U1655" s="21" t="n"/>
      <c r="V1655" s="22">
        <f>IF(U1655="A",K1655,IF(U1655="B",L1655,IF(U1655="C",M1655,IF(N1655="A",K1655,IF(N1655="B",L1655,M1655)))))</f>
        <v/>
      </c>
      <c r="W1655" s="22">
        <f>IF(R1655="",O1655,MAX(V1655-R1655-N(S1655),0))</f>
        <v/>
      </c>
      <c r="X1655" s="20" t="n"/>
      <c r="Y1655" s="23">
        <f>IF(OR(X1655="",W1655=0),"",X1655/W1655-1)</f>
        <v/>
      </c>
      <c r="Z1655" s="24" t="n"/>
      <c r="AA1655" s="21" t="n"/>
      <c r="AB1655" s="25" t="n"/>
      <c r="AC1655" s="26">
        <f>IF(T1655="","Chưa quyết định",IF(OR(Z1655="",AA1655=""),"⚠ Thiếu lý do/người duyệt",IF(AND(X1655&lt;&gt;"",N(X1655)+N(R1655)+N(S1655)&gt;M1655*1.001,R1655&lt;&gt;""),"⚠ Vượt mục tiêu P90",IF(AND(Y1655&lt;&gt;"",ABS(N(Y1655))&gt;0.3),"⚠ Lệch &gt; 30% so với nhu cầu",IF(Q1655="Có","ℹ Kiểm tra ngoại suy KM","✓ Hợp lệ")))))</f>
        <v/>
      </c>
    </row>
    <row r="1656">
      <c r="A1656" s="16" t="n">
        <v>1652</v>
      </c>
      <c r="B1656" s="17" t="inlineStr">
        <is>
          <t>DEC-S12-POULTRY</t>
        </is>
      </c>
      <c r="C1656" s="16" t="n">
        <v>12</v>
      </c>
      <c r="D1656" s="17" t="inlineStr">
        <is>
          <t>POULTRY</t>
        </is>
      </c>
      <c r="E1656" s="17" t="inlineStr">
        <is>
          <t>MEDIUM</t>
        </is>
      </c>
      <c r="F1656" s="17" t="inlineStr">
        <is>
          <t>CAO</t>
        </is>
      </c>
      <c r="G1656" s="18" t="inlineStr">
        <is>
          <t>RISK_MEDIUM</t>
        </is>
      </c>
      <c r="H1656" s="19" t="n">
        <v>2049.472596008301</v>
      </c>
      <c r="I1656" s="19" t="n">
        <v>2664.55689477539</v>
      </c>
      <c r="J1656" s="19" t="n">
        <v>3390.95149017334</v>
      </c>
      <c r="K1656" s="19" t="n">
        <v>2664.55689477539</v>
      </c>
      <c r="L1656" s="19" t="n">
        <v>3118.553516899109</v>
      </c>
      <c r="M1656" s="19" t="n">
        <v>3390.95149017334</v>
      </c>
      <c r="N1656" s="17" t="inlineStr">
        <is>
          <t>C</t>
        </is>
      </c>
      <c r="O1656" s="19" t="n">
        <v>1259.305974353028</v>
      </c>
      <c r="P1656" s="18" t="inlineStr">
        <is>
          <t>CÂN NHẮC THỬ NGHIỆM</t>
        </is>
      </c>
      <c r="Q1656" s="17" t="inlineStr">
        <is>
          <t>Không</t>
        </is>
      </c>
      <c r="R1656" s="20" t="n"/>
      <c r="S1656" s="20" t="n"/>
      <c r="T1656" s="21" t="n"/>
      <c r="U1656" s="21" t="n"/>
      <c r="V1656" s="22">
        <f>IF(U1656="A",K1656,IF(U1656="B",L1656,IF(U1656="C",M1656,IF(N1656="A",K1656,IF(N1656="B",L1656,M1656)))))</f>
        <v/>
      </c>
      <c r="W1656" s="22">
        <f>IF(R1656="",O1656,MAX(V1656-R1656-N(S1656),0))</f>
        <v/>
      </c>
      <c r="X1656" s="20" t="n"/>
      <c r="Y1656" s="23">
        <f>IF(OR(X1656="",W1656=0),"",X1656/W1656-1)</f>
        <v/>
      </c>
      <c r="Z1656" s="24" t="n"/>
      <c r="AA1656" s="21" t="n"/>
      <c r="AB1656" s="25" t="n"/>
      <c r="AC1656" s="26">
        <f>IF(T1656="","Chưa quyết định",IF(OR(Z1656="",AA1656=""),"⚠ Thiếu lý do/người duyệt",IF(AND(X1656&lt;&gt;"",N(X1656)+N(R1656)+N(S1656)&gt;M1656*1.001,R1656&lt;&gt;""),"⚠ Vượt mục tiêu P90",IF(AND(Y1656&lt;&gt;"",ABS(N(Y1656))&gt;0.3),"⚠ Lệch &gt; 30% so với nhu cầu",IF(Q1656="Có","ℹ Kiểm tra ngoại suy KM","✓ Hợp lệ")))))</f>
        <v/>
      </c>
    </row>
    <row r="1657">
      <c r="A1657" s="16" t="n">
        <v>1653</v>
      </c>
      <c r="B1657" s="17" t="inlineStr">
        <is>
          <t>DEC-S23-PERSONAL_CARE</t>
        </is>
      </c>
      <c r="C1657" s="16" t="n">
        <v>23</v>
      </c>
      <c r="D1657" s="17" t="inlineStr">
        <is>
          <t>PERSONAL CARE</t>
        </is>
      </c>
      <c r="E1657" s="17" t="inlineStr">
        <is>
          <t>MEDIUM</t>
        </is>
      </c>
      <c r="F1657" s="17" t="inlineStr">
        <is>
          <t>CAO</t>
        </is>
      </c>
      <c r="G1657" s="18" t="inlineStr">
        <is>
          <t>RISK_MEDIUM</t>
        </is>
      </c>
      <c r="H1657" s="19" t="n">
        <v>2029.770814575196</v>
      </c>
      <c r="I1657" s="19" t="n">
        <v>2663.615315429688</v>
      </c>
      <c r="J1657" s="19" t="n">
        <v>3418.268831420898</v>
      </c>
      <c r="K1657" s="19" t="n">
        <v>2663.615315429688</v>
      </c>
      <c r="L1657" s="19" t="n">
        <v>3135.273762924194</v>
      </c>
      <c r="M1657" s="19" t="n">
        <v>3418.268831420898</v>
      </c>
      <c r="N1657" s="17" t="inlineStr">
        <is>
          <t>C</t>
        </is>
      </c>
      <c r="O1657" s="19" t="n">
        <v>1287.376579077148</v>
      </c>
      <c r="P1657" s="18" t="inlineStr">
        <is>
          <t>KHÔNG ĐỀ XUẤT TĂNG</t>
        </is>
      </c>
      <c r="Q1657" s="17" t="inlineStr">
        <is>
          <t>Không</t>
        </is>
      </c>
      <c r="R1657" s="20" t="n"/>
      <c r="S1657" s="20" t="n"/>
      <c r="T1657" s="21" t="n"/>
      <c r="U1657" s="21" t="n"/>
      <c r="V1657" s="22">
        <f>IF(U1657="A",K1657,IF(U1657="B",L1657,IF(U1657="C",M1657,IF(N1657="A",K1657,IF(N1657="B",L1657,M1657)))))</f>
        <v/>
      </c>
      <c r="W1657" s="22">
        <f>IF(R1657="",O1657,MAX(V1657-R1657-N(S1657),0))</f>
        <v/>
      </c>
      <c r="X1657" s="20" t="n"/>
      <c r="Y1657" s="23">
        <f>IF(OR(X1657="",W1657=0),"",X1657/W1657-1)</f>
        <v/>
      </c>
      <c r="Z1657" s="24" t="n"/>
      <c r="AA1657" s="21" t="n"/>
      <c r="AB1657" s="25" t="n"/>
      <c r="AC1657" s="26">
        <f>IF(T1657="","Chưa quyết định",IF(OR(Z1657="",AA1657=""),"⚠ Thiếu lý do/người duyệt",IF(AND(X1657&lt;&gt;"",N(X1657)+N(R1657)+N(S1657)&gt;M1657*1.001,R1657&lt;&gt;""),"⚠ Vượt mục tiêu P90",IF(AND(Y1657&lt;&gt;"",ABS(N(Y1657))&gt;0.3),"⚠ Lệch &gt; 30% so với nhu cầu",IF(Q1657="Có","ℹ Kiểm tra ngoại suy KM","✓ Hợp lệ")))))</f>
        <v/>
      </c>
    </row>
    <row r="1658">
      <c r="A1658" s="16" t="n">
        <v>1654</v>
      </c>
      <c r="B1658" s="17" t="inlineStr">
        <is>
          <t>DEC-S33-EGGS</t>
        </is>
      </c>
      <c r="C1658" s="16" t="n">
        <v>33</v>
      </c>
      <c r="D1658" s="17" t="inlineStr">
        <is>
          <t>EGGS</t>
        </is>
      </c>
      <c r="E1658" s="17" t="inlineStr">
        <is>
          <t>MEDIUM</t>
        </is>
      </c>
      <c r="F1658" s="17" t="inlineStr">
        <is>
          <t>CAO</t>
        </is>
      </c>
      <c r="G1658" s="18" t="inlineStr">
        <is>
          <t>RISK_MEDIUM</t>
        </is>
      </c>
      <c r="H1658" s="19" t="n">
        <v>2022.798742767334</v>
      </c>
      <c r="I1658" s="19" t="n">
        <v>2657.160644042969</v>
      </c>
      <c r="J1658" s="19" t="n">
        <v>3423.130507476807</v>
      </c>
      <c r="K1658" s="19" t="n">
        <v>2657.160644042969</v>
      </c>
      <c r="L1658" s="19" t="n">
        <v>3135.891808689117</v>
      </c>
      <c r="M1658" s="19" t="n">
        <v>3423.130507476807</v>
      </c>
      <c r="N1658" s="17" t="inlineStr">
        <is>
          <t>C</t>
        </is>
      </c>
      <c r="O1658" s="19" t="n">
        <v>1297.401992242431</v>
      </c>
      <c r="P1658" s="18" t="inlineStr">
        <is>
          <t>CÂN NHẮC THỬ NGHIỆM</t>
        </is>
      </c>
      <c r="Q1658" s="17" t="inlineStr">
        <is>
          <t>Không</t>
        </is>
      </c>
      <c r="R1658" s="20" t="n"/>
      <c r="S1658" s="20" t="n"/>
      <c r="T1658" s="21" t="n"/>
      <c r="U1658" s="21" t="n"/>
      <c r="V1658" s="22">
        <f>IF(U1658="A",K1658,IF(U1658="B",L1658,IF(U1658="C",M1658,IF(N1658="A",K1658,IF(N1658="B",L1658,M1658)))))</f>
        <v/>
      </c>
      <c r="W1658" s="22">
        <f>IF(R1658="",O1658,MAX(V1658-R1658-N(S1658),0))</f>
        <v/>
      </c>
      <c r="X1658" s="20" t="n"/>
      <c r="Y1658" s="23">
        <f>IF(OR(X1658="",W1658=0),"",X1658/W1658-1)</f>
        <v/>
      </c>
      <c r="Z1658" s="24" t="n"/>
      <c r="AA1658" s="21" t="n"/>
      <c r="AB1658" s="25" t="n"/>
      <c r="AC1658" s="26">
        <f>IF(T1658="","Chưa quyết định",IF(OR(Z1658="",AA1658=""),"⚠ Thiếu lý do/người duyệt",IF(AND(X1658&lt;&gt;"",N(X1658)+N(R1658)+N(S1658)&gt;M1658*1.001,R1658&lt;&gt;""),"⚠ Vượt mục tiêu P90",IF(AND(Y1658&lt;&gt;"",ABS(N(Y1658))&gt;0.3),"⚠ Lệch &gt; 30% so với nhu cầu",IF(Q1658="Có","ℹ Kiểm tra ngoại suy KM","✓ Hợp lệ")))))</f>
        <v/>
      </c>
    </row>
    <row r="1659">
      <c r="A1659" s="16" t="n">
        <v>1655</v>
      </c>
      <c r="B1659" s="17" t="inlineStr">
        <is>
          <t>DEC-S46-EGGS</t>
        </is>
      </c>
      <c r="C1659" s="16" t="n">
        <v>46</v>
      </c>
      <c r="D1659" s="17" t="inlineStr">
        <is>
          <t>EGGS</t>
        </is>
      </c>
      <c r="E1659" s="17" t="inlineStr">
        <is>
          <t>MEDIUM</t>
        </is>
      </c>
      <c r="F1659" s="17" t="inlineStr">
        <is>
          <t>CAO</t>
        </is>
      </c>
      <c r="G1659" s="18" t="inlineStr">
        <is>
          <t>RISK_MEDIUM</t>
        </is>
      </c>
      <c r="H1659" s="19" t="n">
        <v>1985.637423828125</v>
      </c>
      <c r="I1659" s="19" t="n">
        <v>2657.002328857422</v>
      </c>
      <c r="J1659" s="19" t="n">
        <v>3468.173686035156</v>
      </c>
      <c r="K1659" s="19" t="n">
        <v>2657.002328857422</v>
      </c>
      <c r="L1659" s="19" t="n">
        <v>3163.984427093506</v>
      </c>
      <c r="M1659" s="19" t="n">
        <v>3468.173686035156</v>
      </c>
      <c r="N1659" s="17" t="inlineStr">
        <is>
          <t>C</t>
        </is>
      </c>
      <c r="O1659" s="19" t="n">
        <v>1342.571822949219</v>
      </c>
      <c r="P1659" s="18" t="inlineStr">
        <is>
          <t>CÂN NHẮC THỬ NGHIỆM</t>
        </is>
      </c>
      <c r="Q1659" s="17" t="inlineStr">
        <is>
          <t>Không</t>
        </is>
      </c>
      <c r="R1659" s="20" t="n"/>
      <c r="S1659" s="20" t="n"/>
      <c r="T1659" s="21" t="n"/>
      <c r="U1659" s="21" t="n"/>
      <c r="V1659" s="22">
        <f>IF(U1659="A",K1659,IF(U1659="B",L1659,IF(U1659="C",M1659,IF(N1659="A",K1659,IF(N1659="B",L1659,M1659)))))</f>
        <v/>
      </c>
      <c r="W1659" s="22">
        <f>IF(R1659="",O1659,MAX(V1659-R1659-N(S1659),0))</f>
        <v/>
      </c>
      <c r="X1659" s="20" t="n"/>
      <c r="Y1659" s="23">
        <f>IF(OR(X1659="",W1659=0),"",X1659/W1659-1)</f>
        <v/>
      </c>
      <c r="Z1659" s="24" t="n"/>
      <c r="AA1659" s="21" t="n"/>
      <c r="AB1659" s="25" t="n"/>
      <c r="AC1659" s="26">
        <f>IF(T1659="","Chưa quyết định",IF(OR(Z1659="",AA1659=""),"⚠ Thiếu lý do/người duyệt",IF(AND(X1659&lt;&gt;"",N(X1659)+N(R1659)+N(S1659)&gt;M1659*1.001,R1659&lt;&gt;""),"⚠ Vượt mục tiêu P90",IF(AND(Y1659&lt;&gt;"",ABS(N(Y1659))&gt;0.3),"⚠ Lệch &gt; 30% so với nhu cầu",IF(Q1659="Có","ℹ Kiểm tra ngoại suy KM","✓ Hợp lệ")))))</f>
        <v/>
      </c>
    </row>
    <row r="1660">
      <c r="A1660" s="16" t="n">
        <v>1656</v>
      </c>
      <c r="B1660" s="17" t="inlineStr">
        <is>
          <t>DEC-S38-MEATS</t>
        </is>
      </c>
      <c r="C1660" s="16" t="n">
        <v>38</v>
      </c>
      <c r="D1660" s="17" t="inlineStr">
        <is>
          <t>MEATS</t>
        </is>
      </c>
      <c r="E1660" s="17" t="inlineStr">
        <is>
          <t>MEDIUM</t>
        </is>
      </c>
      <c r="F1660" s="17" t="inlineStr">
        <is>
          <t>CAO</t>
        </is>
      </c>
      <c r="G1660" s="18" t="inlineStr">
        <is>
          <t>RISK_MEDIUM</t>
        </is>
      </c>
      <c r="H1660" s="19" t="n">
        <v>2006.451570190429</v>
      </c>
      <c r="I1660" s="19" t="n">
        <v>2640.296071044922</v>
      </c>
      <c r="J1660" s="19" t="n">
        <v>3394.949587036132</v>
      </c>
      <c r="K1660" s="19" t="n">
        <v>2640.296071044922</v>
      </c>
      <c r="L1660" s="19" t="n">
        <v>3111.954518539429</v>
      </c>
      <c r="M1660" s="19" t="n">
        <v>3394.949587036132</v>
      </c>
      <c r="N1660" s="17" t="inlineStr">
        <is>
          <t>C</t>
        </is>
      </c>
      <c r="O1660" s="19" t="n">
        <v>1282.712730200195</v>
      </c>
      <c r="P1660" s="18" t="inlineStr">
        <is>
          <t>CÂN NHẮC THỬ NGHIỆM</t>
        </is>
      </c>
      <c r="Q1660" s="17" t="inlineStr">
        <is>
          <t>Không</t>
        </is>
      </c>
      <c r="R1660" s="20" t="n"/>
      <c r="S1660" s="20" t="n"/>
      <c r="T1660" s="21" t="n"/>
      <c r="U1660" s="21" t="n"/>
      <c r="V1660" s="22">
        <f>IF(U1660="A",K1660,IF(U1660="B",L1660,IF(U1660="C",M1660,IF(N1660="A",K1660,IF(N1660="B",L1660,M1660)))))</f>
        <v/>
      </c>
      <c r="W1660" s="22">
        <f>IF(R1660="",O1660,MAX(V1660-R1660-N(S1660),0))</f>
        <v/>
      </c>
      <c r="X1660" s="20" t="n"/>
      <c r="Y1660" s="23">
        <f>IF(OR(X1660="",W1660=0),"",X1660/W1660-1)</f>
        <v/>
      </c>
      <c r="Z1660" s="24" t="n"/>
      <c r="AA1660" s="21" t="n"/>
      <c r="AB1660" s="25" t="n"/>
      <c r="AC1660" s="26">
        <f>IF(T1660="","Chưa quyết định",IF(OR(Z1660="",AA1660=""),"⚠ Thiếu lý do/người duyệt",IF(AND(X1660&lt;&gt;"",N(X1660)+N(R1660)+N(S1660)&gt;M1660*1.001,R1660&lt;&gt;""),"⚠ Vượt mục tiêu P90",IF(AND(Y1660&lt;&gt;"",ABS(N(Y1660))&gt;0.3),"⚠ Lệch &gt; 30% so với nhu cầu",IF(Q1660="Có","ℹ Kiểm tra ngoại suy KM","✓ Hợp lệ")))))</f>
        <v/>
      </c>
    </row>
    <row r="1661">
      <c r="A1661" s="16" t="n">
        <v>1657</v>
      </c>
      <c r="B1661" s="17" t="inlineStr">
        <is>
          <t>DEC-S25-POULTRY</t>
        </is>
      </c>
      <c r="C1661" s="16" t="n">
        <v>25</v>
      </c>
      <c r="D1661" s="17" t="inlineStr">
        <is>
          <t>POULTRY</t>
        </is>
      </c>
      <c r="E1661" s="17" t="inlineStr">
        <is>
          <t>MEDIUM</t>
        </is>
      </c>
      <c r="F1661" s="17" t="inlineStr">
        <is>
          <t>CAO</t>
        </is>
      </c>
      <c r="G1661" s="18" t="inlineStr">
        <is>
          <t>RISK_MEDIUM</t>
        </is>
      </c>
      <c r="H1661" s="19" t="n">
        <v>1985.369996704102</v>
      </c>
      <c r="I1661" s="19" t="n">
        <v>2619.214497558594</v>
      </c>
      <c r="J1661" s="19" t="n">
        <v>3373.868013549804</v>
      </c>
      <c r="K1661" s="19" t="n">
        <v>2619.214497558594</v>
      </c>
      <c r="L1661" s="19" t="n">
        <v>3090.8729450531</v>
      </c>
      <c r="M1661" s="19" t="n">
        <v>3373.868013549804</v>
      </c>
      <c r="N1661" s="17" t="inlineStr">
        <is>
          <t>C</t>
        </is>
      </c>
      <c r="O1661" s="19" t="n">
        <v>1278.496415502929</v>
      </c>
      <c r="P1661" s="18" t="inlineStr">
        <is>
          <t>CÂN NHẮC THỬ NGHIỆM</t>
        </is>
      </c>
      <c r="Q1661" s="17" t="inlineStr">
        <is>
          <t>Không</t>
        </is>
      </c>
      <c r="R1661" s="20" t="n"/>
      <c r="S1661" s="20" t="n"/>
      <c r="T1661" s="21" t="n"/>
      <c r="U1661" s="21" t="n"/>
      <c r="V1661" s="22">
        <f>IF(U1661="A",K1661,IF(U1661="B",L1661,IF(U1661="C",M1661,IF(N1661="A",K1661,IF(N1661="B",L1661,M1661)))))</f>
        <v/>
      </c>
      <c r="W1661" s="22">
        <f>IF(R1661="",O1661,MAX(V1661-R1661-N(S1661),0))</f>
        <v/>
      </c>
      <c r="X1661" s="20" t="n"/>
      <c r="Y1661" s="23">
        <f>IF(OR(X1661="",W1661=0),"",X1661/W1661-1)</f>
        <v/>
      </c>
      <c r="Z1661" s="24" t="n"/>
      <c r="AA1661" s="21" t="n"/>
      <c r="AB1661" s="25" t="n"/>
      <c r="AC1661" s="26">
        <f>IF(T1661="","Chưa quyết định",IF(OR(Z1661="",AA1661=""),"⚠ Thiếu lý do/người duyệt",IF(AND(X1661&lt;&gt;"",N(X1661)+N(R1661)+N(S1661)&gt;M1661*1.001,R1661&lt;&gt;""),"⚠ Vượt mục tiêu P90",IF(AND(Y1661&lt;&gt;"",ABS(N(Y1661))&gt;0.3),"⚠ Lệch &gt; 30% so với nhu cầu",IF(Q1661="Có","ℹ Kiểm tra ngoại suy KM","✓ Hợp lệ")))))</f>
        <v/>
      </c>
    </row>
    <row r="1662">
      <c r="A1662" s="16" t="n">
        <v>1658</v>
      </c>
      <c r="B1662" s="17" t="inlineStr">
        <is>
          <t>DEC-S22-BREAD_BAKERY</t>
        </is>
      </c>
      <c r="C1662" s="16" t="n">
        <v>22</v>
      </c>
      <c r="D1662" s="17" t="inlineStr">
        <is>
          <t>BREAD/BAKERY</t>
        </is>
      </c>
      <c r="E1662" s="17" t="inlineStr">
        <is>
          <t>MEDIUM</t>
        </is>
      </c>
      <c r="F1662" s="17" t="inlineStr">
        <is>
          <t>CAO</t>
        </is>
      </c>
      <c r="G1662" s="18" t="inlineStr">
        <is>
          <t>RISK_MEDIUM</t>
        </is>
      </c>
      <c r="H1662" s="19" t="n">
        <v>1976.274247802734</v>
      </c>
      <c r="I1662" s="19" t="n">
        <v>2610.118748657227</v>
      </c>
      <c r="J1662" s="19" t="n">
        <v>3364.772264648437</v>
      </c>
      <c r="K1662" s="19" t="n">
        <v>2610.118748657227</v>
      </c>
      <c r="L1662" s="19" t="n">
        <v>3081.777196151733</v>
      </c>
      <c r="M1662" s="19" t="n">
        <v>3364.772264648437</v>
      </c>
      <c r="N1662" s="17" t="inlineStr">
        <is>
          <t>C</t>
        </is>
      </c>
      <c r="O1662" s="19" t="n">
        <v>1276.677265722656</v>
      </c>
      <c r="P1662" s="18" t="inlineStr">
        <is>
          <t>CÂN NHẮC THỬ NGHIỆM</t>
        </is>
      </c>
      <c r="Q1662" s="17" t="inlineStr">
        <is>
          <t>Không</t>
        </is>
      </c>
      <c r="R1662" s="20" t="n"/>
      <c r="S1662" s="20" t="n"/>
      <c r="T1662" s="21" t="n"/>
      <c r="U1662" s="21" t="n"/>
      <c r="V1662" s="22">
        <f>IF(U1662="A",K1662,IF(U1662="B",L1662,IF(U1662="C",M1662,IF(N1662="A",K1662,IF(N1662="B",L1662,M1662)))))</f>
        <v/>
      </c>
      <c r="W1662" s="22">
        <f>IF(R1662="",O1662,MAX(V1662-R1662-N(S1662),0))</f>
        <v/>
      </c>
      <c r="X1662" s="20" t="n"/>
      <c r="Y1662" s="23">
        <f>IF(OR(X1662="",W1662=0),"",X1662/W1662-1)</f>
        <v/>
      </c>
      <c r="Z1662" s="24" t="n"/>
      <c r="AA1662" s="21" t="n"/>
      <c r="AB1662" s="25" t="n"/>
      <c r="AC1662" s="26">
        <f>IF(T1662="","Chưa quyết định",IF(OR(Z1662="",AA1662=""),"⚠ Thiếu lý do/người duyệt",IF(AND(X1662&lt;&gt;"",N(X1662)+N(R1662)+N(S1662)&gt;M1662*1.001,R1662&lt;&gt;""),"⚠ Vượt mục tiêu P90",IF(AND(Y1662&lt;&gt;"",ABS(N(Y1662))&gt;0.3),"⚠ Lệch &gt; 30% so với nhu cầu",IF(Q1662="Có","ℹ Kiểm tra ngoại suy KM","✓ Hợp lệ")))))</f>
        <v/>
      </c>
    </row>
    <row r="1663">
      <c r="A1663" s="16" t="n">
        <v>1659</v>
      </c>
      <c r="B1663" s="17" t="inlineStr">
        <is>
          <t>DEC-S38-LIQUOR_WINE_BEER</t>
        </is>
      </c>
      <c r="C1663" s="16" t="n">
        <v>38</v>
      </c>
      <c r="D1663" s="17" t="inlineStr">
        <is>
          <t>LIQUOR,WINE,BEER</t>
        </is>
      </c>
      <c r="E1663" s="17" t="inlineStr">
        <is>
          <t>MEDIUM</t>
        </is>
      </c>
      <c r="F1663" s="17" t="inlineStr">
        <is>
          <t>CAO</t>
        </is>
      </c>
      <c r="G1663" s="18" t="inlineStr">
        <is>
          <t>RISK_MEDIUM</t>
        </is>
      </c>
      <c r="H1663" s="19" t="n">
        <v>2023.192936737061</v>
      </c>
      <c r="I1663" s="19" t="n">
        <v>2595.823603149414</v>
      </c>
      <c r="J1663" s="19" t="n">
        <v>3313.889065704346</v>
      </c>
      <c r="K1663" s="19" t="n">
        <v>2595.823603149414</v>
      </c>
      <c r="L1663" s="19" t="n">
        <v>3044.614517246246</v>
      </c>
      <c r="M1663" s="19" t="n">
        <v>3313.889065704346</v>
      </c>
      <c r="N1663" s="17" t="inlineStr">
        <is>
          <t>C</t>
        </is>
      </c>
      <c r="O1663" s="19" t="n">
        <v>1237.230183184814</v>
      </c>
      <c r="P1663" s="18" t="inlineStr">
        <is>
          <t>CÂN NHẮC THỬ NGHIỆM</t>
        </is>
      </c>
      <c r="Q1663" s="17" t="inlineStr">
        <is>
          <t>Không</t>
        </is>
      </c>
      <c r="R1663" s="20" t="n"/>
      <c r="S1663" s="20" t="n"/>
      <c r="T1663" s="21" t="n"/>
      <c r="U1663" s="21" t="n"/>
      <c r="V1663" s="22">
        <f>IF(U1663="A",K1663,IF(U1663="B",L1663,IF(U1663="C",M1663,IF(N1663="A",K1663,IF(N1663="B",L1663,M1663)))))</f>
        <v/>
      </c>
      <c r="W1663" s="22">
        <f>IF(R1663="",O1663,MAX(V1663-R1663-N(S1663),0))</f>
        <v/>
      </c>
      <c r="X1663" s="20" t="n"/>
      <c r="Y1663" s="23">
        <f>IF(OR(X1663="",W1663=0),"",X1663/W1663-1)</f>
        <v/>
      </c>
      <c r="Z1663" s="24" t="n"/>
      <c r="AA1663" s="21" t="n"/>
      <c r="AB1663" s="25" t="n"/>
      <c r="AC1663" s="26">
        <f>IF(T1663="","Chưa quyết định",IF(OR(Z1663="",AA1663=""),"⚠ Thiếu lý do/người duyệt",IF(AND(X1663&lt;&gt;"",N(X1663)+N(R1663)+N(S1663)&gt;M1663*1.001,R1663&lt;&gt;""),"⚠ Vượt mục tiêu P90",IF(AND(Y1663&lt;&gt;"",ABS(N(Y1663))&gt;0.3),"⚠ Lệch &gt; 30% so với nhu cầu",IF(Q1663="Có","ℹ Kiểm tra ngoại suy KM","✓ Hợp lệ")))))</f>
        <v/>
      </c>
    </row>
    <row r="1664">
      <c r="A1664" s="16" t="n">
        <v>1660</v>
      </c>
      <c r="B1664" s="17" t="inlineStr">
        <is>
          <t>DEC-S13-HOME_CARE</t>
        </is>
      </c>
      <c r="C1664" s="16" t="n">
        <v>13</v>
      </c>
      <c r="D1664" s="17" t="inlineStr">
        <is>
          <t>HOME CARE</t>
        </is>
      </c>
      <c r="E1664" s="17" t="inlineStr">
        <is>
          <t>MEDIUM</t>
        </is>
      </c>
      <c r="F1664" s="17" t="inlineStr">
        <is>
          <t>CAO</t>
        </is>
      </c>
      <c r="G1664" s="18" t="inlineStr">
        <is>
          <t>RISK_MEDIUM</t>
        </is>
      </c>
      <c r="H1664" s="19" t="n">
        <v>1975.185189086914</v>
      </c>
      <c r="I1664" s="19" t="n">
        <v>2590.269487854004</v>
      </c>
      <c r="J1664" s="19" t="n">
        <v>3316.664083251953</v>
      </c>
      <c r="K1664" s="19" t="n">
        <v>2590.269487854004</v>
      </c>
      <c r="L1664" s="19" t="n">
        <v>3044.266109977722</v>
      </c>
      <c r="M1664" s="19" t="n">
        <v>3316.664083251953</v>
      </c>
      <c r="N1664" s="17" t="inlineStr">
        <is>
          <t>C</t>
        </is>
      </c>
      <c r="O1664" s="19" t="n">
        <v>1244.448492968749</v>
      </c>
      <c r="P1664" s="18" t="inlineStr">
        <is>
          <t>KHÔNG ĐỀ XUẤT TĂNG</t>
        </is>
      </c>
      <c r="Q1664" s="17" t="inlineStr">
        <is>
          <t>Không</t>
        </is>
      </c>
      <c r="R1664" s="20" t="n"/>
      <c r="S1664" s="20" t="n"/>
      <c r="T1664" s="21" t="n"/>
      <c r="U1664" s="21" t="n"/>
      <c r="V1664" s="22">
        <f>IF(U1664="A",K1664,IF(U1664="B",L1664,IF(U1664="C",M1664,IF(N1664="A",K1664,IF(N1664="B",L1664,M1664)))))</f>
        <v/>
      </c>
      <c r="W1664" s="22">
        <f>IF(R1664="",O1664,MAX(V1664-R1664-N(S1664),0))</f>
        <v/>
      </c>
      <c r="X1664" s="20" t="n"/>
      <c r="Y1664" s="23">
        <f>IF(OR(X1664="",W1664=0),"",X1664/W1664-1)</f>
        <v/>
      </c>
      <c r="Z1664" s="24" t="n"/>
      <c r="AA1664" s="21" t="n"/>
      <c r="AB1664" s="25" t="n"/>
      <c r="AC1664" s="26">
        <f>IF(T1664="","Chưa quyết định",IF(OR(Z1664="",AA1664=""),"⚠ Thiếu lý do/người duyệt",IF(AND(X1664&lt;&gt;"",N(X1664)+N(R1664)+N(S1664)&gt;M1664*1.001,R1664&lt;&gt;""),"⚠ Vượt mục tiêu P90",IF(AND(Y1664&lt;&gt;"",ABS(N(Y1664))&gt;0.3),"⚠ Lệch &gt; 30% so với nhu cầu",IF(Q1664="Có","ℹ Kiểm tra ngoại suy KM","✓ Hợp lệ")))))</f>
        <v/>
      </c>
    </row>
    <row r="1665">
      <c r="A1665" s="16" t="n">
        <v>1661</v>
      </c>
      <c r="B1665" s="17" t="inlineStr">
        <is>
          <t>DEC-S22-POULTRY</t>
        </is>
      </c>
      <c r="C1665" s="16" t="n">
        <v>22</v>
      </c>
      <c r="D1665" s="17" t="inlineStr">
        <is>
          <t>POULTRY</t>
        </is>
      </c>
      <c r="E1665" s="17" t="inlineStr">
        <is>
          <t>MEDIUM</t>
        </is>
      </c>
      <c r="F1665" s="17" t="inlineStr">
        <is>
          <t>CAO</t>
        </is>
      </c>
      <c r="G1665" s="18" t="inlineStr">
        <is>
          <t>RISK_MEDIUM</t>
        </is>
      </c>
      <c r="H1665" s="19" t="n">
        <v>1952.923829711914</v>
      </c>
      <c r="I1665" s="19" t="n">
        <v>2586.768330566406</v>
      </c>
      <c r="J1665" s="19" t="n">
        <v>3341.421846557617</v>
      </c>
      <c r="K1665" s="19" t="n">
        <v>2586.768330566406</v>
      </c>
      <c r="L1665" s="19" t="n">
        <v>3058.426778060913</v>
      </c>
      <c r="M1665" s="19" t="n">
        <v>3341.421846557617</v>
      </c>
      <c r="N1665" s="17" t="inlineStr">
        <is>
          <t>C</t>
        </is>
      </c>
      <c r="O1665" s="19" t="n">
        <v>1272.007182104492</v>
      </c>
      <c r="P1665" s="18" t="inlineStr">
        <is>
          <t>CÂN NHẮC THỬ NGHIỆM</t>
        </is>
      </c>
      <c r="Q1665" s="17" t="inlineStr">
        <is>
          <t>Không</t>
        </is>
      </c>
      <c r="R1665" s="20" t="n"/>
      <c r="S1665" s="20" t="n"/>
      <c r="T1665" s="21" t="n"/>
      <c r="U1665" s="21" t="n"/>
      <c r="V1665" s="22">
        <f>IF(U1665="A",K1665,IF(U1665="B",L1665,IF(U1665="C",M1665,IF(N1665="A",K1665,IF(N1665="B",L1665,M1665)))))</f>
        <v/>
      </c>
      <c r="W1665" s="22">
        <f>IF(R1665="",O1665,MAX(V1665-R1665-N(S1665),0))</f>
        <v/>
      </c>
      <c r="X1665" s="20" t="n"/>
      <c r="Y1665" s="23">
        <f>IF(OR(X1665="",W1665=0),"",X1665/W1665-1)</f>
        <v/>
      </c>
      <c r="Z1665" s="24" t="n"/>
      <c r="AA1665" s="21" t="n"/>
      <c r="AB1665" s="25" t="n"/>
      <c r="AC1665" s="26">
        <f>IF(T1665="","Chưa quyết định",IF(OR(Z1665="",AA1665=""),"⚠ Thiếu lý do/người duyệt",IF(AND(X1665&lt;&gt;"",N(X1665)+N(R1665)+N(S1665)&gt;M1665*1.001,R1665&lt;&gt;""),"⚠ Vượt mục tiêu P90",IF(AND(Y1665&lt;&gt;"",ABS(N(Y1665))&gt;0.3),"⚠ Lệch &gt; 30% so với nhu cầu",IF(Q1665="Có","ℹ Kiểm tra ngoại suy KM","✓ Hợp lệ")))))</f>
        <v/>
      </c>
    </row>
    <row r="1666">
      <c r="A1666" s="16" t="n">
        <v>1662</v>
      </c>
      <c r="B1666" s="17" t="inlineStr">
        <is>
          <t>DEC-S10-MEATS</t>
        </is>
      </c>
      <c r="C1666" s="16" t="n">
        <v>10</v>
      </c>
      <c r="D1666" s="17" t="inlineStr">
        <is>
          <t>MEATS</t>
        </is>
      </c>
      <c r="E1666" s="17" t="inlineStr">
        <is>
          <t>MEDIUM</t>
        </is>
      </c>
      <c r="F1666" s="17" t="inlineStr">
        <is>
          <t>CAO</t>
        </is>
      </c>
      <c r="G1666" s="18" t="inlineStr">
        <is>
          <t>RISK_MEDIUM</t>
        </is>
      </c>
      <c r="H1666" s="19" t="n">
        <v>1948.256700195312</v>
      </c>
      <c r="I1666" s="19" t="n">
        <v>2582.101201049805</v>
      </c>
      <c r="J1666" s="19" t="n">
        <v>3336.754717041016</v>
      </c>
      <c r="K1666" s="19" t="n">
        <v>2582.101201049805</v>
      </c>
      <c r="L1666" s="19" t="n">
        <v>3053.759648544312</v>
      </c>
      <c r="M1666" s="19" t="n">
        <v>3336.754717041016</v>
      </c>
      <c r="N1666" s="17" t="inlineStr">
        <is>
          <t>C</t>
        </is>
      </c>
      <c r="O1666" s="19" t="n">
        <v>1271.073756201172</v>
      </c>
      <c r="P1666" s="18" t="inlineStr">
        <is>
          <t>CÂN NHẮC THỬ NGHIỆM</t>
        </is>
      </c>
      <c r="Q1666" s="17" t="inlineStr">
        <is>
          <t>Không</t>
        </is>
      </c>
      <c r="R1666" s="20" t="n"/>
      <c r="S1666" s="20" t="n"/>
      <c r="T1666" s="21" t="n"/>
      <c r="U1666" s="21" t="n"/>
      <c r="V1666" s="22">
        <f>IF(U1666="A",K1666,IF(U1666="B",L1666,IF(U1666="C",M1666,IF(N1666="A",K1666,IF(N1666="B",L1666,M1666)))))</f>
        <v/>
      </c>
      <c r="W1666" s="22">
        <f>IF(R1666="",O1666,MAX(V1666-R1666-N(S1666),0))</f>
        <v/>
      </c>
      <c r="X1666" s="20" t="n"/>
      <c r="Y1666" s="23">
        <f>IF(OR(X1666="",W1666=0),"",X1666/W1666-1)</f>
        <v/>
      </c>
      <c r="Z1666" s="24" t="n"/>
      <c r="AA1666" s="21" t="n"/>
      <c r="AB1666" s="25" t="n"/>
      <c r="AC1666" s="26">
        <f>IF(T1666="","Chưa quyết định",IF(OR(Z1666="",AA1666=""),"⚠ Thiếu lý do/người duyệt",IF(AND(X1666&lt;&gt;"",N(X1666)+N(R1666)+N(S1666)&gt;M1666*1.001,R1666&lt;&gt;""),"⚠ Vượt mục tiêu P90",IF(AND(Y1666&lt;&gt;"",ABS(N(Y1666))&gt;0.3),"⚠ Lệch &gt; 30% so với nhu cầu",IF(Q1666="Có","ℹ Kiểm tra ngoại suy KM","✓ Hợp lệ")))))</f>
        <v/>
      </c>
    </row>
    <row r="1667">
      <c r="A1667" s="16" t="n">
        <v>1663</v>
      </c>
      <c r="B1667" s="17" t="inlineStr">
        <is>
          <t>DEC-S25-LIQUOR_WINE_BEER</t>
        </is>
      </c>
      <c r="C1667" s="16" t="n">
        <v>25</v>
      </c>
      <c r="D1667" s="17" t="inlineStr">
        <is>
          <t>LIQUOR,WINE,BEER</t>
        </is>
      </c>
      <c r="E1667" s="17" t="inlineStr">
        <is>
          <t>MEDIUM</t>
        </is>
      </c>
      <c r="F1667" s="17" t="inlineStr">
        <is>
          <t>CAO</t>
        </is>
      </c>
      <c r="G1667" s="18" t="inlineStr">
        <is>
          <t>RISK_MEDIUM</t>
        </is>
      </c>
      <c r="H1667" s="19" t="n">
        <v>1911.200014587402</v>
      </c>
      <c r="I1667" s="19" t="n">
        <v>2563.804717529297</v>
      </c>
      <c r="J1667" s="19" t="n">
        <v>3346.717154113769</v>
      </c>
      <c r="K1667" s="19" t="n">
        <v>2563.804717529297</v>
      </c>
      <c r="L1667" s="19" t="n">
        <v>3053.124990394592</v>
      </c>
      <c r="M1667" s="19" t="n">
        <v>3346.717154113769</v>
      </c>
      <c r="N1667" s="17" t="inlineStr">
        <is>
          <t>C</t>
        </is>
      </c>
      <c r="O1667" s="19" t="n">
        <v>1295.673380090332</v>
      </c>
      <c r="P1667" s="18" t="inlineStr">
        <is>
          <t>CÂN NHẮC THỬ NGHIỆM</t>
        </is>
      </c>
      <c r="Q1667" s="17" t="inlineStr">
        <is>
          <t>Không</t>
        </is>
      </c>
      <c r="R1667" s="20" t="n"/>
      <c r="S1667" s="20" t="n"/>
      <c r="T1667" s="21" t="n"/>
      <c r="U1667" s="21" t="n"/>
      <c r="V1667" s="22">
        <f>IF(U1667="A",K1667,IF(U1667="B",L1667,IF(U1667="C",M1667,IF(N1667="A",K1667,IF(N1667="B",L1667,M1667)))))</f>
        <v/>
      </c>
      <c r="W1667" s="22">
        <f>IF(R1667="",O1667,MAX(V1667-R1667-N(S1667),0))</f>
        <v/>
      </c>
      <c r="X1667" s="20" t="n"/>
      <c r="Y1667" s="23">
        <f>IF(OR(X1667="",W1667=0),"",X1667/W1667-1)</f>
        <v/>
      </c>
      <c r="Z1667" s="24" t="n"/>
      <c r="AA1667" s="21" t="n"/>
      <c r="AB1667" s="25" t="n"/>
      <c r="AC1667" s="26">
        <f>IF(T1667="","Chưa quyết định",IF(OR(Z1667="",AA1667=""),"⚠ Thiếu lý do/người duyệt",IF(AND(X1667&lt;&gt;"",N(X1667)+N(R1667)+N(S1667)&gt;M1667*1.001,R1667&lt;&gt;""),"⚠ Vượt mục tiêu P90",IF(AND(Y1667&lt;&gt;"",ABS(N(Y1667))&gt;0.3),"⚠ Lệch &gt; 30% so với nhu cầu",IF(Q1667="Có","ℹ Kiểm tra ngoại suy KM","✓ Hợp lệ")))))</f>
        <v/>
      </c>
    </row>
    <row r="1668">
      <c r="A1668" s="16" t="n">
        <v>1664</v>
      </c>
      <c r="B1668" s="17" t="inlineStr">
        <is>
          <t>DEC-S06-FROZEN_FOODS</t>
        </is>
      </c>
      <c r="C1668" s="16" t="n">
        <v>6</v>
      </c>
      <c r="D1668" s="17" t="inlineStr">
        <is>
          <t>FROZEN FOODS</t>
        </is>
      </c>
      <c r="E1668" s="17" t="inlineStr">
        <is>
          <t>MEDIUM</t>
        </is>
      </c>
      <c r="F1668" s="17" t="inlineStr">
        <is>
          <t>CAO</t>
        </is>
      </c>
      <c r="G1668" s="18" t="inlineStr">
        <is>
          <t>RISK_MEDIUM</t>
        </is>
      </c>
      <c r="H1668" s="19" t="n">
        <v>1893.414240356445</v>
      </c>
      <c r="I1668" s="19" t="n">
        <v>2546.01894329834</v>
      </c>
      <c r="J1668" s="19" t="n">
        <v>3328.931379882813</v>
      </c>
      <c r="K1668" s="19" t="n">
        <v>2546.01894329834</v>
      </c>
      <c r="L1668" s="19" t="n">
        <v>3035.339216163635</v>
      </c>
      <c r="M1668" s="19" t="n">
        <v>3328.931379882813</v>
      </c>
      <c r="N1668" s="17" t="inlineStr">
        <is>
          <t>C</t>
        </is>
      </c>
      <c r="O1668" s="19" t="n">
        <v>1292.11622524414</v>
      </c>
      <c r="P1668" s="18" t="inlineStr">
        <is>
          <t>CÂN NHẮC THỬ NGHIỆM</t>
        </is>
      </c>
      <c r="Q1668" s="17" t="inlineStr">
        <is>
          <t>Không</t>
        </is>
      </c>
      <c r="R1668" s="20" t="n"/>
      <c r="S1668" s="20" t="n"/>
      <c r="T1668" s="21" t="n"/>
      <c r="U1668" s="21" t="n"/>
      <c r="V1668" s="22">
        <f>IF(U1668="A",K1668,IF(U1668="B",L1668,IF(U1668="C",M1668,IF(N1668="A",K1668,IF(N1668="B",L1668,M1668)))))</f>
        <v/>
      </c>
      <c r="W1668" s="22">
        <f>IF(R1668="",O1668,MAX(V1668-R1668-N(S1668),0))</f>
        <v/>
      </c>
      <c r="X1668" s="20" t="n"/>
      <c r="Y1668" s="23">
        <f>IF(OR(X1668="",W1668=0),"",X1668/W1668-1)</f>
        <v/>
      </c>
      <c r="Z1668" s="24" t="n"/>
      <c r="AA1668" s="21" t="n"/>
      <c r="AB1668" s="25" t="n"/>
      <c r="AC1668" s="26">
        <f>IF(T1668="","Chưa quyết định",IF(OR(Z1668="",AA1668=""),"⚠ Thiếu lý do/người duyệt",IF(AND(X1668&lt;&gt;"",N(X1668)+N(R1668)+N(S1668)&gt;M1668*1.001,R1668&lt;&gt;""),"⚠ Vượt mục tiêu P90",IF(AND(Y1668&lt;&gt;"",ABS(N(Y1668))&gt;0.3),"⚠ Lệch &gt; 30% so với nhu cầu",IF(Q1668="Có","ℹ Kiểm tra ngoại suy KM","✓ Hợp lệ")))))</f>
        <v/>
      </c>
    </row>
    <row r="1669">
      <c r="A1669" s="16" t="n">
        <v>1665</v>
      </c>
      <c r="B1669" s="17" t="inlineStr">
        <is>
          <t>DEC-S16-BREAD_BAKERY</t>
        </is>
      </c>
      <c r="C1669" s="16" t="n">
        <v>16</v>
      </c>
      <c r="D1669" s="17" t="inlineStr">
        <is>
          <t>BREAD/BAKERY</t>
        </is>
      </c>
      <c r="E1669" s="17" t="inlineStr">
        <is>
          <t>MEDIUM</t>
        </is>
      </c>
      <c r="F1669" s="17" t="inlineStr">
        <is>
          <t>CAO</t>
        </is>
      </c>
      <c r="G1669" s="18" t="inlineStr">
        <is>
          <t>RISK_MEDIUM</t>
        </is>
      </c>
      <c r="H1669" s="19" t="n">
        <v>1906.721727050781</v>
      </c>
      <c r="I1669" s="19" t="n">
        <v>2540.566227905273</v>
      </c>
      <c r="J1669" s="19" t="n">
        <v>3295.219743896484</v>
      </c>
      <c r="K1669" s="19" t="n">
        <v>2540.566227905273</v>
      </c>
      <c r="L1669" s="19" t="n">
        <v>3012.22467539978</v>
      </c>
      <c r="M1669" s="19" t="n">
        <v>3295.219743896484</v>
      </c>
      <c r="N1669" s="17" t="inlineStr">
        <is>
          <t>C</t>
        </is>
      </c>
      <c r="O1669" s="19" t="n">
        <v>1262.766761572265</v>
      </c>
      <c r="P1669" s="18" t="inlineStr">
        <is>
          <t>KHÔNG ĐỀ XUẤT TĂNG</t>
        </is>
      </c>
      <c r="Q1669" s="17" t="inlineStr">
        <is>
          <t>Không</t>
        </is>
      </c>
      <c r="R1669" s="20" t="n"/>
      <c r="S1669" s="20" t="n"/>
      <c r="T1669" s="21" t="n"/>
      <c r="U1669" s="21" t="n"/>
      <c r="V1669" s="22">
        <f>IF(U1669="A",K1669,IF(U1669="B",L1669,IF(U1669="C",M1669,IF(N1669="A",K1669,IF(N1669="B",L1669,M1669)))))</f>
        <v/>
      </c>
      <c r="W1669" s="22">
        <f>IF(R1669="",O1669,MAX(V1669-R1669-N(S1669),0))</f>
        <v/>
      </c>
      <c r="X1669" s="20" t="n"/>
      <c r="Y1669" s="23">
        <f>IF(OR(X1669="",W1669=0),"",X1669/W1669-1)</f>
        <v/>
      </c>
      <c r="Z1669" s="24" t="n"/>
      <c r="AA1669" s="21" t="n"/>
      <c r="AB1669" s="25" t="n"/>
      <c r="AC1669" s="26">
        <f>IF(T1669="","Chưa quyết định",IF(OR(Z1669="",AA1669=""),"⚠ Thiếu lý do/người duyệt",IF(AND(X1669&lt;&gt;"",N(X1669)+N(R1669)+N(S1669)&gt;M1669*1.001,R1669&lt;&gt;""),"⚠ Vượt mục tiêu P90",IF(AND(Y1669&lt;&gt;"",ABS(N(Y1669))&gt;0.3),"⚠ Lệch &gt; 30% so với nhu cầu",IF(Q1669="Có","ℹ Kiểm tra ngoại suy KM","✓ Hợp lệ")))))</f>
        <v/>
      </c>
    </row>
    <row r="1670">
      <c r="A1670" s="16" t="n">
        <v>1666</v>
      </c>
      <c r="B1670" s="17" t="inlineStr">
        <is>
          <t>DEC-S12-MEATS</t>
        </is>
      </c>
      <c r="C1670" s="16" t="n">
        <v>12</v>
      </c>
      <c r="D1670" s="17" t="inlineStr">
        <is>
          <t>MEATS</t>
        </is>
      </c>
      <c r="E1670" s="17" t="inlineStr">
        <is>
          <t>MEDIUM</t>
        </is>
      </c>
      <c r="F1670" s="17" t="inlineStr">
        <is>
          <t>CAO</t>
        </is>
      </c>
      <c r="G1670" s="18" t="inlineStr">
        <is>
          <t>RISK_MEDIUM</t>
        </is>
      </c>
      <c r="H1670" s="19" t="n">
        <v>1900.158998168945</v>
      </c>
      <c r="I1670" s="19" t="n">
        <v>2534.003499023438</v>
      </c>
      <c r="J1670" s="19" t="n">
        <v>3288.657015014648</v>
      </c>
      <c r="K1670" s="19" t="n">
        <v>2534.003499023438</v>
      </c>
      <c r="L1670" s="19" t="n">
        <v>3005.661946517944</v>
      </c>
      <c r="M1670" s="19" t="n">
        <v>3288.657015014648</v>
      </c>
      <c r="N1670" s="17" t="inlineStr">
        <is>
          <t>C</t>
        </is>
      </c>
      <c r="O1670" s="19" t="n">
        <v>1261.454215795898</v>
      </c>
      <c r="P1670" s="18" t="inlineStr">
        <is>
          <t>CÂN NHẮC THỬ NGHIỆM</t>
        </is>
      </c>
      <c r="Q1670" s="17" t="inlineStr">
        <is>
          <t>Không</t>
        </is>
      </c>
      <c r="R1670" s="20" t="n"/>
      <c r="S1670" s="20" t="n"/>
      <c r="T1670" s="21" t="n"/>
      <c r="U1670" s="21" t="n"/>
      <c r="V1670" s="22">
        <f>IF(U1670="A",K1670,IF(U1670="B",L1670,IF(U1670="C",M1670,IF(N1670="A",K1670,IF(N1670="B",L1670,M1670)))))</f>
        <v/>
      </c>
      <c r="W1670" s="22">
        <f>IF(R1670="",O1670,MAX(V1670-R1670-N(S1670),0))</f>
        <v/>
      </c>
      <c r="X1670" s="20" t="n"/>
      <c r="Y1670" s="23">
        <f>IF(OR(X1670="",W1670=0),"",X1670/W1670-1)</f>
        <v/>
      </c>
      <c r="Z1670" s="24" t="n"/>
      <c r="AA1670" s="21" t="n"/>
      <c r="AB1670" s="25" t="n"/>
      <c r="AC1670" s="26">
        <f>IF(T1670="","Chưa quyết định",IF(OR(Z1670="",AA1670=""),"⚠ Thiếu lý do/người duyệt",IF(AND(X1670&lt;&gt;"",N(X1670)+N(R1670)+N(S1670)&gt;M1670*1.001,R1670&lt;&gt;""),"⚠ Vượt mục tiêu P90",IF(AND(Y1670&lt;&gt;"",ABS(N(Y1670))&gt;0.3),"⚠ Lệch &gt; 30% so với nhu cầu",IF(Q1670="Có","ℹ Kiểm tra ngoại suy KM","✓ Hợp lệ")))))</f>
        <v/>
      </c>
    </row>
    <row r="1671">
      <c r="A1671" s="16" t="n">
        <v>1667</v>
      </c>
      <c r="B1671" s="17" t="inlineStr">
        <is>
          <t>DEC-S26-POULTRY</t>
        </is>
      </c>
      <c r="C1671" s="16" t="n">
        <v>26</v>
      </c>
      <c r="D1671" s="17" t="inlineStr">
        <is>
          <t>POULTRY</t>
        </is>
      </c>
      <c r="E1671" s="17" t="inlineStr">
        <is>
          <t>MEDIUM</t>
        </is>
      </c>
      <c r="F1671" s="17" t="inlineStr">
        <is>
          <t>CAO</t>
        </is>
      </c>
      <c r="G1671" s="18" t="inlineStr">
        <is>
          <t>RISK_MEDIUM</t>
        </is>
      </c>
      <c r="H1671" s="19" t="n">
        <v>1830.82024017334</v>
      </c>
      <c r="I1671" s="19" t="n">
        <v>2520.945347290039</v>
      </c>
      <c r="J1671" s="19" t="n">
        <v>3360.375625061035</v>
      </c>
      <c r="K1671" s="19" t="n">
        <v>2520.945347290039</v>
      </c>
      <c r="L1671" s="19" t="n">
        <v>3045.589270896911</v>
      </c>
      <c r="M1671" s="19" t="n">
        <v>3360.375625061035</v>
      </c>
      <c r="N1671" s="17" t="inlineStr">
        <is>
          <t>C</t>
        </is>
      </c>
      <c r="O1671" s="19" t="n">
        <v>1343.619347229003</v>
      </c>
      <c r="P1671" s="18" t="inlineStr">
        <is>
          <t>CÂN NHẮC THỬ NGHIỆM</t>
        </is>
      </c>
      <c r="Q1671" s="17" t="inlineStr">
        <is>
          <t>Không</t>
        </is>
      </c>
      <c r="R1671" s="20" t="n"/>
      <c r="S1671" s="20" t="n"/>
      <c r="T1671" s="21" t="n"/>
      <c r="U1671" s="21" t="n"/>
      <c r="V1671" s="22">
        <f>IF(U1671="A",K1671,IF(U1671="B",L1671,IF(U1671="C",M1671,IF(N1671="A",K1671,IF(N1671="B",L1671,M1671)))))</f>
        <v/>
      </c>
      <c r="W1671" s="22">
        <f>IF(R1671="",O1671,MAX(V1671-R1671-N(S1671),0))</f>
        <v/>
      </c>
      <c r="X1671" s="20" t="n"/>
      <c r="Y1671" s="23">
        <f>IF(OR(X1671="",W1671=0),"",X1671/W1671-1)</f>
        <v/>
      </c>
      <c r="Z1671" s="24" t="n"/>
      <c r="AA1671" s="21" t="n"/>
      <c r="AB1671" s="25" t="n"/>
      <c r="AC1671" s="26">
        <f>IF(T1671="","Chưa quyết định",IF(OR(Z1671="",AA1671=""),"⚠ Thiếu lý do/người duyệt",IF(AND(X1671&lt;&gt;"",N(X1671)+N(R1671)+N(S1671)&gt;M1671*1.001,R1671&lt;&gt;""),"⚠ Vượt mục tiêu P90",IF(AND(Y1671&lt;&gt;"",ABS(N(Y1671))&gt;0.3),"⚠ Lệch &gt; 30% so với nhu cầu",IF(Q1671="Có","ℹ Kiểm tra ngoại suy KM","✓ Hợp lệ")))))</f>
        <v/>
      </c>
    </row>
    <row r="1672">
      <c r="A1672" s="16" t="n">
        <v>1668</v>
      </c>
      <c r="B1672" s="17" t="inlineStr">
        <is>
          <t>DEC-S16-EGGS</t>
        </is>
      </c>
      <c r="C1672" s="16" t="n">
        <v>16</v>
      </c>
      <c r="D1672" s="17" t="inlineStr">
        <is>
          <t>EGGS</t>
        </is>
      </c>
      <c r="E1672" s="17" t="inlineStr">
        <is>
          <t>MEDIUM</t>
        </is>
      </c>
      <c r="F1672" s="17" t="inlineStr">
        <is>
          <t>CAO</t>
        </is>
      </c>
      <c r="G1672" s="18" t="inlineStr">
        <is>
          <t>RISK_MEDIUM</t>
        </is>
      </c>
      <c r="H1672" s="19" t="n">
        <v>1839.457270935059</v>
      </c>
      <c r="I1672" s="19" t="n">
        <v>2510.822175964356</v>
      </c>
      <c r="J1672" s="19" t="n">
        <v>3321.99353314209</v>
      </c>
      <c r="K1672" s="19" t="n">
        <v>2510.822175964356</v>
      </c>
      <c r="L1672" s="19" t="n">
        <v>3017.80427420044</v>
      </c>
      <c r="M1672" s="19" t="n">
        <v>3321.99353314209</v>
      </c>
      <c r="N1672" s="17" t="inlineStr">
        <is>
          <t>C</t>
        </is>
      </c>
      <c r="O1672" s="19" t="n">
        <v>1313.335792370605</v>
      </c>
      <c r="P1672" s="18" t="inlineStr">
        <is>
          <t>CÂN NHẮC THỬ NGHIỆM</t>
        </is>
      </c>
      <c r="Q1672" s="17" t="inlineStr">
        <is>
          <t>Không</t>
        </is>
      </c>
      <c r="R1672" s="20" t="n"/>
      <c r="S1672" s="20" t="n"/>
      <c r="T1672" s="21" t="n"/>
      <c r="U1672" s="21" t="n"/>
      <c r="V1672" s="22">
        <f>IF(U1672="A",K1672,IF(U1672="B",L1672,IF(U1672="C",M1672,IF(N1672="A",K1672,IF(N1672="B",L1672,M1672)))))</f>
        <v/>
      </c>
      <c r="W1672" s="22">
        <f>IF(R1672="",O1672,MAX(V1672-R1672-N(S1672),0))</f>
        <v/>
      </c>
      <c r="X1672" s="20" t="n"/>
      <c r="Y1672" s="23">
        <f>IF(OR(X1672="",W1672=0),"",X1672/W1672-1)</f>
        <v/>
      </c>
      <c r="Z1672" s="24" t="n"/>
      <c r="AA1672" s="21" t="n"/>
      <c r="AB1672" s="25" t="n"/>
      <c r="AC1672" s="26">
        <f>IF(T1672="","Chưa quyết định",IF(OR(Z1672="",AA1672=""),"⚠ Thiếu lý do/người duyệt",IF(AND(X1672&lt;&gt;"",N(X1672)+N(R1672)+N(S1672)&gt;M1672*1.001,R1672&lt;&gt;""),"⚠ Vượt mục tiêu P90",IF(AND(Y1672&lt;&gt;"",ABS(N(Y1672))&gt;0.3),"⚠ Lệch &gt; 30% so với nhu cầu",IF(Q1672="Có","ℹ Kiểm tra ngoại suy KM","✓ Hợp lệ")))))</f>
        <v/>
      </c>
    </row>
    <row r="1673">
      <c r="A1673" s="16" t="n">
        <v>1669</v>
      </c>
      <c r="B1673" s="17" t="inlineStr">
        <is>
          <t>DEC-S36-EGGS</t>
        </is>
      </c>
      <c r="C1673" s="16" t="n">
        <v>36</v>
      </c>
      <c r="D1673" s="17" t="inlineStr">
        <is>
          <t>EGGS</t>
        </is>
      </c>
      <c r="E1673" s="17" t="inlineStr">
        <is>
          <t>MEDIUM</t>
        </is>
      </c>
      <c r="F1673" s="17" t="inlineStr">
        <is>
          <t>CAO</t>
        </is>
      </c>
      <c r="G1673" s="18" t="inlineStr">
        <is>
          <t>RISK_MEDIUM</t>
        </is>
      </c>
      <c r="H1673" s="19" t="n">
        <v>1849.05219506836</v>
      </c>
      <c r="I1673" s="19" t="n">
        <v>2501.656898010254</v>
      </c>
      <c r="J1673" s="19" t="n">
        <v>3284.569334594727</v>
      </c>
      <c r="K1673" s="19" t="n">
        <v>2501.656898010254</v>
      </c>
      <c r="L1673" s="19" t="n">
        <v>2990.977170875549</v>
      </c>
      <c r="M1673" s="19" t="n">
        <v>3284.569334594727</v>
      </c>
      <c r="N1673" s="17" t="inlineStr">
        <is>
          <t>C</t>
        </is>
      </c>
      <c r="O1673" s="19" t="n">
        <v>1283.243816186523</v>
      </c>
      <c r="P1673" s="18" t="inlineStr">
        <is>
          <t>CÂN NHẮC THỬ NGHIỆM</t>
        </is>
      </c>
      <c r="Q1673" s="17" t="inlineStr">
        <is>
          <t>Không</t>
        </is>
      </c>
      <c r="R1673" s="20" t="n"/>
      <c r="S1673" s="20" t="n"/>
      <c r="T1673" s="21" t="n"/>
      <c r="U1673" s="21" t="n"/>
      <c r="V1673" s="22">
        <f>IF(U1673="A",K1673,IF(U1673="B",L1673,IF(U1673="C",M1673,IF(N1673="A",K1673,IF(N1673="B",L1673,M1673)))))</f>
        <v/>
      </c>
      <c r="W1673" s="22">
        <f>IF(R1673="",O1673,MAX(V1673-R1673-N(S1673),0))</f>
        <v/>
      </c>
      <c r="X1673" s="20" t="n"/>
      <c r="Y1673" s="23">
        <f>IF(OR(X1673="",W1673=0),"",X1673/W1673-1)</f>
        <v/>
      </c>
      <c r="Z1673" s="24" t="n"/>
      <c r="AA1673" s="21" t="n"/>
      <c r="AB1673" s="25" t="n"/>
      <c r="AC1673" s="26">
        <f>IF(T1673="","Chưa quyết định",IF(OR(Z1673="",AA1673=""),"⚠ Thiếu lý do/người duyệt",IF(AND(X1673&lt;&gt;"",N(X1673)+N(R1673)+N(S1673)&gt;M1673*1.001,R1673&lt;&gt;""),"⚠ Vượt mục tiêu P90",IF(AND(Y1673&lt;&gt;"",ABS(N(Y1673))&gt;0.3),"⚠ Lệch &gt; 30% so với nhu cầu",IF(Q1673="Có","ℹ Kiểm tra ngoại suy KM","✓ Hợp lệ")))))</f>
        <v/>
      </c>
    </row>
    <row r="1674">
      <c r="A1674" s="16" t="n">
        <v>1670</v>
      </c>
      <c r="B1674" s="17" t="inlineStr">
        <is>
          <t>DEC-S42-EGGS</t>
        </is>
      </c>
      <c r="C1674" s="16" t="n">
        <v>42</v>
      </c>
      <c r="D1674" s="17" t="inlineStr">
        <is>
          <t>EGGS</t>
        </is>
      </c>
      <c r="E1674" s="17" t="inlineStr">
        <is>
          <t>MEDIUM</t>
        </is>
      </c>
      <c r="F1674" s="17" t="inlineStr">
        <is>
          <t>CAO</t>
        </is>
      </c>
      <c r="G1674" s="18" t="inlineStr">
        <is>
          <t>RISK_MEDIUM</t>
        </is>
      </c>
      <c r="H1674" s="19" t="n">
        <v>1862.643525756836</v>
      </c>
      <c r="I1674" s="19" t="n">
        <v>2496.488026611328</v>
      </c>
      <c r="J1674" s="19" t="n">
        <v>3251.141542602539</v>
      </c>
      <c r="K1674" s="19" t="n">
        <v>2496.488026611328</v>
      </c>
      <c r="L1674" s="19" t="n">
        <v>2968.146474105835</v>
      </c>
      <c r="M1674" s="19" t="n">
        <v>3251.141542602539</v>
      </c>
      <c r="N1674" s="17" t="inlineStr">
        <is>
          <t>C</t>
        </is>
      </c>
      <c r="O1674" s="19" t="n">
        <v>1253.951121313476</v>
      </c>
      <c r="P1674" s="18" t="inlineStr">
        <is>
          <t>CÂN NHẮC THỬ NGHIỆM</t>
        </is>
      </c>
      <c r="Q1674" s="17" t="inlineStr">
        <is>
          <t>Không</t>
        </is>
      </c>
      <c r="R1674" s="20" t="n"/>
      <c r="S1674" s="20" t="n"/>
      <c r="T1674" s="21" t="n"/>
      <c r="U1674" s="21" t="n"/>
      <c r="V1674" s="22">
        <f>IF(U1674="A",K1674,IF(U1674="B",L1674,IF(U1674="C",M1674,IF(N1674="A",K1674,IF(N1674="B",L1674,M1674)))))</f>
        <v/>
      </c>
      <c r="W1674" s="22">
        <f>IF(R1674="",O1674,MAX(V1674-R1674-N(S1674),0))</f>
        <v/>
      </c>
      <c r="X1674" s="20" t="n"/>
      <c r="Y1674" s="23">
        <f>IF(OR(X1674="",W1674=0),"",X1674/W1674-1)</f>
        <v/>
      </c>
      <c r="Z1674" s="24" t="n"/>
      <c r="AA1674" s="21" t="n"/>
      <c r="AB1674" s="25" t="n"/>
      <c r="AC1674" s="26">
        <f>IF(T1674="","Chưa quyết định",IF(OR(Z1674="",AA1674=""),"⚠ Thiếu lý do/người duyệt",IF(AND(X1674&lt;&gt;"",N(X1674)+N(R1674)+N(S1674)&gt;M1674*1.001,R1674&lt;&gt;""),"⚠ Vượt mục tiêu P90",IF(AND(Y1674&lt;&gt;"",ABS(N(Y1674))&gt;0.3),"⚠ Lệch &gt; 30% so với nhu cầu",IF(Q1674="Có","ℹ Kiểm tra ngoại suy KM","✓ Hợp lệ")))))</f>
        <v/>
      </c>
    </row>
    <row r="1675">
      <c r="A1675" s="16" t="n">
        <v>1671</v>
      </c>
      <c r="B1675" s="17" t="inlineStr">
        <is>
          <t>DEC-S41-FROZEN_FOODS</t>
        </is>
      </c>
      <c r="C1675" s="16" t="n">
        <v>41</v>
      </c>
      <c r="D1675" s="17" t="inlineStr">
        <is>
          <t>FROZEN FOODS</t>
        </is>
      </c>
      <c r="E1675" s="17" t="inlineStr">
        <is>
          <t>MEDIUM</t>
        </is>
      </c>
      <c r="F1675" s="17" t="inlineStr">
        <is>
          <t>CAO</t>
        </is>
      </c>
      <c r="G1675" s="18" t="inlineStr">
        <is>
          <t>RISK_MEDIUM</t>
        </is>
      </c>
      <c r="H1675" s="19" t="n">
        <v>1842.878374572754</v>
      </c>
      <c r="I1675" s="19" t="n">
        <v>2495.483077514648</v>
      </c>
      <c r="J1675" s="19" t="n">
        <v>3278.395514099121</v>
      </c>
      <c r="K1675" s="19" t="n">
        <v>2495.483077514648</v>
      </c>
      <c r="L1675" s="19" t="n">
        <v>2984.803350379944</v>
      </c>
      <c r="M1675" s="19" t="n">
        <v>3278.395514099121</v>
      </c>
      <c r="N1675" s="17" t="inlineStr">
        <is>
          <t>C</t>
        </is>
      </c>
      <c r="O1675" s="19" t="n">
        <v>1282.009052087402</v>
      </c>
      <c r="P1675" s="18" t="inlineStr">
        <is>
          <t>CÂN NHẮC THỬ NGHIỆM</t>
        </is>
      </c>
      <c r="Q1675" s="17" t="inlineStr">
        <is>
          <t>Không</t>
        </is>
      </c>
      <c r="R1675" s="20" t="n"/>
      <c r="S1675" s="20" t="n"/>
      <c r="T1675" s="21" t="n"/>
      <c r="U1675" s="21" t="n"/>
      <c r="V1675" s="22">
        <f>IF(U1675="A",K1675,IF(U1675="B",L1675,IF(U1675="C",M1675,IF(N1675="A",K1675,IF(N1675="B",L1675,M1675)))))</f>
        <v/>
      </c>
      <c r="W1675" s="22">
        <f>IF(R1675="",O1675,MAX(V1675-R1675-N(S1675),0))</f>
        <v/>
      </c>
      <c r="X1675" s="20" t="n"/>
      <c r="Y1675" s="23">
        <f>IF(OR(X1675="",W1675=0),"",X1675/W1675-1)</f>
        <v/>
      </c>
      <c r="Z1675" s="24" t="n"/>
      <c r="AA1675" s="21" t="n"/>
      <c r="AB1675" s="25" t="n"/>
      <c r="AC1675" s="26">
        <f>IF(T1675="","Chưa quyết định",IF(OR(Z1675="",AA1675=""),"⚠ Thiếu lý do/người duyệt",IF(AND(X1675&lt;&gt;"",N(X1675)+N(R1675)+N(S1675)&gt;M1675*1.001,R1675&lt;&gt;""),"⚠ Vượt mục tiêu P90",IF(AND(Y1675&lt;&gt;"",ABS(N(Y1675))&gt;0.3),"⚠ Lệch &gt; 30% so với nhu cầu",IF(Q1675="Có","ℹ Kiểm tra ngoại suy KM","✓ Hợp lệ")))))</f>
        <v/>
      </c>
    </row>
    <row r="1676">
      <c r="A1676" s="16" t="n">
        <v>1672</v>
      </c>
      <c r="B1676" s="17" t="inlineStr">
        <is>
          <t>DEC-S27-LIQUOR_WINE_BEER</t>
        </is>
      </c>
      <c r="C1676" s="16" t="n">
        <v>27</v>
      </c>
      <c r="D1676" s="17" t="inlineStr">
        <is>
          <t>LIQUOR,WINE,BEER</t>
        </is>
      </c>
      <c r="E1676" s="17" t="inlineStr">
        <is>
          <t>MEDIUM</t>
        </is>
      </c>
      <c r="F1676" s="17" t="inlineStr">
        <is>
          <t>CAO</t>
        </is>
      </c>
      <c r="G1676" s="18" t="inlineStr">
        <is>
          <t>RISK_MEDIUM</t>
        </is>
      </c>
      <c r="H1676" s="19" t="n">
        <v>1795.490532073975</v>
      </c>
      <c r="I1676" s="19" t="n">
        <v>2467.372837524414</v>
      </c>
      <c r="J1676" s="19" t="n">
        <v>3289.860542144776</v>
      </c>
      <c r="K1676" s="19" t="n">
        <v>2467.372837524414</v>
      </c>
      <c r="L1676" s="19" t="n">
        <v>2981.42765291214</v>
      </c>
      <c r="M1676" s="19" t="n">
        <v>3289.860542144776</v>
      </c>
      <c r="N1676" s="17" t="inlineStr">
        <is>
          <t>C</t>
        </is>
      </c>
      <c r="O1676" s="19" t="n">
        <v>1315.962272125244</v>
      </c>
      <c r="P1676" s="18" t="inlineStr">
        <is>
          <t>CÂN NHẮC THỬ NGHIỆM</t>
        </is>
      </c>
      <c r="Q1676" s="17" t="inlineStr">
        <is>
          <t>Không</t>
        </is>
      </c>
      <c r="R1676" s="20" t="n"/>
      <c r="S1676" s="20" t="n"/>
      <c r="T1676" s="21" t="n"/>
      <c r="U1676" s="21" t="n"/>
      <c r="V1676" s="22">
        <f>IF(U1676="A",K1676,IF(U1676="B",L1676,IF(U1676="C",M1676,IF(N1676="A",K1676,IF(N1676="B",L1676,M1676)))))</f>
        <v/>
      </c>
      <c r="W1676" s="22">
        <f>IF(R1676="",O1676,MAX(V1676-R1676-N(S1676),0))</f>
        <v/>
      </c>
      <c r="X1676" s="20" t="n"/>
      <c r="Y1676" s="23">
        <f>IF(OR(X1676="",W1676=0),"",X1676/W1676-1)</f>
        <v/>
      </c>
      <c r="Z1676" s="24" t="n"/>
      <c r="AA1676" s="21" t="n"/>
      <c r="AB1676" s="25" t="n"/>
      <c r="AC1676" s="26">
        <f>IF(T1676="","Chưa quyết định",IF(OR(Z1676="",AA1676=""),"⚠ Thiếu lý do/người duyệt",IF(AND(X1676&lt;&gt;"",N(X1676)+N(R1676)+N(S1676)&gt;M1676*1.001,R1676&lt;&gt;""),"⚠ Vượt mục tiêu P90",IF(AND(Y1676&lt;&gt;"",ABS(N(Y1676))&gt;0.3),"⚠ Lệch &gt; 30% so với nhu cầu",IF(Q1676="Có","ℹ Kiểm tra ngoại suy KM","✓ Hợp lệ")))))</f>
        <v/>
      </c>
    </row>
    <row r="1677">
      <c r="A1677" s="16" t="n">
        <v>1673</v>
      </c>
      <c r="B1677" s="17" t="inlineStr">
        <is>
          <t>DEC-S35-EGGS</t>
        </is>
      </c>
      <c r="C1677" s="16" t="n">
        <v>35</v>
      </c>
      <c r="D1677" s="17" t="inlineStr">
        <is>
          <t>EGGS</t>
        </is>
      </c>
      <c r="E1677" s="17" t="inlineStr">
        <is>
          <t>MEDIUM</t>
        </is>
      </c>
      <c r="F1677" s="17" t="inlineStr">
        <is>
          <t>CAO</t>
        </is>
      </c>
      <c r="G1677" s="18" t="inlineStr">
        <is>
          <t>RISK_MEDIUM</t>
        </is>
      </c>
      <c r="H1677" s="19" t="n">
        <v>1793.081691101075</v>
      </c>
      <c r="I1677" s="19" t="n">
        <v>2464.446596130372</v>
      </c>
      <c r="J1677" s="19" t="n">
        <v>3275.617953308105</v>
      </c>
      <c r="K1677" s="19" t="n">
        <v>2464.446596130372</v>
      </c>
      <c r="L1677" s="19" t="n">
        <v>2971.428694366455</v>
      </c>
      <c r="M1677" s="19" t="n">
        <v>3275.617953308105</v>
      </c>
      <c r="N1677" s="17" t="inlineStr">
        <is>
          <t>C</t>
        </is>
      </c>
      <c r="O1677" s="19" t="n">
        <v>1304.060676403809</v>
      </c>
      <c r="P1677" s="18" t="inlineStr">
        <is>
          <t>CÂN NHẮC THỬ NGHIỆM</t>
        </is>
      </c>
      <c r="Q1677" s="17" t="inlineStr">
        <is>
          <t>Không</t>
        </is>
      </c>
      <c r="R1677" s="20" t="n"/>
      <c r="S1677" s="20" t="n"/>
      <c r="T1677" s="21" t="n"/>
      <c r="U1677" s="21" t="n"/>
      <c r="V1677" s="22">
        <f>IF(U1677="A",K1677,IF(U1677="B",L1677,IF(U1677="C",M1677,IF(N1677="A",K1677,IF(N1677="B",L1677,M1677)))))</f>
        <v/>
      </c>
      <c r="W1677" s="22">
        <f>IF(R1677="",O1677,MAX(V1677-R1677-N(S1677),0))</f>
        <v/>
      </c>
      <c r="X1677" s="20" t="n"/>
      <c r="Y1677" s="23">
        <f>IF(OR(X1677="",W1677=0),"",X1677/W1677-1)</f>
        <v/>
      </c>
      <c r="Z1677" s="24" t="n"/>
      <c r="AA1677" s="21" t="n"/>
      <c r="AB1677" s="25" t="n"/>
      <c r="AC1677" s="26">
        <f>IF(T1677="","Chưa quyết định",IF(OR(Z1677="",AA1677=""),"⚠ Thiếu lý do/người duyệt",IF(AND(X1677&lt;&gt;"",N(X1677)+N(R1677)+N(S1677)&gt;M1677*1.001,R1677&lt;&gt;""),"⚠ Vượt mục tiêu P90",IF(AND(Y1677&lt;&gt;"",ABS(N(Y1677))&gt;0.3),"⚠ Lệch &gt; 30% so với nhu cầu",IF(Q1677="Có","ℹ Kiểm tra ngoại suy KM","✓ Hợp lệ")))))</f>
        <v/>
      </c>
    </row>
    <row r="1678">
      <c r="A1678" s="16" t="n">
        <v>1674</v>
      </c>
      <c r="B1678" s="17" t="inlineStr">
        <is>
          <t>DEC-S08-PREPARED_FOODS</t>
        </is>
      </c>
      <c r="C1678" s="16" t="n">
        <v>8</v>
      </c>
      <c r="D1678" s="17" t="inlineStr">
        <is>
          <t>PREPARED FOODS</t>
        </is>
      </c>
      <c r="E1678" s="17" t="inlineStr">
        <is>
          <t>MEDIUM</t>
        </is>
      </c>
      <c r="F1678" s="17" t="inlineStr">
        <is>
          <t>CAO</t>
        </is>
      </c>
      <c r="G1678" s="18" t="inlineStr">
        <is>
          <t>RISK_MEDIUM</t>
        </is>
      </c>
      <c r="H1678" s="19" t="n">
        <v>1811.284922119141</v>
      </c>
      <c r="I1678" s="19" t="n">
        <v>2463.889625061035</v>
      </c>
      <c r="J1678" s="19" t="n">
        <v>3246.802061645508</v>
      </c>
      <c r="K1678" s="19" t="n">
        <v>2463.889625061035</v>
      </c>
      <c r="L1678" s="19" t="n">
        <v>2953.209897926331</v>
      </c>
      <c r="M1678" s="19" t="n">
        <v>3246.802061645508</v>
      </c>
      <c r="N1678" s="17" t="inlineStr">
        <is>
          <t>C</t>
        </is>
      </c>
      <c r="O1678" s="19" t="n">
        <v>1275.69036159668</v>
      </c>
      <c r="P1678" s="18" t="inlineStr">
        <is>
          <t>CÂN NHẮC THỬ NGHIỆM</t>
        </is>
      </c>
      <c r="Q1678" s="17" t="inlineStr">
        <is>
          <t>Không</t>
        </is>
      </c>
      <c r="R1678" s="20" t="n"/>
      <c r="S1678" s="20" t="n"/>
      <c r="T1678" s="21" t="n"/>
      <c r="U1678" s="21" t="n"/>
      <c r="V1678" s="22">
        <f>IF(U1678="A",K1678,IF(U1678="B",L1678,IF(U1678="C",M1678,IF(N1678="A",K1678,IF(N1678="B",L1678,M1678)))))</f>
        <v/>
      </c>
      <c r="W1678" s="22">
        <f>IF(R1678="",O1678,MAX(V1678-R1678-N(S1678),0))</f>
        <v/>
      </c>
      <c r="X1678" s="20" t="n"/>
      <c r="Y1678" s="23">
        <f>IF(OR(X1678="",W1678=0),"",X1678/W1678-1)</f>
        <v/>
      </c>
      <c r="Z1678" s="24" t="n"/>
      <c r="AA1678" s="21" t="n"/>
      <c r="AB1678" s="25" t="n"/>
      <c r="AC1678" s="26">
        <f>IF(T1678="","Chưa quyết định",IF(OR(Z1678="",AA1678=""),"⚠ Thiếu lý do/người duyệt",IF(AND(X1678&lt;&gt;"",N(X1678)+N(R1678)+N(S1678)&gt;M1678*1.001,R1678&lt;&gt;""),"⚠ Vượt mục tiêu P90",IF(AND(Y1678&lt;&gt;"",ABS(N(Y1678))&gt;0.3),"⚠ Lệch &gt; 30% so với nhu cầu",IF(Q1678="Có","ℹ Kiểm tra ngoại suy KM","✓ Hợp lệ")))))</f>
        <v/>
      </c>
    </row>
    <row r="1679">
      <c r="A1679" s="16" t="n">
        <v>1675</v>
      </c>
      <c r="B1679" s="17" t="inlineStr">
        <is>
          <t>DEC-S30-EGGS</t>
        </is>
      </c>
      <c r="C1679" s="16" t="n">
        <v>30</v>
      </c>
      <c r="D1679" s="17" t="inlineStr">
        <is>
          <t>EGGS</t>
        </is>
      </c>
      <c r="E1679" s="17" t="inlineStr">
        <is>
          <t>MEDIUM</t>
        </is>
      </c>
      <c r="F1679" s="17" t="inlineStr">
        <is>
          <t>CAO</t>
        </is>
      </c>
      <c r="G1679" s="18" t="inlineStr">
        <is>
          <t>RISK_MEDIUM</t>
        </is>
      </c>
      <c r="H1679" s="19" t="n">
        <v>1800.555384155273</v>
      </c>
      <c r="I1679" s="19" t="n">
        <v>2453.160087097168</v>
      </c>
      <c r="J1679" s="19" t="n">
        <v>3236.072523681641</v>
      </c>
      <c r="K1679" s="19" t="n">
        <v>2453.160087097168</v>
      </c>
      <c r="L1679" s="19" t="n">
        <v>2942.480359962463</v>
      </c>
      <c r="M1679" s="19" t="n">
        <v>3236.072523681641</v>
      </c>
      <c r="N1679" s="17" t="inlineStr">
        <is>
          <t>C</t>
        </is>
      </c>
      <c r="O1679" s="19" t="n">
        <v>1273.544454003906</v>
      </c>
      <c r="P1679" s="18" t="inlineStr">
        <is>
          <t>CÂN NHẮC THỬ NGHIỆM</t>
        </is>
      </c>
      <c r="Q1679" s="17" t="inlineStr">
        <is>
          <t>Không</t>
        </is>
      </c>
      <c r="R1679" s="20" t="n"/>
      <c r="S1679" s="20" t="n"/>
      <c r="T1679" s="21" t="n"/>
      <c r="U1679" s="21" t="n"/>
      <c r="V1679" s="22">
        <f>IF(U1679="A",K1679,IF(U1679="B",L1679,IF(U1679="C",M1679,IF(N1679="A",K1679,IF(N1679="B",L1679,M1679)))))</f>
        <v/>
      </c>
      <c r="W1679" s="22">
        <f>IF(R1679="",O1679,MAX(V1679-R1679-N(S1679),0))</f>
        <v/>
      </c>
      <c r="X1679" s="20" t="n"/>
      <c r="Y1679" s="23">
        <f>IF(OR(X1679="",W1679=0),"",X1679/W1679-1)</f>
        <v/>
      </c>
      <c r="Z1679" s="24" t="n"/>
      <c r="AA1679" s="21" t="n"/>
      <c r="AB1679" s="25" t="n"/>
      <c r="AC1679" s="26">
        <f>IF(T1679="","Chưa quyết định",IF(OR(Z1679="",AA1679=""),"⚠ Thiếu lý do/người duyệt",IF(AND(X1679&lt;&gt;"",N(X1679)+N(R1679)+N(S1679)&gt;M1679*1.001,R1679&lt;&gt;""),"⚠ Vượt mục tiêu P90",IF(AND(Y1679&lt;&gt;"",ABS(N(Y1679))&gt;0.3),"⚠ Lệch &gt; 30% so với nhu cầu",IF(Q1679="Có","ℹ Kiểm tra ngoại suy KM","✓ Hợp lệ")))))</f>
        <v/>
      </c>
    </row>
    <row r="1680">
      <c r="A1680" s="16" t="n">
        <v>1676</v>
      </c>
      <c r="B1680" s="17" t="inlineStr">
        <is>
          <t>DEC-S01-PERSONAL_CARE</t>
        </is>
      </c>
      <c r="C1680" s="16" t="n">
        <v>1</v>
      </c>
      <c r="D1680" s="17" t="inlineStr">
        <is>
          <t>PERSONAL CARE</t>
        </is>
      </c>
      <c r="E1680" s="17" t="inlineStr">
        <is>
          <t>MEDIUM</t>
        </is>
      </c>
      <c r="F1680" s="17" t="inlineStr">
        <is>
          <t>CAO</t>
        </is>
      </c>
      <c r="G1680" s="18" t="inlineStr">
        <is>
          <t>RISK_MEDIUM</t>
        </is>
      </c>
      <c r="H1680" s="19" t="n">
        <v>1837.473755676269</v>
      </c>
      <c r="I1680" s="19" t="n">
        <v>2452.558054443359</v>
      </c>
      <c r="J1680" s="19" t="n">
        <v>3178.952649841308</v>
      </c>
      <c r="K1680" s="19" t="n">
        <v>2452.558054443359</v>
      </c>
      <c r="L1680" s="19" t="n">
        <v>2906.554676567077</v>
      </c>
      <c r="M1680" s="19" t="n">
        <v>3178.952649841308</v>
      </c>
      <c r="N1680" s="17" t="inlineStr">
        <is>
          <t>C</t>
        </is>
      </c>
      <c r="O1680" s="19" t="n">
        <v>1216.906206286621</v>
      </c>
      <c r="P1680" s="18" t="inlineStr">
        <is>
          <t>KHÔNG ĐỀ XUẤT TĂNG</t>
        </is>
      </c>
      <c r="Q1680" s="17" t="inlineStr">
        <is>
          <t>Không</t>
        </is>
      </c>
      <c r="R1680" s="20" t="n"/>
      <c r="S1680" s="20" t="n"/>
      <c r="T1680" s="21" t="n"/>
      <c r="U1680" s="21" t="n"/>
      <c r="V1680" s="22">
        <f>IF(U1680="A",K1680,IF(U1680="B",L1680,IF(U1680="C",M1680,IF(N1680="A",K1680,IF(N1680="B",L1680,M1680)))))</f>
        <v/>
      </c>
      <c r="W1680" s="22">
        <f>IF(R1680="",O1680,MAX(V1680-R1680-N(S1680),0))</f>
        <v/>
      </c>
      <c r="X1680" s="20" t="n"/>
      <c r="Y1680" s="23">
        <f>IF(OR(X1680="",W1680=0),"",X1680/W1680-1)</f>
        <v/>
      </c>
      <c r="Z1680" s="24" t="n"/>
      <c r="AA1680" s="21" t="n"/>
      <c r="AB1680" s="25" t="n"/>
      <c r="AC1680" s="26">
        <f>IF(T1680="","Chưa quyết định",IF(OR(Z1680="",AA1680=""),"⚠ Thiếu lý do/người duyệt",IF(AND(X1680&lt;&gt;"",N(X1680)+N(R1680)+N(S1680)&gt;M1680*1.001,R1680&lt;&gt;""),"⚠ Vượt mục tiêu P90",IF(AND(Y1680&lt;&gt;"",ABS(N(Y1680))&gt;0.3),"⚠ Lệch &gt; 30% so với nhu cầu",IF(Q1680="Có","ℹ Kiểm tra ngoại suy KM","✓ Hợp lệ")))))</f>
        <v/>
      </c>
    </row>
    <row r="1681">
      <c r="A1681" s="16" t="n">
        <v>1677</v>
      </c>
      <c r="B1681" s="17" t="inlineStr">
        <is>
          <t>DEC-S08-LIQUOR_WINE_BEER</t>
        </is>
      </c>
      <c r="C1681" s="16" t="n">
        <v>8</v>
      </c>
      <c r="D1681" s="17" t="inlineStr">
        <is>
          <t>LIQUOR,WINE,BEER</t>
        </is>
      </c>
      <c r="E1681" s="17" t="inlineStr">
        <is>
          <t>MEDIUM</t>
        </is>
      </c>
      <c r="F1681" s="17" t="inlineStr">
        <is>
          <t>CAO</t>
        </is>
      </c>
      <c r="G1681" s="18" t="inlineStr">
        <is>
          <t>RISK_MEDIUM</t>
        </is>
      </c>
      <c r="H1681" s="19" t="n">
        <v>1779.315768554688</v>
      </c>
      <c r="I1681" s="19" t="n">
        <v>2450.680673583985</v>
      </c>
      <c r="J1681" s="19" t="n">
        <v>3261.852030761719</v>
      </c>
      <c r="K1681" s="19" t="n">
        <v>2450.680673583985</v>
      </c>
      <c r="L1681" s="19" t="n">
        <v>2957.662771820068</v>
      </c>
      <c r="M1681" s="19" t="n">
        <v>3261.852030761719</v>
      </c>
      <c r="N1681" s="17" t="inlineStr">
        <is>
          <t>C</t>
        </is>
      </c>
      <c r="O1681" s="19" t="n">
        <v>1301.307491894531</v>
      </c>
      <c r="P1681" s="18" t="inlineStr">
        <is>
          <t>CÂN NHẮC THỬ NGHIỆM</t>
        </is>
      </c>
      <c r="Q1681" s="17" t="inlineStr">
        <is>
          <t>Không</t>
        </is>
      </c>
      <c r="R1681" s="20" t="n"/>
      <c r="S1681" s="20" t="n"/>
      <c r="T1681" s="21" t="n"/>
      <c r="U1681" s="21" t="n"/>
      <c r="V1681" s="22">
        <f>IF(U1681="A",K1681,IF(U1681="B",L1681,IF(U1681="C",M1681,IF(N1681="A",K1681,IF(N1681="B",L1681,M1681)))))</f>
        <v/>
      </c>
      <c r="W1681" s="22">
        <f>IF(R1681="",O1681,MAX(V1681-R1681-N(S1681),0))</f>
        <v/>
      </c>
      <c r="X1681" s="20" t="n"/>
      <c r="Y1681" s="23">
        <f>IF(OR(X1681="",W1681=0),"",X1681/W1681-1)</f>
        <v/>
      </c>
      <c r="Z1681" s="24" t="n"/>
      <c r="AA1681" s="21" t="n"/>
      <c r="AB1681" s="25" t="n"/>
      <c r="AC1681" s="26">
        <f>IF(T1681="","Chưa quyết định",IF(OR(Z1681="",AA1681=""),"⚠ Thiếu lý do/người duyệt",IF(AND(X1681&lt;&gt;"",N(X1681)+N(R1681)+N(S1681)&gt;M1681*1.001,R1681&lt;&gt;""),"⚠ Vượt mục tiêu P90",IF(AND(Y1681&lt;&gt;"",ABS(N(Y1681))&gt;0.3),"⚠ Lệch &gt; 30% so với nhu cầu",IF(Q1681="Có","ℹ Kiểm tra ngoại suy KM","✓ Hợp lệ")))))</f>
        <v/>
      </c>
    </row>
    <row r="1682">
      <c r="A1682" s="16" t="n">
        <v>1678</v>
      </c>
      <c r="B1682" s="17" t="inlineStr">
        <is>
          <t>DEC-S04-EGGS</t>
        </is>
      </c>
      <c r="C1682" s="16" t="n">
        <v>4</v>
      </c>
      <c r="D1682" s="17" t="inlineStr">
        <is>
          <t>EGGS</t>
        </is>
      </c>
      <c r="E1682" s="17" t="inlineStr">
        <is>
          <t>MEDIUM</t>
        </is>
      </c>
      <c r="F1682" s="17" t="inlineStr">
        <is>
          <t>CAO</t>
        </is>
      </c>
      <c r="G1682" s="18" t="inlineStr">
        <is>
          <t>RISK_MEDIUM</t>
        </is>
      </c>
      <c r="H1682" s="19" t="n">
        <v>1804.582330383301</v>
      </c>
      <c r="I1682" s="19" t="n">
        <v>2438.426831237793</v>
      </c>
      <c r="J1682" s="19" t="n">
        <v>3193.080347229004</v>
      </c>
      <c r="K1682" s="19" t="n">
        <v>2438.426831237793</v>
      </c>
      <c r="L1682" s="19" t="n">
        <v>2910.0852787323</v>
      </c>
      <c r="M1682" s="19" t="n">
        <v>3193.080347229004</v>
      </c>
      <c r="N1682" s="17" t="inlineStr">
        <is>
          <t>C</t>
        </is>
      </c>
      <c r="O1682" s="19" t="n">
        <v>1242.33888223877</v>
      </c>
      <c r="P1682" s="18" t="inlineStr">
        <is>
          <t>CÂN NHẮC THỬ NGHIỆM</t>
        </is>
      </c>
      <c r="Q1682" s="17" t="inlineStr">
        <is>
          <t>Không</t>
        </is>
      </c>
      <c r="R1682" s="20" t="n"/>
      <c r="S1682" s="20" t="n"/>
      <c r="T1682" s="21" t="n"/>
      <c r="U1682" s="21" t="n"/>
      <c r="V1682" s="22">
        <f>IF(U1682="A",K1682,IF(U1682="B",L1682,IF(U1682="C",M1682,IF(N1682="A",K1682,IF(N1682="B",L1682,M1682)))))</f>
        <v/>
      </c>
      <c r="W1682" s="22">
        <f>IF(R1682="",O1682,MAX(V1682-R1682-N(S1682),0))</f>
        <v/>
      </c>
      <c r="X1682" s="20" t="n"/>
      <c r="Y1682" s="23">
        <f>IF(OR(X1682="",W1682=0),"",X1682/W1682-1)</f>
        <v/>
      </c>
      <c r="Z1682" s="24" t="n"/>
      <c r="AA1682" s="21" t="n"/>
      <c r="AB1682" s="25" t="n"/>
      <c r="AC1682" s="26">
        <f>IF(T1682="","Chưa quyết định",IF(OR(Z1682="",AA1682=""),"⚠ Thiếu lý do/người duyệt",IF(AND(X1682&lt;&gt;"",N(X1682)+N(R1682)+N(S1682)&gt;M1682*1.001,R1682&lt;&gt;""),"⚠ Vượt mục tiêu P90",IF(AND(Y1682&lt;&gt;"",ABS(N(Y1682))&gt;0.3),"⚠ Lệch &gt; 30% so với nhu cầu",IF(Q1682="Có","ℹ Kiểm tra ngoại suy KM","✓ Hợp lệ")))))</f>
        <v/>
      </c>
    </row>
    <row r="1683">
      <c r="A1683" s="16" t="n">
        <v>1679</v>
      </c>
      <c r="B1683" s="17" t="inlineStr">
        <is>
          <t>DEC-S34-POULTRY</t>
        </is>
      </c>
      <c r="C1683" s="16" t="n">
        <v>34</v>
      </c>
      <c r="D1683" s="17" t="inlineStr">
        <is>
          <t>POULTRY</t>
        </is>
      </c>
      <c r="E1683" s="17" t="inlineStr">
        <is>
          <t>MEDIUM</t>
        </is>
      </c>
      <c r="F1683" s="17" t="inlineStr">
        <is>
          <t>CAO</t>
        </is>
      </c>
      <c r="G1683" s="18" t="inlineStr">
        <is>
          <t>RISK_MEDIUM</t>
        </is>
      </c>
      <c r="H1683" s="19" t="n">
        <v>1795.658227600098</v>
      </c>
      <c r="I1683" s="19" t="n">
        <v>2429.50272845459</v>
      </c>
      <c r="J1683" s="19" t="n">
        <v>3184.1562444458</v>
      </c>
      <c r="K1683" s="19" t="n">
        <v>2429.50272845459</v>
      </c>
      <c r="L1683" s="19" t="n">
        <v>2901.161175949097</v>
      </c>
      <c r="M1683" s="19" t="n">
        <v>3184.1562444458</v>
      </c>
      <c r="N1683" s="17" t="inlineStr">
        <is>
          <t>C</t>
        </is>
      </c>
      <c r="O1683" s="19" t="n">
        <v>1240.554061682128</v>
      </c>
      <c r="P1683" s="18" t="inlineStr">
        <is>
          <t>CÂN NHẮC THỬ NGHIỆM</t>
        </is>
      </c>
      <c r="Q1683" s="17" t="inlineStr">
        <is>
          <t>Không</t>
        </is>
      </c>
      <c r="R1683" s="20" t="n"/>
      <c r="S1683" s="20" t="n"/>
      <c r="T1683" s="21" t="n"/>
      <c r="U1683" s="21" t="n"/>
      <c r="V1683" s="22">
        <f>IF(U1683="A",K1683,IF(U1683="B",L1683,IF(U1683="C",M1683,IF(N1683="A",K1683,IF(N1683="B",L1683,M1683)))))</f>
        <v/>
      </c>
      <c r="W1683" s="22">
        <f>IF(R1683="",O1683,MAX(V1683-R1683-N(S1683),0))</f>
        <v/>
      </c>
      <c r="X1683" s="20" t="n"/>
      <c r="Y1683" s="23">
        <f>IF(OR(X1683="",W1683=0),"",X1683/W1683-1)</f>
        <v/>
      </c>
      <c r="Z1683" s="24" t="n"/>
      <c r="AA1683" s="21" t="n"/>
      <c r="AB1683" s="25" t="n"/>
      <c r="AC1683" s="26">
        <f>IF(T1683="","Chưa quyết định",IF(OR(Z1683="",AA1683=""),"⚠ Thiếu lý do/người duyệt",IF(AND(X1683&lt;&gt;"",N(X1683)+N(R1683)+N(S1683)&gt;M1683*1.001,R1683&lt;&gt;""),"⚠ Vượt mục tiêu P90",IF(AND(Y1683&lt;&gt;"",ABS(N(Y1683))&gt;0.3),"⚠ Lệch &gt; 30% so với nhu cầu",IF(Q1683="Có","ℹ Kiểm tra ngoại suy KM","✓ Hợp lệ")))))</f>
        <v/>
      </c>
    </row>
    <row r="1684">
      <c r="A1684" s="16" t="n">
        <v>1680</v>
      </c>
      <c r="B1684" s="17" t="inlineStr">
        <is>
          <t>DEC-S51-LIQUOR_WINE_BEER</t>
        </is>
      </c>
      <c r="C1684" s="16" t="n">
        <v>51</v>
      </c>
      <c r="D1684" s="17" t="inlineStr">
        <is>
          <t>LIQUOR,WINE,BEER</t>
        </is>
      </c>
      <c r="E1684" s="17" t="inlineStr">
        <is>
          <t>MEDIUM</t>
        </is>
      </c>
      <c r="F1684" s="17" t="inlineStr">
        <is>
          <t>CAO</t>
        </is>
      </c>
      <c r="G1684" s="18" t="inlineStr">
        <is>
          <t>RISK_MEDIUM</t>
        </is>
      </c>
      <c r="H1684" s="19" t="n">
        <v>1733.721606567383</v>
      </c>
      <c r="I1684" s="19" t="n">
        <v>2405.08651159668</v>
      </c>
      <c r="J1684" s="19" t="n">
        <v>3216.257868774414</v>
      </c>
      <c r="K1684" s="19" t="n">
        <v>2405.08651159668</v>
      </c>
      <c r="L1684" s="19" t="n">
        <v>2912.068609832764</v>
      </c>
      <c r="M1684" s="19" t="n">
        <v>3216.257868774414</v>
      </c>
      <c r="N1684" s="17" t="inlineStr">
        <is>
          <t>C</t>
        </is>
      </c>
      <c r="O1684" s="19" t="n">
        <v>1292.18865949707</v>
      </c>
      <c r="P1684" s="18" t="inlineStr">
        <is>
          <t>CÂN NHẮC THỬ NGHIỆM</t>
        </is>
      </c>
      <c r="Q1684" s="17" t="inlineStr">
        <is>
          <t>Không</t>
        </is>
      </c>
      <c r="R1684" s="20" t="n"/>
      <c r="S1684" s="20" t="n"/>
      <c r="T1684" s="21" t="n"/>
      <c r="U1684" s="21" t="n"/>
      <c r="V1684" s="22">
        <f>IF(U1684="A",K1684,IF(U1684="B",L1684,IF(U1684="C",M1684,IF(N1684="A",K1684,IF(N1684="B",L1684,M1684)))))</f>
        <v/>
      </c>
      <c r="W1684" s="22">
        <f>IF(R1684="",O1684,MAX(V1684-R1684-N(S1684),0))</f>
        <v/>
      </c>
      <c r="X1684" s="20" t="n"/>
      <c r="Y1684" s="23">
        <f>IF(OR(X1684="",W1684=0),"",X1684/W1684-1)</f>
        <v/>
      </c>
      <c r="Z1684" s="24" t="n"/>
      <c r="AA1684" s="21" t="n"/>
      <c r="AB1684" s="25" t="n"/>
      <c r="AC1684" s="26">
        <f>IF(T1684="","Chưa quyết định",IF(OR(Z1684="",AA1684=""),"⚠ Thiếu lý do/người duyệt",IF(AND(X1684&lt;&gt;"",N(X1684)+N(R1684)+N(S1684)&gt;M1684*1.001,R1684&lt;&gt;""),"⚠ Vượt mục tiêu P90",IF(AND(Y1684&lt;&gt;"",ABS(N(Y1684))&gt;0.3),"⚠ Lệch &gt; 30% so với nhu cầu",IF(Q1684="Có","ℹ Kiểm tra ngoại suy KM","✓ Hợp lệ")))))</f>
        <v/>
      </c>
    </row>
    <row r="1685">
      <c r="A1685" s="16" t="n">
        <v>1681</v>
      </c>
      <c r="B1685" s="17" t="inlineStr">
        <is>
          <t>DEC-S46-PREPARED_FOODS</t>
        </is>
      </c>
      <c r="C1685" s="16" t="n">
        <v>46</v>
      </c>
      <c r="D1685" s="17" t="inlineStr">
        <is>
          <t>PREPARED FOODS</t>
        </is>
      </c>
      <c r="E1685" s="17" t="inlineStr">
        <is>
          <t>MEDIUM</t>
        </is>
      </c>
      <c r="F1685" s="17" t="inlineStr">
        <is>
          <t>CAO</t>
        </is>
      </c>
      <c r="G1685" s="18" t="inlineStr">
        <is>
          <t>RISK_MEDIUM</t>
        </is>
      </c>
      <c r="H1685" s="19" t="n">
        <v>1765.875535644531</v>
      </c>
      <c r="I1685" s="19" t="n">
        <v>2399.720036499024</v>
      </c>
      <c r="J1685" s="19" t="n">
        <v>3154.373552490234</v>
      </c>
      <c r="K1685" s="19" t="n">
        <v>2399.720036499024</v>
      </c>
      <c r="L1685" s="19" t="n">
        <v>2871.37848399353</v>
      </c>
      <c r="M1685" s="19" t="n">
        <v>3154.373552490234</v>
      </c>
      <c r="N1685" s="17" t="inlineStr">
        <is>
          <t>C</t>
        </is>
      </c>
      <c r="O1685" s="19" t="n">
        <v>1234.597523291015</v>
      </c>
      <c r="P1685" s="18" t="inlineStr">
        <is>
          <t>CÂN NHẮC THỬ NGHIỆM</t>
        </is>
      </c>
      <c r="Q1685" s="17" t="inlineStr">
        <is>
          <t>Không</t>
        </is>
      </c>
      <c r="R1685" s="20" t="n"/>
      <c r="S1685" s="20" t="n"/>
      <c r="T1685" s="21" t="n"/>
      <c r="U1685" s="21" t="n"/>
      <c r="V1685" s="22">
        <f>IF(U1685="A",K1685,IF(U1685="B",L1685,IF(U1685="C",M1685,IF(N1685="A",K1685,IF(N1685="B",L1685,M1685)))))</f>
        <v/>
      </c>
      <c r="W1685" s="22">
        <f>IF(R1685="",O1685,MAX(V1685-R1685-N(S1685),0))</f>
        <v/>
      </c>
      <c r="X1685" s="20" t="n"/>
      <c r="Y1685" s="23">
        <f>IF(OR(X1685="",W1685=0),"",X1685/W1685-1)</f>
        <v/>
      </c>
      <c r="Z1685" s="24" t="n"/>
      <c r="AA1685" s="21" t="n"/>
      <c r="AB1685" s="25" t="n"/>
      <c r="AC1685" s="26">
        <f>IF(T1685="","Chưa quyết định",IF(OR(Z1685="",AA1685=""),"⚠ Thiếu lý do/người duyệt",IF(AND(X1685&lt;&gt;"",N(X1685)+N(R1685)+N(S1685)&gt;M1685*1.001,R1685&lt;&gt;""),"⚠ Vượt mục tiêu P90",IF(AND(Y1685&lt;&gt;"",ABS(N(Y1685))&gt;0.3),"⚠ Lệch &gt; 30% so với nhu cầu",IF(Q1685="Có","ℹ Kiểm tra ngoại suy KM","✓ Hợp lệ")))))</f>
        <v/>
      </c>
    </row>
    <row r="1686">
      <c r="A1686" s="16" t="n">
        <v>1682</v>
      </c>
      <c r="B1686" s="17" t="inlineStr">
        <is>
          <t>DEC-S41-EGGS</t>
        </is>
      </c>
      <c r="C1686" s="16" t="n">
        <v>41</v>
      </c>
      <c r="D1686" s="17" t="inlineStr">
        <is>
          <t>EGGS</t>
        </is>
      </c>
      <c r="E1686" s="17" t="inlineStr">
        <is>
          <t>MEDIUM</t>
        </is>
      </c>
      <c r="F1686" s="17" t="inlineStr">
        <is>
          <t>CAO</t>
        </is>
      </c>
      <c r="G1686" s="18" t="inlineStr">
        <is>
          <t>RISK_MEDIUM</t>
        </is>
      </c>
      <c r="H1686" s="19" t="n">
        <v>1744.64085546875</v>
      </c>
      <c r="I1686" s="19" t="n">
        <v>2378.485356323242</v>
      </c>
      <c r="J1686" s="19" t="n">
        <v>3133.138872314453</v>
      </c>
      <c r="K1686" s="19" t="n">
        <v>2378.485356323242</v>
      </c>
      <c r="L1686" s="19" t="n">
        <v>2850.143803817749</v>
      </c>
      <c r="M1686" s="19" t="n">
        <v>3133.138872314453</v>
      </c>
      <c r="N1686" s="17" t="inlineStr">
        <is>
          <t>C</t>
        </is>
      </c>
      <c r="O1686" s="19" t="n">
        <v>1230.350587255859</v>
      </c>
      <c r="P1686" s="18" t="inlineStr">
        <is>
          <t>CÂN NHẮC THỬ NGHIỆM</t>
        </is>
      </c>
      <c r="Q1686" s="17" t="inlineStr">
        <is>
          <t>Không</t>
        </is>
      </c>
      <c r="R1686" s="20" t="n"/>
      <c r="S1686" s="20" t="n"/>
      <c r="T1686" s="21" t="n"/>
      <c r="U1686" s="21" t="n"/>
      <c r="V1686" s="22">
        <f>IF(U1686="A",K1686,IF(U1686="B",L1686,IF(U1686="C",M1686,IF(N1686="A",K1686,IF(N1686="B",L1686,M1686)))))</f>
        <v/>
      </c>
      <c r="W1686" s="22">
        <f>IF(R1686="",O1686,MAX(V1686-R1686-N(S1686),0))</f>
        <v/>
      </c>
      <c r="X1686" s="20" t="n"/>
      <c r="Y1686" s="23">
        <f>IF(OR(X1686="",W1686=0),"",X1686/W1686-1)</f>
        <v/>
      </c>
      <c r="Z1686" s="24" t="n"/>
      <c r="AA1686" s="21" t="n"/>
      <c r="AB1686" s="25" t="n"/>
      <c r="AC1686" s="26">
        <f>IF(T1686="","Chưa quyết định",IF(OR(Z1686="",AA1686=""),"⚠ Thiếu lý do/người duyệt",IF(AND(X1686&lt;&gt;"",N(X1686)+N(R1686)+N(S1686)&gt;M1686*1.001,R1686&lt;&gt;""),"⚠ Vượt mục tiêu P90",IF(AND(Y1686&lt;&gt;"",ABS(N(Y1686))&gt;0.3),"⚠ Lệch &gt; 30% so với nhu cầu",IF(Q1686="Có","ℹ Kiểm tra ngoại suy KM","✓ Hợp lệ")))))</f>
        <v/>
      </c>
    </row>
    <row r="1687">
      <c r="A1687" s="16" t="n">
        <v>1683</v>
      </c>
      <c r="B1687" s="17" t="inlineStr">
        <is>
          <t>DEC-S45-GROCERY_II</t>
        </is>
      </c>
      <c r="C1687" s="16" t="n">
        <v>45</v>
      </c>
      <c r="D1687" s="17" t="inlineStr">
        <is>
          <t>GROCERY II</t>
        </is>
      </c>
      <c r="E1687" s="17" t="inlineStr">
        <is>
          <t>MEDIUM</t>
        </is>
      </c>
      <c r="F1687" s="17" t="inlineStr">
        <is>
          <t>CAO</t>
        </is>
      </c>
      <c r="G1687" s="18" t="inlineStr">
        <is>
          <t>RISK_MEDIUM</t>
        </is>
      </c>
      <c r="H1687" s="19" t="n">
        <v>1756.061745483398</v>
      </c>
      <c r="I1687" s="19" t="n">
        <v>2371.146044250488</v>
      </c>
      <c r="J1687" s="19" t="n">
        <v>3097.540639648437</v>
      </c>
      <c r="K1687" s="19" t="n">
        <v>2371.146044250488</v>
      </c>
      <c r="L1687" s="19" t="n">
        <v>2825.142666374206</v>
      </c>
      <c r="M1687" s="19" t="n">
        <v>3097.540639648437</v>
      </c>
      <c r="N1687" s="17" t="inlineStr">
        <is>
          <t>C</t>
        </is>
      </c>
      <c r="O1687" s="19" t="n">
        <v>1200.623804248047</v>
      </c>
      <c r="P1687" s="18" t="inlineStr">
        <is>
          <t>CÂN NHẮC THỬ NGHIỆM</t>
        </is>
      </c>
      <c r="Q1687" s="17" t="inlineStr">
        <is>
          <t>Không</t>
        </is>
      </c>
      <c r="R1687" s="20" t="n"/>
      <c r="S1687" s="20" t="n"/>
      <c r="T1687" s="21" t="n"/>
      <c r="U1687" s="21" t="n"/>
      <c r="V1687" s="22">
        <f>IF(U1687="A",K1687,IF(U1687="B",L1687,IF(U1687="C",M1687,IF(N1687="A",K1687,IF(N1687="B",L1687,M1687)))))</f>
        <v/>
      </c>
      <c r="W1687" s="22">
        <f>IF(R1687="",O1687,MAX(V1687-R1687-N(S1687),0))</f>
        <v/>
      </c>
      <c r="X1687" s="20" t="n"/>
      <c r="Y1687" s="23">
        <f>IF(OR(X1687="",W1687=0),"",X1687/W1687-1)</f>
        <v/>
      </c>
      <c r="Z1687" s="24" t="n"/>
      <c r="AA1687" s="21" t="n"/>
      <c r="AB1687" s="25" t="n"/>
      <c r="AC1687" s="26">
        <f>IF(T1687="","Chưa quyết định",IF(OR(Z1687="",AA1687=""),"⚠ Thiếu lý do/người duyệt",IF(AND(X1687&lt;&gt;"",N(X1687)+N(R1687)+N(S1687)&gt;M1687*1.001,R1687&lt;&gt;""),"⚠ Vượt mục tiêu P90",IF(AND(Y1687&lt;&gt;"",ABS(N(Y1687))&gt;0.3),"⚠ Lệch &gt; 30% so với nhu cầu",IF(Q1687="Có","ℹ Kiểm tra ngoại suy KM","✓ Hợp lệ")))))</f>
        <v/>
      </c>
    </row>
    <row r="1688">
      <c r="A1688" s="16" t="n">
        <v>1684</v>
      </c>
      <c r="B1688" s="17" t="inlineStr">
        <is>
          <t>DEC-S16-PERSONAL_CARE</t>
        </is>
      </c>
      <c r="C1688" s="16" t="n">
        <v>16</v>
      </c>
      <c r="D1688" s="17" t="inlineStr">
        <is>
          <t>PERSONAL CARE</t>
        </is>
      </c>
      <c r="E1688" s="17" t="inlineStr">
        <is>
          <t>MEDIUM</t>
        </is>
      </c>
      <c r="F1688" s="17" t="inlineStr">
        <is>
          <t>CAO</t>
        </is>
      </c>
      <c r="G1688" s="18" t="inlineStr">
        <is>
          <t>RISK_MEDIUM</t>
        </is>
      </c>
      <c r="H1688" s="19" t="n">
        <v>1734.756791748047</v>
      </c>
      <c r="I1688" s="19" t="n">
        <v>2368.601292602539</v>
      </c>
      <c r="J1688" s="19" t="n">
        <v>3123.25480859375</v>
      </c>
      <c r="K1688" s="19" t="n">
        <v>2368.601292602539</v>
      </c>
      <c r="L1688" s="19" t="n">
        <v>2840.259740097046</v>
      </c>
      <c r="M1688" s="19" t="n">
        <v>3123.25480859375</v>
      </c>
      <c r="N1688" s="17" t="inlineStr">
        <is>
          <t>C</t>
        </is>
      </c>
      <c r="O1688" s="19" t="n">
        <v>1228.373774511718</v>
      </c>
      <c r="P1688" s="18" t="inlineStr">
        <is>
          <t>KHÔNG ĐỀ XUẤT TĂNG</t>
        </is>
      </c>
      <c r="Q1688" s="17" t="inlineStr">
        <is>
          <t>Không</t>
        </is>
      </c>
      <c r="R1688" s="20" t="n"/>
      <c r="S1688" s="20" t="n"/>
      <c r="T1688" s="21" t="n"/>
      <c r="U1688" s="21" t="n"/>
      <c r="V1688" s="22">
        <f>IF(U1688="A",K1688,IF(U1688="B",L1688,IF(U1688="C",M1688,IF(N1688="A",K1688,IF(N1688="B",L1688,M1688)))))</f>
        <v/>
      </c>
      <c r="W1688" s="22">
        <f>IF(R1688="",O1688,MAX(V1688-R1688-N(S1688),0))</f>
        <v/>
      </c>
      <c r="X1688" s="20" t="n"/>
      <c r="Y1688" s="23">
        <f>IF(OR(X1688="",W1688=0),"",X1688/W1688-1)</f>
        <v/>
      </c>
      <c r="Z1688" s="24" t="n"/>
      <c r="AA1688" s="21" t="n"/>
      <c r="AB1688" s="25" t="n"/>
      <c r="AC1688" s="26">
        <f>IF(T1688="","Chưa quyết định",IF(OR(Z1688="",AA1688=""),"⚠ Thiếu lý do/người duyệt",IF(AND(X1688&lt;&gt;"",N(X1688)+N(R1688)+N(S1688)&gt;M1688*1.001,R1688&lt;&gt;""),"⚠ Vượt mục tiêu P90",IF(AND(Y1688&lt;&gt;"",ABS(N(Y1688))&gt;0.3),"⚠ Lệch &gt; 30% so với nhu cầu",IF(Q1688="Có","ℹ Kiểm tra ngoại suy KM","✓ Hợp lệ")))))</f>
        <v/>
      </c>
    </row>
    <row r="1689">
      <c r="A1689" s="16" t="n">
        <v>1685</v>
      </c>
      <c r="B1689" s="17" t="inlineStr">
        <is>
          <t>DEC-S19-POULTRY</t>
        </is>
      </c>
      <c r="C1689" s="16" t="n">
        <v>19</v>
      </c>
      <c r="D1689" s="17" t="inlineStr">
        <is>
          <t>POULTRY</t>
        </is>
      </c>
      <c r="E1689" s="17" t="inlineStr">
        <is>
          <t>MEDIUM</t>
        </is>
      </c>
      <c r="F1689" s="17" t="inlineStr">
        <is>
          <t>CAO</t>
        </is>
      </c>
      <c r="G1689" s="18" t="inlineStr">
        <is>
          <t>RISK_MEDIUM</t>
        </is>
      </c>
      <c r="H1689" s="19" t="n">
        <v>1737.139928497314</v>
      </c>
      <c r="I1689" s="19" t="n">
        <v>2352.741627685547</v>
      </c>
      <c r="J1689" s="19" t="n">
        <v>3090.452570526123</v>
      </c>
      <c r="K1689" s="19" t="n">
        <v>2352.741627685547</v>
      </c>
      <c r="L1689" s="19" t="n">
        <v>2813.810966960907</v>
      </c>
      <c r="M1689" s="19" t="n">
        <v>3090.452570526123</v>
      </c>
      <c r="N1689" s="17" t="inlineStr">
        <is>
          <t>C</t>
        </is>
      </c>
      <c r="O1689" s="19" t="n">
        <v>1208.259268377685</v>
      </c>
      <c r="P1689" s="18" t="inlineStr">
        <is>
          <t>CÂN NHẮC THỬ NGHIỆM</t>
        </is>
      </c>
      <c r="Q1689" s="17" t="inlineStr">
        <is>
          <t>Không</t>
        </is>
      </c>
      <c r="R1689" s="20" t="n"/>
      <c r="S1689" s="20" t="n"/>
      <c r="T1689" s="21" t="n"/>
      <c r="U1689" s="21" t="n"/>
      <c r="V1689" s="22">
        <f>IF(U1689="A",K1689,IF(U1689="B",L1689,IF(U1689="C",M1689,IF(N1689="A",K1689,IF(N1689="B",L1689,M1689)))))</f>
        <v/>
      </c>
      <c r="W1689" s="22">
        <f>IF(R1689="",O1689,MAX(V1689-R1689-N(S1689),0))</f>
        <v/>
      </c>
      <c r="X1689" s="20" t="n"/>
      <c r="Y1689" s="23">
        <f>IF(OR(X1689="",W1689=0),"",X1689/W1689-1)</f>
        <v/>
      </c>
      <c r="Z1689" s="24" t="n"/>
      <c r="AA1689" s="21" t="n"/>
      <c r="AB1689" s="25" t="n"/>
      <c r="AC1689" s="26">
        <f>IF(T1689="","Chưa quyết định",IF(OR(Z1689="",AA1689=""),"⚠ Thiếu lý do/người duyệt",IF(AND(X1689&lt;&gt;"",N(X1689)+N(R1689)+N(S1689)&gt;M1689*1.001,R1689&lt;&gt;""),"⚠ Vượt mục tiêu P90",IF(AND(Y1689&lt;&gt;"",ABS(N(Y1689))&gt;0.3),"⚠ Lệch &gt; 30% so với nhu cầu",IF(Q1689="Có","ℹ Kiểm tra ngoại suy KM","✓ Hợp lệ")))))</f>
        <v/>
      </c>
    </row>
    <row r="1690">
      <c r="A1690" s="16" t="n">
        <v>1686</v>
      </c>
      <c r="B1690" s="17" t="inlineStr">
        <is>
          <t>DEC-S21-PREPARED_FOODS</t>
        </is>
      </c>
      <c r="C1690" s="16" t="n">
        <v>21</v>
      </c>
      <c r="D1690" s="17" t="inlineStr">
        <is>
          <t>PREPARED FOODS</t>
        </is>
      </c>
      <c r="E1690" s="17" t="inlineStr">
        <is>
          <t>MEDIUM</t>
        </is>
      </c>
      <c r="F1690" s="17" t="inlineStr">
        <is>
          <t>CAO</t>
        </is>
      </c>
      <c r="G1690" s="18" t="inlineStr">
        <is>
          <t>RISK_MEDIUM</t>
        </is>
      </c>
      <c r="H1690" s="19" t="n">
        <v>1724.274231750488</v>
      </c>
      <c r="I1690" s="19" t="n">
        <v>2339.358530517578</v>
      </c>
      <c r="J1690" s="19" t="n">
        <v>3065.753125915527</v>
      </c>
      <c r="K1690" s="19" t="n">
        <v>2339.358530517578</v>
      </c>
      <c r="L1690" s="19" t="n">
        <v>2793.355152641296</v>
      </c>
      <c r="M1690" s="19" t="n">
        <v>3065.753125915527</v>
      </c>
      <c r="N1690" s="17" t="inlineStr">
        <is>
          <t>C</t>
        </is>
      </c>
      <c r="O1690" s="19" t="n">
        <v>1194.266301501465</v>
      </c>
      <c r="P1690" s="18" t="inlineStr">
        <is>
          <t>CÂN NHẮC THỬ NGHIỆM</t>
        </is>
      </c>
      <c r="Q1690" s="17" t="inlineStr">
        <is>
          <t>Không</t>
        </is>
      </c>
      <c r="R1690" s="20" t="n"/>
      <c r="S1690" s="20" t="n"/>
      <c r="T1690" s="21" t="n"/>
      <c r="U1690" s="21" t="n"/>
      <c r="V1690" s="22">
        <f>IF(U1690="A",K1690,IF(U1690="B",L1690,IF(U1690="C",M1690,IF(N1690="A",K1690,IF(N1690="B",L1690,M1690)))))</f>
        <v/>
      </c>
      <c r="W1690" s="22">
        <f>IF(R1690="",O1690,MAX(V1690-R1690-N(S1690),0))</f>
        <v/>
      </c>
      <c r="X1690" s="20" t="n"/>
      <c r="Y1690" s="23">
        <f>IF(OR(X1690="",W1690=0),"",X1690/W1690-1)</f>
        <v/>
      </c>
      <c r="Z1690" s="24" t="n"/>
      <c r="AA1690" s="21" t="n"/>
      <c r="AB1690" s="25" t="n"/>
      <c r="AC1690" s="26">
        <f>IF(T1690="","Chưa quyết định",IF(OR(Z1690="",AA1690=""),"⚠ Thiếu lý do/người duyệt",IF(AND(X1690&lt;&gt;"",N(X1690)+N(R1690)+N(S1690)&gt;M1690*1.001,R1690&lt;&gt;""),"⚠ Vượt mục tiêu P90",IF(AND(Y1690&lt;&gt;"",ABS(N(Y1690))&gt;0.3),"⚠ Lệch &gt; 30% so với nhu cầu",IF(Q1690="Có","ℹ Kiểm tra ngoại suy KM","✓ Hợp lệ")))))</f>
        <v/>
      </c>
    </row>
    <row r="1691">
      <c r="A1691" s="16" t="n">
        <v>1687</v>
      </c>
      <c r="B1691" s="17" t="inlineStr">
        <is>
          <t>DEC-S23-DELI</t>
        </is>
      </c>
      <c r="C1691" s="16" t="n">
        <v>23</v>
      </c>
      <c r="D1691" s="17" t="inlineStr">
        <is>
          <t>DELI</t>
        </is>
      </c>
      <c r="E1691" s="17" t="inlineStr">
        <is>
          <t>MEDIUM</t>
        </is>
      </c>
      <c r="F1691" s="17" t="inlineStr">
        <is>
          <t>CAO</t>
        </is>
      </c>
      <c r="G1691" s="18" t="inlineStr">
        <is>
          <t>RISK_MEDIUM</t>
        </is>
      </c>
      <c r="H1691" s="19" t="n">
        <v>1738.705268859863</v>
      </c>
      <c r="I1691" s="19" t="n">
        <v>2335.029365539551</v>
      </c>
      <c r="J1691" s="19" t="n">
        <v>3033.165040344238</v>
      </c>
      <c r="K1691" s="19" t="n">
        <v>2335.029365539551</v>
      </c>
      <c r="L1691" s="19" t="n">
        <v>2771.364162292481</v>
      </c>
      <c r="M1691" s="19" t="n">
        <v>3033.165040344238</v>
      </c>
      <c r="N1691" s="17" t="inlineStr">
        <is>
          <t>C</t>
        </is>
      </c>
      <c r="O1691" s="19" t="n">
        <v>1165.141547912597</v>
      </c>
      <c r="P1691" s="18" t="inlineStr">
        <is>
          <t>CÂN NHẮC THỬ NGHIỆM</t>
        </is>
      </c>
      <c r="Q1691" s="17" t="inlineStr">
        <is>
          <t>Không</t>
        </is>
      </c>
      <c r="R1691" s="20" t="n"/>
      <c r="S1691" s="20" t="n"/>
      <c r="T1691" s="21" t="n"/>
      <c r="U1691" s="21" t="n"/>
      <c r="V1691" s="22">
        <f>IF(U1691="A",K1691,IF(U1691="B",L1691,IF(U1691="C",M1691,IF(N1691="A",K1691,IF(N1691="B",L1691,M1691)))))</f>
        <v/>
      </c>
      <c r="W1691" s="22">
        <f>IF(R1691="",O1691,MAX(V1691-R1691-N(S1691),0))</f>
        <v/>
      </c>
      <c r="X1691" s="20" t="n"/>
      <c r="Y1691" s="23">
        <f>IF(OR(X1691="",W1691=0),"",X1691/W1691-1)</f>
        <v/>
      </c>
      <c r="Z1691" s="24" t="n"/>
      <c r="AA1691" s="21" t="n"/>
      <c r="AB1691" s="25" t="n"/>
      <c r="AC1691" s="26">
        <f>IF(T1691="","Chưa quyết định",IF(OR(Z1691="",AA1691=""),"⚠ Thiếu lý do/người duyệt",IF(AND(X1691&lt;&gt;"",N(X1691)+N(R1691)+N(S1691)&gt;M1691*1.001,R1691&lt;&gt;""),"⚠ Vượt mục tiêu P90",IF(AND(Y1691&lt;&gt;"",ABS(N(Y1691))&gt;0.3),"⚠ Lệch &gt; 30% so với nhu cầu",IF(Q1691="Có","ℹ Kiểm tra ngoại suy KM","✓ Hợp lệ")))))</f>
        <v/>
      </c>
    </row>
    <row r="1692">
      <c r="A1692" s="16" t="n">
        <v>1688</v>
      </c>
      <c r="B1692" s="17" t="inlineStr">
        <is>
          <t>DEC-S10-POULTRY</t>
        </is>
      </c>
      <c r="C1692" s="16" t="n">
        <v>10</v>
      </c>
      <c r="D1692" s="17" t="inlineStr">
        <is>
          <t>POULTRY</t>
        </is>
      </c>
      <c r="E1692" s="17" t="inlineStr">
        <is>
          <t>MEDIUM</t>
        </is>
      </c>
      <c r="F1692" s="17" t="inlineStr">
        <is>
          <t>CAO</t>
        </is>
      </c>
      <c r="G1692" s="18" t="inlineStr">
        <is>
          <t>RISK_MEDIUM</t>
        </is>
      </c>
      <c r="H1692" s="19" t="n">
        <v>1670.922242797852</v>
      </c>
      <c r="I1692" s="19" t="n">
        <v>2304.766743652344</v>
      </c>
      <c r="J1692" s="19" t="n">
        <v>3059.420259643554</v>
      </c>
      <c r="K1692" s="19" t="n">
        <v>2304.766743652344</v>
      </c>
      <c r="L1692" s="19" t="n">
        <v>2776.42519114685</v>
      </c>
      <c r="M1692" s="19" t="n">
        <v>3059.420259643554</v>
      </c>
      <c r="N1692" s="17" t="inlineStr">
        <is>
          <t>C</t>
        </is>
      </c>
      <c r="O1692" s="19" t="n">
        <v>1215.606864721679</v>
      </c>
      <c r="P1692" s="18" t="inlineStr">
        <is>
          <t>CÂN NHẮC THỬ NGHIỆM</t>
        </is>
      </c>
      <c r="Q1692" s="17" t="inlineStr">
        <is>
          <t>Không</t>
        </is>
      </c>
      <c r="R1692" s="20" t="n"/>
      <c r="S1692" s="20" t="n"/>
      <c r="T1692" s="21" t="n"/>
      <c r="U1692" s="21" t="n"/>
      <c r="V1692" s="22">
        <f>IF(U1692="A",K1692,IF(U1692="B",L1692,IF(U1692="C",M1692,IF(N1692="A",K1692,IF(N1692="B",L1692,M1692)))))</f>
        <v/>
      </c>
      <c r="W1692" s="22">
        <f>IF(R1692="",O1692,MAX(V1692-R1692-N(S1692),0))</f>
        <v/>
      </c>
      <c r="X1692" s="20" t="n"/>
      <c r="Y1692" s="23">
        <f>IF(OR(X1692="",W1692=0),"",X1692/W1692-1)</f>
        <v/>
      </c>
      <c r="Z1692" s="24" t="n"/>
      <c r="AA1692" s="21" t="n"/>
      <c r="AB1692" s="25" t="n"/>
      <c r="AC1692" s="26">
        <f>IF(T1692="","Chưa quyết định",IF(OR(Z1692="",AA1692=""),"⚠ Thiếu lý do/người duyệt",IF(AND(X1692&lt;&gt;"",N(X1692)+N(R1692)+N(S1692)&gt;M1692*1.001,R1692&lt;&gt;""),"⚠ Vượt mục tiêu P90",IF(AND(Y1692&lt;&gt;"",ABS(N(Y1692))&gt;0.3),"⚠ Lệch &gt; 30% so với nhu cầu",IF(Q1692="Có","ℹ Kiểm tra ngoại suy KM","✓ Hợp lệ")))))</f>
        <v/>
      </c>
    </row>
    <row r="1693">
      <c r="A1693" s="16" t="n">
        <v>1689</v>
      </c>
      <c r="B1693" s="17" t="inlineStr">
        <is>
          <t>DEC-S40-MEATS</t>
        </is>
      </c>
      <c r="C1693" s="16" t="n">
        <v>40</v>
      </c>
      <c r="D1693" s="17" t="inlineStr">
        <is>
          <t>MEATS</t>
        </is>
      </c>
      <c r="E1693" s="17" t="inlineStr">
        <is>
          <t>MEDIUM</t>
        </is>
      </c>
      <c r="F1693" s="17" t="inlineStr">
        <is>
          <t>CAO</t>
        </is>
      </c>
      <c r="G1693" s="18" t="inlineStr">
        <is>
          <t>RISK_MEDIUM</t>
        </is>
      </c>
      <c r="H1693" s="19" t="n">
        <v>1702.965660095215</v>
      </c>
      <c r="I1693" s="19" t="n">
        <v>2299.289756774902</v>
      </c>
      <c r="J1693" s="19" t="n">
        <v>2997.42543157959</v>
      </c>
      <c r="K1693" s="19" t="n">
        <v>2299.289756774902</v>
      </c>
      <c r="L1693" s="19" t="n">
        <v>2735.624553527832</v>
      </c>
      <c r="M1693" s="19" t="n">
        <v>2997.42543157959</v>
      </c>
      <c r="N1693" s="17" t="inlineStr">
        <is>
          <t>C</t>
        </is>
      </c>
      <c r="O1693" s="19" t="n">
        <v>1157.993626159668</v>
      </c>
      <c r="P1693" s="18" t="inlineStr">
        <is>
          <t>CÂN NHẮC THỬ NGHIỆM</t>
        </is>
      </c>
      <c r="Q1693" s="17" t="inlineStr">
        <is>
          <t>Không</t>
        </is>
      </c>
      <c r="R1693" s="20" t="n"/>
      <c r="S1693" s="20" t="n"/>
      <c r="T1693" s="21" t="n"/>
      <c r="U1693" s="21" t="n"/>
      <c r="V1693" s="22">
        <f>IF(U1693="A",K1693,IF(U1693="B",L1693,IF(U1693="C",M1693,IF(N1693="A",K1693,IF(N1693="B",L1693,M1693)))))</f>
        <v/>
      </c>
      <c r="W1693" s="22">
        <f>IF(R1693="",O1693,MAX(V1693-R1693-N(S1693),0))</f>
        <v/>
      </c>
      <c r="X1693" s="20" t="n"/>
      <c r="Y1693" s="23">
        <f>IF(OR(X1693="",W1693=0),"",X1693/W1693-1)</f>
        <v/>
      </c>
      <c r="Z1693" s="24" t="n"/>
      <c r="AA1693" s="21" t="n"/>
      <c r="AB1693" s="25" t="n"/>
      <c r="AC1693" s="26">
        <f>IF(T1693="","Chưa quyết định",IF(OR(Z1693="",AA1693=""),"⚠ Thiếu lý do/người duyệt",IF(AND(X1693&lt;&gt;"",N(X1693)+N(R1693)+N(S1693)&gt;M1693*1.001,R1693&lt;&gt;""),"⚠ Vượt mục tiêu P90",IF(AND(Y1693&lt;&gt;"",ABS(N(Y1693))&gt;0.3),"⚠ Lệch &gt; 30% so với nhu cầu",IF(Q1693="Có","ℹ Kiểm tra ngoại suy KM","✓ Hợp lệ")))))</f>
        <v/>
      </c>
    </row>
    <row r="1694">
      <c r="A1694" s="16" t="n">
        <v>1690</v>
      </c>
      <c r="B1694" s="17" t="inlineStr">
        <is>
          <t>DEC-S50-LIQUOR_WINE_BEER</t>
        </is>
      </c>
      <c r="C1694" s="16" t="n">
        <v>50</v>
      </c>
      <c r="D1694" s="17" t="inlineStr">
        <is>
          <t>LIQUOR,WINE,BEER</t>
        </is>
      </c>
      <c r="E1694" s="17" t="inlineStr">
        <is>
          <t>MEDIUM</t>
        </is>
      </c>
      <c r="F1694" s="17" t="inlineStr">
        <is>
          <t>CAO</t>
        </is>
      </c>
      <c r="G1694" s="18" t="inlineStr">
        <is>
          <t>RISK_MEDIUM</t>
        </is>
      </c>
      <c r="H1694" s="19" t="n">
        <v>1626.36365826416</v>
      </c>
      <c r="I1694" s="19" t="n">
        <v>2297.728563293457</v>
      </c>
      <c r="J1694" s="19" t="n">
        <v>3108.899920471192</v>
      </c>
      <c r="K1694" s="19" t="n">
        <v>2297.728563293457</v>
      </c>
      <c r="L1694" s="19" t="n">
        <v>2804.710661529541</v>
      </c>
      <c r="M1694" s="19" t="n">
        <v>3108.899920471192</v>
      </c>
      <c r="N1694" s="17" t="inlineStr">
        <is>
          <t>C</t>
        </is>
      </c>
      <c r="O1694" s="19" t="n">
        <v>1270.717069836426</v>
      </c>
      <c r="P1694" s="18" t="inlineStr">
        <is>
          <t>CÂN NHẮC THỬ NGHIỆM</t>
        </is>
      </c>
      <c r="Q1694" s="17" t="inlineStr">
        <is>
          <t>Không</t>
        </is>
      </c>
      <c r="R1694" s="20" t="n"/>
      <c r="S1694" s="20" t="n"/>
      <c r="T1694" s="21" t="n"/>
      <c r="U1694" s="21" t="n"/>
      <c r="V1694" s="22">
        <f>IF(U1694="A",K1694,IF(U1694="B",L1694,IF(U1694="C",M1694,IF(N1694="A",K1694,IF(N1694="B",L1694,M1694)))))</f>
        <v/>
      </c>
      <c r="W1694" s="22">
        <f>IF(R1694="",O1694,MAX(V1694-R1694-N(S1694),0))</f>
        <v/>
      </c>
      <c r="X1694" s="20" t="n"/>
      <c r="Y1694" s="23">
        <f>IF(OR(X1694="",W1694=0),"",X1694/W1694-1)</f>
        <v/>
      </c>
      <c r="Z1694" s="24" t="n"/>
      <c r="AA1694" s="21" t="n"/>
      <c r="AB1694" s="25" t="n"/>
      <c r="AC1694" s="26">
        <f>IF(T1694="","Chưa quyết định",IF(OR(Z1694="",AA1694=""),"⚠ Thiếu lý do/người duyệt",IF(AND(X1694&lt;&gt;"",N(X1694)+N(R1694)+N(S1694)&gt;M1694*1.001,R1694&lt;&gt;""),"⚠ Vượt mục tiêu P90",IF(AND(Y1694&lt;&gt;"",ABS(N(Y1694))&gt;0.3),"⚠ Lệch &gt; 30% so với nhu cầu",IF(Q1694="Có","ℹ Kiểm tra ngoại suy KM","✓ Hợp lệ")))))</f>
        <v/>
      </c>
    </row>
    <row r="1695">
      <c r="A1695" s="16" t="n">
        <v>1691</v>
      </c>
      <c r="B1695" s="17" t="inlineStr">
        <is>
          <t>DEC-S45-SCHOOL_AND_OFFICE_SUPPLIES</t>
        </is>
      </c>
      <c r="C1695" s="16" t="n">
        <v>45</v>
      </c>
      <c r="D1695" s="17" t="inlineStr">
        <is>
          <t>SCHOOL AND OFFICE SUPPLIES</t>
        </is>
      </c>
      <c r="E1695" s="17" t="inlineStr">
        <is>
          <t>MEDIUM</t>
        </is>
      </c>
      <c r="F1695" s="17" t="inlineStr">
        <is>
          <t>CAO</t>
        </is>
      </c>
      <c r="G1695" s="18" t="inlineStr">
        <is>
          <t>RISK_MEDIUM</t>
        </is>
      </c>
      <c r="H1695" s="19" t="n">
        <v>1655.902742065429</v>
      </c>
      <c r="I1695" s="19" t="n">
        <v>2289.747242919922</v>
      </c>
      <c r="J1695" s="19" t="n">
        <v>3044.400758911132</v>
      </c>
      <c r="K1695" s="19" t="n">
        <v>2289.747242919922</v>
      </c>
      <c r="L1695" s="19" t="n">
        <v>2761.405690414429</v>
      </c>
      <c r="M1695" s="19" t="n">
        <v>3044.400758911132</v>
      </c>
      <c r="N1695" s="17" t="inlineStr">
        <is>
          <t>C</t>
        </is>
      </c>
      <c r="O1695" s="19" t="n">
        <v>1212.602964575195</v>
      </c>
      <c r="P1695" s="18" t="inlineStr">
        <is>
          <t>KHÔNG ĐỀ XUẤT TĂNG</t>
        </is>
      </c>
      <c r="Q1695" s="17" t="inlineStr">
        <is>
          <t>Không</t>
        </is>
      </c>
      <c r="R1695" s="20" t="n"/>
      <c r="S1695" s="20" t="n"/>
      <c r="T1695" s="21" t="n"/>
      <c r="U1695" s="21" t="n"/>
      <c r="V1695" s="22">
        <f>IF(U1695="A",K1695,IF(U1695="B",L1695,IF(U1695="C",M1695,IF(N1695="A",K1695,IF(N1695="B",L1695,M1695)))))</f>
        <v/>
      </c>
      <c r="W1695" s="22">
        <f>IF(R1695="",O1695,MAX(V1695-R1695-N(S1695),0))</f>
        <v/>
      </c>
      <c r="X1695" s="20" t="n"/>
      <c r="Y1695" s="23">
        <f>IF(OR(X1695="",W1695=0),"",X1695/W1695-1)</f>
        <v/>
      </c>
      <c r="Z1695" s="24" t="n"/>
      <c r="AA1695" s="21" t="n"/>
      <c r="AB1695" s="25" t="n"/>
      <c r="AC1695" s="26">
        <f>IF(T1695="","Chưa quyết định",IF(OR(Z1695="",AA1695=""),"⚠ Thiếu lý do/người duyệt",IF(AND(X1695&lt;&gt;"",N(X1695)+N(R1695)+N(S1695)&gt;M1695*1.001,R1695&lt;&gt;""),"⚠ Vượt mục tiêu P90",IF(AND(Y1695&lt;&gt;"",ABS(N(Y1695))&gt;0.3),"⚠ Lệch &gt; 30% so với nhu cầu",IF(Q1695="Có","ℹ Kiểm tra ngoại suy KM","✓ Hợp lệ")))))</f>
        <v/>
      </c>
    </row>
    <row r="1696">
      <c r="A1696" s="16" t="n">
        <v>1692</v>
      </c>
      <c r="B1696" s="17" t="inlineStr">
        <is>
          <t>DEC-S13-BREAD_BAKERY</t>
        </is>
      </c>
      <c r="C1696" s="16" t="n">
        <v>13</v>
      </c>
      <c r="D1696" s="17" t="inlineStr">
        <is>
          <t>BREAD/BAKERY</t>
        </is>
      </c>
      <c r="E1696" s="17" t="inlineStr">
        <is>
          <t>MEDIUM</t>
        </is>
      </c>
      <c r="F1696" s="17" t="inlineStr">
        <is>
          <t>CAO</t>
        </is>
      </c>
      <c r="G1696" s="18" t="inlineStr">
        <is>
          <t>RISK_MEDIUM</t>
        </is>
      </c>
      <c r="H1696" s="19" t="n">
        <v>1693.2783203125</v>
      </c>
      <c r="I1696" s="19" t="n">
        <v>2289.602416992188</v>
      </c>
      <c r="J1696" s="19" t="n">
        <v>2987.738091796875</v>
      </c>
      <c r="K1696" s="19" t="n">
        <v>2289.602416992188</v>
      </c>
      <c r="L1696" s="19" t="n">
        <v>2725.937213745117</v>
      </c>
      <c r="M1696" s="19" t="n">
        <v>2987.738091796875</v>
      </c>
      <c r="N1696" s="17" t="inlineStr">
        <is>
          <t>C</t>
        </is>
      </c>
      <c r="O1696" s="19" t="n">
        <v>1156.056158203125</v>
      </c>
      <c r="P1696" s="18" t="inlineStr">
        <is>
          <t>CÂN NHẮC THỬ NGHIỆM</t>
        </is>
      </c>
      <c r="Q1696" s="17" t="inlineStr">
        <is>
          <t>Không</t>
        </is>
      </c>
      <c r="R1696" s="20" t="n"/>
      <c r="S1696" s="20" t="n"/>
      <c r="T1696" s="21" t="n"/>
      <c r="U1696" s="21" t="n"/>
      <c r="V1696" s="22">
        <f>IF(U1696="A",K1696,IF(U1696="B",L1696,IF(U1696="C",M1696,IF(N1696="A",K1696,IF(N1696="B",L1696,M1696)))))</f>
        <v/>
      </c>
      <c r="W1696" s="22">
        <f>IF(R1696="",O1696,MAX(V1696-R1696-N(S1696),0))</f>
        <v/>
      </c>
      <c r="X1696" s="20" t="n"/>
      <c r="Y1696" s="23">
        <f>IF(OR(X1696="",W1696=0),"",X1696/W1696-1)</f>
        <v/>
      </c>
      <c r="Z1696" s="24" t="n"/>
      <c r="AA1696" s="21" t="n"/>
      <c r="AB1696" s="25" t="n"/>
      <c r="AC1696" s="26">
        <f>IF(T1696="","Chưa quyết định",IF(OR(Z1696="",AA1696=""),"⚠ Thiếu lý do/người duyệt",IF(AND(X1696&lt;&gt;"",N(X1696)+N(R1696)+N(S1696)&gt;M1696*1.001,R1696&lt;&gt;""),"⚠ Vượt mục tiêu P90",IF(AND(Y1696&lt;&gt;"",ABS(N(Y1696))&gt;0.3),"⚠ Lệch &gt; 30% so với nhu cầu",IF(Q1696="Có","ℹ Kiểm tra ngoại suy KM","✓ Hợp lệ")))))</f>
        <v/>
      </c>
    </row>
    <row r="1697">
      <c r="A1697" s="16" t="n">
        <v>1693</v>
      </c>
      <c r="B1697" s="17" t="inlineStr">
        <is>
          <t>DEC-S01-EGGS</t>
        </is>
      </c>
      <c r="C1697" s="16" t="n">
        <v>1</v>
      </c>
      <c r="D1697" s="17" t="inlineStr">
        <is>
          <t>EGGS</t>
        </is>
      </c>
      <c r="E1697" s="17" t="inlineStr">
        <is>
          <t>MEDIUM</t>
        </is>
      </c>
      <c r="F1697" s="17" t="inlineStr">
        <is>
          <t>CAO</t>
        </is>
      </c>
      <c r="G1697" s="18" t="inlineStr">
        <is>
          <t>RISK_MEDIUM</t>
        </is>
      </c>
      <c r="H1697" s="19" t="n">
        <v>1679.008522033691</v>
      </c>
      <c r="I1697" s="19" t="n">
        <v>2275.332618713379</v>
      </c>
      <c r="J1697" s="19" t="n">
        <v>2973.468293518066</v>
      </c>
      <c r="K1697" s="19" t="n">
        <v>2275.332618713379</v>
      </c>
      <c r="L1697" s="19" t="n">
        <v>2711.667415466309</v>
      </c>
      <c r="M1697" s="19" t="n">
        <v>2973.468293518066</v>
      </c>
      <c r="N1697" s="17" t="inlineStr">
        <is>
          <t>C</t>
        </is>
      </c>
      <c r="O1697" s="19" t="n">
        <v>1153.202198547363</v>
      </c>
      <c r="P1697" s="18" t="inlineStr">
        <is>
          <t>CÂN NHẮC THỬ NGHIỆM</t>
        </is>
      </c>
      <c r="Q1697" s="17" t="inlineStr">
        <is>
          <t>Không</t>
        </is>
      </c>
      <c r="R1697" s="20" t="n"/>
      <c r="S1697" s="20" t="n"/>
      <c r="T1697" s="21" t="n"/>
      <c r="U1697" s="21" t="n"/>
      <c r="V1697" s="22">
        <f>IF(U1697="A",K1697,IF(U1697="B",L1697,IF(U1697="C",M1697,IF(N1697="A",K1697,IF(N1697="B",L1697,M1697)))))</f>
        <v/>
      </c>
      <c r="W1697" s="22">
        <f>IF(R1697="",O1697,MAX(V1697-R1697-N(S1697),0))</f>
        <v/>
      </c>
      <c r="X1697" s="20" t="n"/>
      <c r="Y1697" s="23">
        <f>IF(OR(X1697="",W1697=0),"",X1697/W1697-1)</f>
        <v/>
      </c>
      <c r="Z1697" s="24" t="n"/>
      <c r="AA1697" s="21" t="n"/>
      <c r="AB1697" s="25" t="n"/>
      <c r="AC1697" s="26">
        <f>IF(T1697="","Chưa quyết định",IF(OR(Z1697="",AA1697=""),"⚠ Thiếu lý do/người duyệt",IF(AND(X1697&lt;&gt;"",N(X1697)+N(R1697)+N(S1697)&gt;M1697*1.001,R1697&lt;&gt;""),"⚠ Vượt mục tiêu P90",IF(AND(Y1697&lt;&gt;"",ABS(N(Y1697))&gt;0.3),"⚠ Lệch &gt; 30% so với nhu cầu",IF(Q1697="Có","ℹ Kiểm tra ngoại suy KM","✓ Hợp lệ")))))</f>
        <v/>
      </c>
    </row>
    <row r="1698">
      <c r="A1698" s="16" t="n">
        <v>1694</v>
      </c>
      <c r="B1698" s="17" t="inlineStr">
        <is>
          <t>DEC-S34-EGGS</t>
        </is>
      </c>
      <c r="C1698" s="16" t="n">
        <v>34</v>
      </c>
      <c r="D1698" s="17" t="inlineStr">
        <is>
          <t>EGGS</t>
        </is>
      </c>
      <c r="E1698" s="17" t="inlineStr">
        <is>
          <t>MEDIUM</t>
        </is>
      </c>
      <c r="F1698" s="17" t="inlineStr">
        <is>
          <t>CAO</t>
        </is>
      </c>
      <c r="G1698" s="18" t="inlineStr">
        <is>
          <t>RISK_MEDIUM</t>
        </is>
      </c>
      <c r="H1698" s="19" t="n">
        <v>1640.031782623291</v>
      </c>
      <c r="I1698" s="19" t="n">
        <v>2274.393683898926</v>
      </c>
      <c r="J1698" s="19" t="n">
        <v>3040.363547332764</v>
      </c>
      <c r="K1698" s="19" t="n">
        <v>2274.393683898926</v>
      </c>
      <c r="L1698" s="19" t="n">
        <v>2753.124848545075</v>
      </c>
      <c r="M1698" s="19" t="n">
        <v>3040.363547332764</v>
      </c>
      <c r="N1698" s="17" t="inlineStr">
        <is>
          <t>C</t>
        </is>
      </c>
      <c r="O1698" s="19" t="n">
        <v>1220.848600213623</v>
      </c>
      <c r="P1698" s="18" t="inlineStr">
        <is>
          <t>CÂN NHẮC THỬ NGHIỆM</t>
        </is>
      </c>
      <c r="Q1698" s="17" t="inlineStr">
        <is>
          <t>Không</t>
        </is>
      </c>
      <c r="R1698" s="20" t="n"/>
      <c r="S1698" s="20" t="n"/>
      <c r="T1698" s="21" t="n"/>
      <c r="U1698" s="21" t="n"/>
      <c r="V1698" s="22">
        <f>IF(U1698="A",K1698,IF(U1698="B",L1698,IF(U1698="C",M1698,IF(N1698="A",K1698,IF(N1698="B",L1698,M1698)))))</f>
        <v/>
      </c>
      <c r="W1698" s="22">
        <f>IF(R1698="",O1698,MAX(V1698-R1698-N(S1698),0))</f>
        <v/>
      </c>
      <c r="X1698" s="20" t="n"/>
      <c r="Y1698" s="23">
        <f>IF(OR(X1698="",W1698=0),"",X1698/W1698-1)</f>
        <v/>
      </c>
      <c r="Z1698" s="24" t="n"/>
      <c r="AA1698" s="21" t="n"/>
      <c r="AB1698" s="25" t="n"/>
      <c r="AC1698" s="26">
        <f>IF(T1698="","Chưa quyết định",IF(OR(Z1698="",AA1698=""),"⚠ Thiếu lý do/người duyệt",IF(AND(X1698&lt;&gt;"",N(X1698)+N(R1698)+N(S1698)&gt;M1698*1.001,R1698&lt;&gt;""),"⚠ Vượt mục tiêu P90",IF(AND(Y1698&lt;&gt;"",ABS(N(Y1698))&gt;0.3),"⚠ Lệch &gt; 30% so với nhu cầu",IF(Q1698="Có","ℹ Kiểm tra ngoại suy KM","✓ Hợp lệ")))))</f>
        <v/>
      </c>
    </row>
    <row r="1699">
      <c r="A1699" s="16" t="n">
        <v>1695</v>
      </c>
      <c r="B1699" s="17" t="inlineStr">
        <is>
          <t>DEC-S38-POULTRY</t>
        </is>
      </c>
      <c r="C1699" s="16" t="n">
        <v>38</v>
      </c>
      <c r="D1699" s="17" t="inlineStr">
        <is>
          <t>POULTRY</t>
        </is>
      </c>
      <c r="E1699" s="17" t="inlineStr">
        <is>
          <t>MEDIUM</t>
        </is>
      </c>
      <c r="F1699" s="17" t="inlineStr">
        <is>
          <t>CAO</t>
        </is>
      </c>
      <c r="G1699" s="18" t="inlineStr">
        <is>
          <t>RISK_MEDIUM</t>
        </is>
      </c>
      <c r="H1699" s="19" t="n">
        <v>1615.783724304199</v>
      </c>
      <c r="I1699" s="19" t="n">
        <v>2268.388427246094</v>
      </c>
      <c r="J1699" s="19" t="n">
        <v>3051.300863830566</v>
      </c>
      <c r="K1699" s="19" t="n">
        <v>2268.388427246094</v>
      </c>
      <c r="L1699" s="19" t="n">
        <v>2757.708700111389</v>
      </c>
      <c r="M1699" s="19" t="n">
        <v>3051.300863830566</v>
      </c>
      <c r="N1699" s="17" t="inlineStr">
        <is>
          <t>C</t>
        </is>
      </c>
      <c r="O1699" s="19" t="n">
        <v>1236.590122033691</v>
      </c>
      <c r="P1699" s="18" t="inlineStr">
        <is>
          <t>CÂN NHẮC THỬ NGHIỆM</t>
        </is>
      </c>
      <c r="Q1699" s="17" t="inlineStr">
        <is>
          <t>Không</t>
        </is>
      </c>
      <c r="R1699" s="20" t="n"/>
      <c r="S1699" s="20" t="n"/>
      <c r="T1699" s="21" t="n"/>
      <c r="U1699" s="21" t="n"/>
      <c r="V1699" s="22">
        <f>IF(U1699="A",K1699,IF(U1699="B",L1699,IF(U1699="C",M1699,IF(N1699="A",K1699,IF(N1699="B",L1699,M1699)))))</f>
        <v/>
      </c>
      <c r="W1699" s="22">
        <f>IF(R1699="",O1699,MAX(V1699-R1699-N(S1699),0))</f>
        <v/>
      </c>
      <c r="X1699" s="20" t="n"/>
      <c r="Y1699" s="23">
        <f>IF(OR(X1699="",W1699=0),"",X1699/W1699-1)</f>
        <v/>
      </c>
      <c r="Z1699" s="24" t="n"/>
      <c r="AA1699" s="21" t="n"/>
      <c r="AB1699" s="25" t="n"/>
      <c r="AC1699" s="26">
        <f>IF(T1699="","Chưa quyết định",IF(OR(Z1699="",AA1699=""),"⚠ Thiếu lý do/người duyệt",IF(AND(X1699&lt;&gt;"",N(X1699)+N(R1699)+N(S1699)&gt;M1699*1.001,R1699&lt;&gt;""),"⚠ Vượt mục tiêu P90",IF(AND(Y1699&lt;&gt;"",ABS(N(Y1699))&gt;0.3),"⚠ Lệch &gt; 30% so với nhu cầu",IF(Q1699="Có","ℹ Kiểm tra ngoại suy KM","✓ Hợp lệ")))))</f>
        <v/>
      </c>
    </row>
    <row r="1700">
      <c r="A1700" s="16" t="n">
        <v>1696</v>
      </c>
      <c r="B1700" s="17" t="inlineStr">
        <is>
          <t>DEC-S23-HOME_CARE</t>
        </is>
      </c>
      <c r="C1700" s="16" t="n">
        <v>23</v>
      </c>
      <c r="D1700" s="17" t="inlineStr">
        <is>
          <t>HOME CARE</t>
        </is>
      </c>
      <c r="E1700" s="17" t="inlineStr">
        <is>
          <t>MEDIUM</t>
        </is>
      </c>
      <c r="F1700" s="17" t="inlineStr">
        <is>
          <t>CAO</t>
        </is>
      </c>
      <c r="G1700" s="18" t="inlineStr">
        <is>
          <t>RISK_MEDIUM</t>
        </is>
      </c>
      <c r="H1700" s="19" t="n">
        <v>1669.846572875977</v>
      </c>
      <c r="I1700" s="19" t="n">
        <v>2266.170669555664</v>
      </c>
      <c r="J1700" s="19" t="n">
        <v>2964.306344360351</v>
      </c>
      <c r="K1700" s="19" t="n">
        <v>2266.170669555664</v>
      </c>
      <c r="L1700" s="19" t="n">
        <v>2702.505466308594</v>
      </c>
      <c r="M1700" s="19" t="n">
        <v>2964.306344360351</v>
      </c>
      <c r="N1700" s="17" t="inlineStr">
        <is>
          <t>C</t>
        </is>
      </c>
      <c r="O1700" s="19" t="n">
        <v>1151.36980871582</v>
      </c>
      <c r="P1700" s="18" t="inlineStr">
        <is>
          <t>CÂN NHẮC THỬ NGHIỆM</t>
        </is>
      </c>
      <c r="Q1700" s="17" t="inlineStr">
        <is>
          <t>Không</t>
        </is>
      </c>
      <c r="R1700" s="20" t="n"/>
      <c r="S1700" s="20" t="n"/>
      <c r="T1700" s="21" t="n"/>
      <c r="U1700" s="21" t="n"/>
      <c r="V1700" s="22">
        <f>IF(U1700="A",K1700,IF(U1700="B",L1700,IF(U1700="C",M1700,IF(N1700="A",K1700,IF(N1700="B",L1700,M1700)))))</f>
        <v/>
      </c>
      <c r="W1700" s="22">
        <f>IF(R1700="",O1700,MAX(V1700-R1700-N(S1700),0))</f>
        <v/>
      </c>
      <c r="X1700" s="20" t="n"/>
      <c r="Y1700" s="23">
        <f>IF(OR(X1700="",W1700=0),"",X1700/W1700-1)</f>
        <v/>
      </c>
      <c r="Z1700" s="24" t="n"/>
      <c r="AA1700" s="21" t="n"/>
      <c r="AB1700" s="25" t="n"/>
      <c r="AC1700" s="26">
        <f>IF(T1700="","Chưa quyết định",IF(OR(Z1700="",AA1700=""),"⚠ Thiếu lý do/người duyệt",IF(AND(X1700&lt;&gt;"",N(X1700)+N(R1700)+N(S1700)&gt;M1700*1.001,R1700&lt;&gt;""),"⚠ Vượt mục tiêu P90",IF(AND(Y1700&lt;&gt;"",ABS(N(Y1700))&gt;0.3),"⚠ Lệch &gt; 30% so với nhu cầu",IF(Q1700="Có","ℹ Kiểm tra ngoại suy KM","✓ Hợp lệ")))))</f>
        <v/>
      </c>
    </row>
    <row r="1701">
      <c r="A1701" s="16" t="n">
        <v>1697</v>
      </c>
      <c r="B1701" s="17" t="inlineStr">
        <is>
          <t>DEC-S26-PERSONAL_CARE</t>
        </is>
      </c>
      <c r="C1701" s="16" t="n">
        <v>26</v>
      </c>
      <c r="D1701" s="17" t="inlineStr">
        <is>
          <t>PERSONAL CARE</t>
        </is>
      </c>
      <c r="E1701" s="17" t="inlineStr">
        <is>
          <t>MEDIUM</t>
        </is>
      </c>
      <c r="F1701" s="17" t="inlineStr">
        <is>
          <t>CAO</t>
        </is>
      </c>
      <c r="G1701" s="18" t="inlineStr">
        <is>
          <t>RISK_MEDIUM</t>
        </is>
      </c>
      <c r="H1701" s="19" t="n">
        <v>1664.039268493652</v>
      </c>
      <c r="I1701" s="19" t="n">
        <v>2260.36336517334</v>
      </c>
      <c r="J1701" s="19" t="n">
        <v>2958.499039978027</v>
      </c>
      <c r="K1701" s="19" t="n">
        <v>2260.36336517334</v>
      </c>
      <c r="L1701" s="19" t="n">
        <v>2696.69816192627</v>
      </c>
      <c r="M1701" s="19" t="n">
        <v>2958.499039978027</v>
      </c>
      <c r="N1701" s="17" t="inlineStr">
        <is>
          <t>C</t>
        </is>
      </c>
      <c r="O1701" s="19" t="n">
        <v>1150.208347839355</v>
      </c>
      <c r="P1701" s="18" t="inlineStr">
        <is>
          <t>CÂN NHẮC THỬ NGHIỆM</t>
        </is>
      </c>
      <c r="Q1701" s="17" t="inlineStr">
        <is>
          <t>Không</t>
        </is>
      </c>
      <c r="R1701" s="20" t="n"/>
      <c r="S1701" s="20" t="n"/>
      <c r="T1701" s="21" t="n"/>
      <c r="U1701" s="21" t="n"/>
      <c r="V1701" s="22">
        <f>IF(U1701="A",K1701,IF(U1701="B",L1701,IF(U1701="C",M1701,IF(N1701="A",K1701,IF(N1701="B",L1701,M1701)))))</f>
        <v/>
      </c>
      <c r="W1701" s="22">
        <f>IF(R1701="",O1701,MAX(V1701-R1701-N(S1701),0))</f>
        <v/>
      </c>
      <c r="X1701" s="20" t="n"/>
      <c r="Y1701" s="23">
        <f>IF(OR(X1701="",W1701=0),"",X1701/W1701-1)</f>
        <v/>
      </c>
      <c r="Z1701" s="24" t="n"/>
      <c r="AA1701" s="21" t="n"/>
      <c r="AB1701" s="25" t="n"/>
      <c r="AC1701" s="26">
        <f>IF(T1701="","Chưa quyết định",IF(OR(Z1701="",AA1701=""),"⚠ Thiếu lý do/người duyệt",IF(AND(X1701&lt;&gt;"",N(X1701)+N(R1701)+N(S1701)&gt;M1701*1.001,R1701&lt;&gt;""),"⚠ Vượt mục tiêu P90",IF(AND(Y1701&lt;&gt;"",ABS(N(Y1701))&gt;0.3),"⚠ Lệch &gt; 30% so với nhu cầu",IF(Q1701="Có","ℹ Kiểm tra ngoại suy KM","✓ Hợp lệ")))))</f>
        <v/>
      </c>
    </row>
    <row r="1702">
      <c r="A1702" s="16" t="n">
        <v>1698</v>
      </c>
      <c r="B1702" s="17" t="inlineStr">
        <is>
          <t>DEC-S37-EGGS</t>
        </is>
      </c>
      <c r="C1702" s="16" t="n">
        <v>37</v>
      </c>
      <c r="D1702" s="17" t="inlineStr">
        <is>
          <t>EGGS</t>
        </is>
      </c>
      <c r="E1702" s="17" t="inlineStr">
        <is>
          <t>MEDIUM</t>
        </is>
      </c>
      <c r="F1702" s="17" t="inlineStr">
        <is>
          <t>CAO</t>
        </is>
      </c>
      <c r="G1702" s="18" t="inlineStr">
        <is>
          <t>RISK_MEDIUM</t>
        </is>
      </c>
      <c r="H1702" s="19" t="n">
        <v>1663.944557189941</v>
      </c>
      <c r="I1702" s="19" t="n">
        <v>2260.268653869629</v>
      </c>
      <c r="J1702" s="19" t="n">
        <v>2958.404328674316</v>
      </c>
      <c r="K1702" s="19" t="n">
        <v>2260.268653869629</v>
      </c>
      <c r="L1702" s="19" t="n">
        <v>2696.603450622559</v>
      </c>
      <c r="M1702" s="19" t="n">
        <v>2958.404328674316</v>
      </c>
      <c r="N1702" s="17" t="inlineStr">
        <is>
          <t>C</t>
        </is>
      </c>
      <c r="O1702" s="19" t="n">
        <v>1150.189405578613</v>
      </c>
      <c r="P1702" s="18" t="inlineStr">
        <is>
          <t>CÂN NHẮC THỬ NGHIỆM</t>
        </is>
      </c>
      <c r="Q1702" s="17" t="inlineStr">
        <is>
          <t>Không</t>
        </is>
      </c>
      <c r="R1702" s="20" t="n"/>
      <c r="S1702" s="20" t="n"/>
      <c r="T1702" s="21" t="n"/>
      <c r="U1702" s="21" t="n"/>
      <c r="V1702" s="22">
        <f>IF(U1702="A",K1702,IF(U1702="B",L1702,IF(U1702="C",M1702,IF(N1702="A",K1702,IF(N1702="B",L1702,M1702)))))</f>
        <v/>
      </c>
      <c r="W1702" s="22">
        <f>IF(R1702="",O1702,MAX(V1702-R1702-N(S1702),0))</f>
        <v/>
      </c>
      <c r="X1702" s="20" t="n"/>
      <c r="Y1702" s="23">
        <f>IF(OR(X1702="",W1702=0),"",X1702/W1702-1)</f>
        <v/>
      </c>
      <c r="Z1702" s="24" t="n"/>
      <c r="AA1702" s="21" t="n"/>
      <c r="AB1702" s="25" t="n"/>
      <c r="AC1702" s="26">
        <f>IF(T1702="","Chưa quyết định",IF(OR(Z1702="",AA1702=""),"⚠ Thiếu lý do/người duyệt",IF(AND(X1702&lt;&gt;"",N(X1702)+N(R1702)+N(S1702)&gt;M1702*1.001,R1702&lt;&gt;""),"⚠ Vượt mục tiêu P90",IF(AND(Y1702&lt;&gt;"",ABS(N(Y1702))&gt;0.3),"⚠ Lệch &gt; 30% so với nhu cầu",IF(Q1702="Có","ℹ Kiểm tra ngoại suy KM","✓ Hợp lệ")))))</f>
        <v/>
      </c>
    </row>
    <row r="1703">
      <c r="A1703" s="16" t="n">
        <v>1699</v>
      </c>
      <c r="B1703" s="17" t="inlineStr">
        <is>
          <t>DEC-S25-DELI</t>
        </is>
      </c>
      <c r="C1703" s="16" t="n">
        <v>25</v>
      </c>
      <c r="D1703" s="17" t="inlineStr">
        <is>
          <t>DELI</t>
        </is>
      </c>
      <c r="E1703" s="17" t="inlineStr">
        <is>
          <t>MEDIUM</t>
        </is>
      </c>
      <c r="F1703" s="17" t="inlineStr">
        <is>
          <t>CAO</t>
        </is>
      </c>
      <c r="G1703" s="18" t="inlineStr">
        <is>
          <t>RISK_MEDIUM</t>
        </is>
      </c>
      <c r="H1703" s="19" t="n">
        <v>1654.02417755127</v>
      </c>
      <c r="I1703" s="19" t="n">
        <v>2250.348274230957</v>
      </c>
      <c r="J1703" s="19" t="n">
        <v>2948.483949035644</v>
      </c>
      <c r="K1703" s="19" t="n">
        <v>2250.348274230957</v>
      </c>
      <c r="L1703" s="19" t="n">
        <v>2686.683070983887</v>
      </c>
      <c r="M1703" s="19" t="n">
        <v>2948.483949035644</v>
      </c>
      <c r="N1703" s="17" t="inlineStr">
        <is>
          <t>C</t>
        </is>
      </c>
      <c r="O1703" s="19" t="n">
        <v>1148.205329650879</v>
      </c>
      <c r="P1703" s="18" t="inlineStr">
        <is>
          <t>KHÔNG ĐỀ XUẤT TĂNG</t>
        </is>
      </c>
      <c r="Q1703" s="17" t="inlineStr">
        <is>
          <t>Không</t>
        </is>
      </c>
      <c r="R1703" s="20" t="n"/>
      <c r="S1703" s="20" t="n"/>
      <c r="T1703" s="21" t="n"/>
      <c r="U1703" s="21" t="n"/>
      <c r="V1703" s="22">
        <f>IF(U1703="A",K1703,IF(U1703="B",L1703,IF(U1703="C",M1703,IF(N1703="A",K1703,IF(N1703="B",L1703,M1703)))))</f>
        <v/>
      </c>
      <c r="W1703" s="22">
        <f>IF(R1703="",O1703,MAX(V1703-R1703-N(S1703),0))</f>
        <v/>
      </c>
      <c r="X1703" s="20" t="n"/>
      <c r="Y1703" s="23">
        <f>IF(OR(X1703="",W1703=0),"",X1703/W1703-1)</f>
        <v/>
      </c>
      <c r="Z1703" s="24" t="n"/>
      <c r="AA1703" s="21" t="n"/>
      <c r="AB1703" s="25" t="n"/>
      <c r="AC1703" s="26">
        <f>IF(T1703="","Chưa quyết định",IF(OR(Z1703="",AA1703=""),"⚠ Thiếu lý do/người duyệt",IF(AND(X1703&lt;&gt;"",N(X1703)+N(R1703)+N(S1703)&gt;M1703*1.001,R1703&lt;&gt;""),"⚠ Vượt mục tiêu P90",IF(AND(Y1703&lt;&gt;"",ABS(N(Y1703))&gt;0.3),"⚠ Lệch &gt; 30% so với nhu cầu",IF(Q1703="Có","ℹ Kiểm tra ngoại suy KM","✓ Hợp lệ")))))</f>
        <v/>
      </c>
    </row>
    <row r="1704">
      <c r="A1704" s="16" t="n">
        <v>1700</v>
      </c>
      <c r="B1704" s="17" t="inlineStr">
        <is>
          <t>DEC-S19-MEATS</t>
        </is>
      </c>
      <c r="C1704" s="16" t="n">
        <v>19</v>
      </c>
      <c r="D1704" s="17" t="inlineStr">
        <is>
          <t>MEATS</t>
        </is>
      </c>
      <c r="E1704" s="17" t="inlineStr">
        <is>
          <t>MEDIUM</t>
        </is>
      </c>
      <c r="F1704" s="17" t="inlineStr">
        <is>
          <t>CAO</t>
        </is>
      </c>
      <c r="G1704" s="18" t="inlineStr">
        <is>
          <t>RISK_MEDIUM</t>
        </is>
      </c>
      <c r="H1704" s="19" t="n">
        <v>1608.452668823242</v>
      </c>
      <c r="I1704" s="19" t="n">
        <v>2242.297169677734</v>
      </c>
      <c r="J1704" s="19" t="n">
        <v>2996.950685668945</v>
      </c>
      <c r="K1704" s="19" t="n">
        <v>2242.297169677734</v>
      </c>
      <c r="L1704" s="19" t="n">
        <v>2713.955617172241</v>
      </c>
      <c r="M1704" s="19" t="n">
        <v>2996.950685668945</v>
      </c>
      <c r="N1704" s="17" t="inlineStr">
        <is>
          <t>C</t>
        </is>
      </c>
      <c r="O1704" s="19" t="n">
        <v>1203.112949926757</v>
      </c>
      <c r="P1704" s="18" t="inlineStr">
        <is>
          <t>CÂN NHẮC THỬ NGHIỆM</t>
        </is>
      </c>
      <c r="Q1704" s="17" t="inlineStr">
        <is>
          <t>Không</t>
        </is>
      </c>
      <c r="R1704" s="20" t="n"/>
      <c r="S1704" s="20" t="n"/>
      <c r="T1704" s="21" t="n"/>
      <c r="U1704" s="21" t="n"/>
      <c r="V1704" s="22">
        <f>IF(U1704="A",K1704,IF(U1704="B",L1704,IF(U1704="C",M1704,IF(N1704="A",K1704,IF(N1704="B",L1704,M1704)))))</f>
        <v/>
      </c>
      <c r="W1704" s="22">
        <f>IF(R1704="",O1704,MAX(V1704-R1704-N(S1704),0))</f>
        <v/>
      </c>
      <c r="X1704" s="20" t="n"/>
      <c r="Y1704" s="23">
        <f>IF(OR(X1704="",W1704=0),"",X1704/W1704-1)</f>
        <v/>
      </c>
      <c r="Z1704" s="24" t="n"/>
      <c r="AA1704" s="21" t="n"/>
      <c r="AB1704" s="25" t="n"/>
      <c r="AC1704" s="26">
        <f>IF(T1704="","Chưa quyết định",IF(OR(Z1704="",AA1704=""),"⚠ Thiếu lý do/người duyệt",IF(AND(X1704&lt;&gt;"",N(X1704)+N(R1704)+N(S1704)&gt;M1704*1.001,R1704&lt;&gt;""),"⚠ Vượt mục tiêu P90",IF(AND(Y1704&lt;&gt;"",ABS(N(Y1704))&gt;0.3),"⚠ Lệch &gt; 30% so với nhu cầu",IF(Q1704="Có","ℹ Kiểm tra ngoại suy KM","✓ Hợp lệ")))))</f>
        <v/>
      </c>
    </row>
    <row r="1705">
      <c r="A1705" s="16" t="n">
        <v>1701</v>
      </c>
      <c r="B1705" s="17" t="inlineStr">
        <is>
          <t>DEC-S27-FROZEN_FOODS</t>
        </is>
      </c>
      <c r="C1705" s="16" t="n">
        <v>27</v>
      </c>
      <c r="D1705" s="17" t="inlineStr">
        <is>
          <t>FROZEN FOODS</t>
        </is>
      </c>
      <c r="E1705" s="17" t="inlineStr">
        <is>
          <t>MEDIUM</t>
        </is>
      </c>
      <c r="F1705" s="17" t="inlineStr">
        <is>
          <t>CAO</t>
        </is>
      </c>
      <c r="G1705" s="18" t="inlineStr">
        <is>
          <t>RISK_MEDIUM</t>
        </is>
      </c>
      <c r="H1705" s="19" t="n">
        <v>1588.426241394043</v>
      </c>
      <c r="I1705" s="19" t="n">
        <v>2241.030944335937</v>
      </c>
      <c r="J1705" s="19" t="n">
        <v>3023.94338092041</v>
      </c>
      <c r="K1705" s="19" t="n">
        <v>2241.030944335937</v>
      </c>
      <c r="L1705" s="19" t="n">
        <v>2730.351217201233</v>
      </c>
      <c r="M1705" s="19" t="n">
        <v>3023.94338092041</v>
      </c>
      <c r="N1705" s="17" t="inlineStr">
        <is>
          <t>C</t>
        </is>
      </c>
      <c r="O1705" s="19" t="n">
        <v>1231.11862545166</v>
      </c>
      <c r="P1705" s="18" t="inlineStr">
        <is>
          <t>CÂN NHẮC THỬ NGHIỆM</t>
        </is>
      </c>
      <c r="Q1705" s="17" t="inlineStr">
        <is>
          <t>Không</t>
        </is>
      </c>
      <c r="R1705" s="20" t="n"/>
      <c r="S1705" s="20" t="n"/>
      <c r="T1705" s="21" t="n"/>
      <c r="U1705" s="21" t="n"/>
      <c r="V1705" s="22">
        <f>IF(U1705="A",K1705,IF(U1705="B",L1705,IF(U1705="C",M1705,IF(N1705="A",K1705,IF(N1705="B",L1705,M1705)))))</f>
        <v/>
      </c>
      <c r="W1705" s="22">
        <f>IF(R1705="",O1705,MAX(V1705-R1705-N(S1705),0))</f>
        <v/>
      </c>
      <c r="X1705" s="20" t="n"/>
      <c r="Y1705" s="23">
        <f>IF(OR(X1705="",W1705=0),"",X1705/W1705-1)</f>
        <v/>
      </c>
      <c r="Z1705" s="24" t="n"/>
      <c r="AA1705" s="21" t="n"/>
      <c r="AB1705" s="25" t="n"/>
      <c r="AC1705" s="26">
        <f>IF(T1705="","Chưa quyết định",IF(OR(Z1705="",AA1705=""),"⚠ Thiếu lý do/người duyệt",IF(AND(X1705&lt;&gt;"",N(X1705)+N(R1705)+N(S1705)&gt;M1705*1.001,R1705&lt;&gt;""),"⚠ Vượt mục tiêu P90",IF(AND(Y1705&lt;&gt;"",ABS(N(Y1705))&gt;0.3),"⚠ Lệch &gt; 30% so với nhu cầu",IF(Q1705="Có","ℹ Kiểm tra ngoại suy KM","✓ Hợp lệ")))))</f>
        <v/>
      </c>
    </row>
    <row r="1706">
      <c r="A1706" s="16" t="n">
        <v>1702</v>
      </c>
      <c r="B1706" s="17" t="inlineStr">
        <is>
          <t>DEC-S01-DELI</t>
        </is>
      </c>
      <c r="C1706" s="16" t="n">
        <v>1</v>
      </c>
      <c r="D1706" s="17" t="inlineStr">
        <is>
          <t>DELI</t>
        </is>
      </c>
      <c r="E1706" s="17" t="inlineStr">
        <is>
          <t>MEDIUM</t>
        </is>
      </c>
      <c r="F1706" s="17" t="inlineStr">
        <is>
          <t>CAO</t>
        </is>
      </c>
      <c r="G1706" s="18" t="inlineStr">
        <is>
          <t>RISK_MEDIUM</t>
        </is>
      </c>
      <c r="H1706" s="19" t="n">
        <v>1657.220317840576</v>
      </c>
      <c r="I1706" s="19" t="n">
        <v>2235.301612854004</v>
      </c>
      <c r="J1706" s="19" t="n">
        <v>2916.494714508056</v>
      </c>
      <c r="K1706" s="19" t="n">
        <v>2235.301612854004</v>
      </c>
      <c r="L1706" s="19" t="n">
        <v>2661.047301387787</v>
      </c>
      <c r="M1706" s="19" t="n">
        <v>2916.494714508056</v>
      </c>
      <c r="N1706" s="17" t="inlineStr">
        <is>
          <t>C</t>
        </is>
      </c>
      <c r="O1706" s="19" t="n">
        <v>1128.253424224853</v>
      </c>
      <c r="P1706" s="18" t="inlineStr">
        <is>
          <t>KHÔNG ĐỀ XUẤT TĂNG</t>
        </is>
      </c>
      <c r="Q1706" s="17" t="inlineStr">
        <is>
          <t>Không</t>
        </is>
      </c>
      <c r="R1706" s="20" t="n"/>
      <c r="S1706" s="20" t="n"/>
      <c r="T1706" s="21" t="n"/>
      <c r="U1706" s="21" t="n"/>
      <c r="V1706" s="22">
        <f>IF(U1706="A",K1706,IF(U1706="B",L1706,IF(U1706="C",M1706,IF(N1706="A",K1706,IF(N1706="B",L1706,M1706)))))</f>
        <v/>
      </c>
      <c r="W1706" s="22">
        <f>IF(R1706="",O1706,MAX(V1706-R1706-N(S1706),0))</f>
        <v/>
      </c>
      <c r="X1706" s="20" t="n"/>
      <c r="Y1706" s="23">
        <f>IF(OR(X1706="",W1706=0),"",X1706/W1706-1)</f>
        <v/>
      </c>
      <c r="Z1706" s="24" t="n"/>
      <c r="AA1706" s="21" t="n"/>
      <c r="AB1706" s="25" t="n"/>
      <c r="AC1706" s="26">
        <f>IF(T1706="","Chưa quyết định",IF(OR(Z1706="",AA1706=""),"⚠ Thiếu lý do/người duyệt",IF(AND(X1706&lt;&gt;"",N(X1706)+N(R1706)+N(S1706)&gt;M1706*1.001,R1706&lt;&gt;""),"⚠ Vượt mục tiêu P90",IF(AND(Y1706&lt;&gt;"",ABS(N(Y1706))&gt;0.3),"⚠ Lệch &gt; 30% so với nhu cầu",IF(Q1706="Có","ℹ Kiểm tra ngoại suy KM","✓ Hợp lệ")))))</f>
        <v/>
      </c>
    </row>
    <row r="1707">
      <c r="A1707" s="16" t="n">
        <v>1703</v>
      </c>
      <c r="B1707" s="17" t="inlineStr">
        <is>
          <t>DEC-S07-PREPARED_FOODS</t>
        </is>
      </c>
      <c r="C1707" s="16" t="n">
        <v>7</v>
      </c>
      <c r="D1707" s="17" t="inlineStr">
        <is>
          <t>PREPARED FOODS</t>
        </is>
      </c>
      <c r="E1707" s="17" t="inlineStr">
        <is>
          <t>MEDIUM</t>
        </is>
      </c>
      <c r="F1707" s="17" t="inlineStr">
        <is>
          <t>CAO</t>
        </is>
      </c>
      <c r="G1707" s="18" t="inlineStr">
        <is>
          <t>RISK_MEDIUM</t>
        </is>
      </c>
      <c r="H1707" s="19" t="n">
        <v>1614.676284790039</v>
      </c>
      <c r="I1707" s="19" t="n">
        <v>2211.000381469727</v>
      </c>
      <c r="J1707" s="19" t="n">
        <v>2909.136056274414</v>
      </c>
      <c r="K1707" s="19" t="n">
        <v>2211.000381469727</v>
      </c>
      <c r="L1707" s="19" t="n">
        <v>2647.335178222656</v>
      </c>
      <c r="M1707" s="19" t="n">
        <v>2909.136056274414</v>
      </c>
      <c r="N1707" s="17" t="inlineStr">
        <is>
          <t>C</t>
        </is>
      </c>
      <c r="O1707" s="19" t="n">
        <v>1140.335751098632</v>
      </c>
      <c r="P1707" s="18" t="inlineStr">
        <is>
          <t>CÂN NHẮC THỬ NGHIỆM</t>
        </is>
      </c>
      <c r="Q1707" s="17" t="inlineStr">
        <is>
          <t>Không</t>
        </is>
      </c>
      <c r="R1707" s="20" t="n"/>
      <c r="S1707" s="20" t="n"/>
      <c r="T1707" s="21" t="n"/>
      <c r="U1707" s="21" t="n"/>
      <c r="V1707" s="22">
        <f>IF(U1707="A",K1707,IF(U1707="B",L1707,IF(U1707="C",M1707,IF(N1707="A",K1707,IF(N1707="B",L1707,M1707)))))</f>
        <v/>
      </c>
      <c r="W1707" s="22">
        <f>IF(R1707="",O1707,MAX(V1707-R1707-N(S1707),0))</f>
        <v/>
      </c>
      <c r="X1707" s="20" t="n"/>
      <c r="Y1707" s="23">
        <f>IF(OR(X1707="",W1707=0),"",X1707/W1707-1)</f>
        <v/>
      </c>
      <c r="Z1707" s="24" t="n"/>
      <c r="AA1707" s="21" t="n"/>
      <c r="AB1707" s="25" t="n"/>
      <c r="AC1707" s="26">
        <f>IF(T1707="","Chưa quyết định",IF(OR(Z1707="",AA1707=""),"⚠ Thiếu lý do/người duyệt",IF(AND(X1707&lt;&gt;"",N(X1707)+N(R1707)+N(S1707)&gt;M1707*1.001,R1707&lt;&gt;""),"⚠ Vượt mục tiêu P90",IF(AND(Y1707&lt;&gt;"",ABS(N(Y1707))&gt;0.3),"⚠ Lệch &gt; 30% so với nhu cầu",IF(Q1707="Có","ℹ Kiểm tra ngoại suy KM","✓ Hợp lệ")))))</f>
        <v/>
      </c>
    </row>
    <row r="1708">
      <c r="A1708" s="16" t="n">
        <v>1704</v>
      </c>
      <c r="B1708" s="17" t="inlineStr">
        <is>
          <t>DEC-S15-MEATS</t>
        </is>
      </c>
      <c r="C1708" s="16" t="n">
        <v>15</v>
      </c>
      <c r="D1708" s="17" t="inlineStr">
        <is>
          <t>MEATS</t>
        </is>
      </c>
      <c r="E1708" s="17" t="inlineStr">
        <is>
          <t>MEDIUM</t>
        </is>
      </c>
      <c r="F1708" s="17" t="inlineStr">
        <is>
          <t>CAO</t>
        </is>
      </c>
      <c r="G1708" s="18" t="inlineStr">
        <is>
          <t>RISK_MEDIUM</t>
        </is>
      </c>
      <c r="H1708" s="19" t="n">
        <v>1610.061424255371</v>
      </c>
      <c r="I1708" s="19" t="n">
        <v>2206.385520935059</v>
      </c>
      <c r="J1708" s="19" t="n">
        <v>2904.521195739746</v>
      </c>
      <c r="K1708" s="19" t="n">
        <v>2206.385520935059</v>
      </c>
      <c r="L1708" s="19" t="n">
        <v>2642.720317687988</v>
      </c>
      <c r="M1708" s="19" t="n">
        <v>2904.521195739746</v>
      </c>
      <c r="N1708" s="17" t="inlineStr">
        <is>
          <t>C</t>
        </is>
      </c>
      <c r="O1708" s="19" t="n">
        <v>1139.412778991699</v>
      </c>
      <c r="P1708" s="18" t="inlineStr">
        <is>
          <t>CÂN NHẮC THỬ NGHIỆM</t>
        </is>
      </c>
      <c r="Q1708" s="17" t="inlineStr">
        <is>
          <t>Không</t>
        </is>
      </c>
      <c r="R1708" s="20" t="n"/>
      <c r="S1708" s="20" t="n"/>
      <c r="T1708" s="21" t="n"/>
      <c r="U1708" s="21" t="n"/>
      <c r="V1708" s="22">
        <f>IF(U1708="A",K1708,IF(U1708="B",L1708,IF(U1708="C",M1708,IF(N1708="A",K1708,IF(N1708="B",L1708,M1708)))))</f>
        <v/>
      </c>
      <c r="W1708" s="22">
        <f>IF(R1708="",O1708,MAX(V1708-R1708-N(S1708),0))</f>
        <v/>
      </c>
      <c r="X1708" s="20" t="n"/>
      <c r="Y1708" s="23">
        <f>IF(OR(X1708="",W1708=0),"",X1708/W1708-1)</f>
        <v/>
      </c>
      <c r="Z1708" s="24" t="n"/>
      <c r="AA1708" s="21" t="n"/>
      <c r="AB1708" s="25" t="n"/>
      <c r="AC1708" s="26">
        <f>IF(T1708="","Chưa quyết định",IF(OR(Z1708="",AA1708=""),"⚠ Thiếu lý do/người duyệt",IF(AND(X1708&lt;&gt;"",N(X1708)+N(R1708)+N(S1708)&gt;M1708*1.001,R1708&lt;&gt;""),"⚠ Vượt mục tiêu P90",IF(AND(Y1708&lt;&gt;"",ABS(N(Y1708))&gt;0.3),"⚠ Lệch &gt; 30% so với nhu cầu",IF(Q1708="Có","ℹ Kiểm tra ngoại suy KM","✓ Hợp lệ")))))</f>
        <v/>
      </c>
    </row>
    <row r="1709">
      <c r="A1709" s="16" t="n">
        <v>1705</v>
      </c>
      <c r="B1709" s="17" t="inlineStr">
        <is>
          <t>DEC-S53-FROZEN_FOODS</t>
        </is>
      </c>
      <c r="C1709" s="16" t="n">
        <v>53</v>
      </c>
      <c r="D1709" s="17" t="inlineStr">
        <is>
          <t>FROZEN FOODS</t>
        </is>
      </c>
      <c r="E1709" s="17" t="inlineStr">
        <is>
          <t>MEDIUM</t>
        </is>
      </c>
      <c r="F1709" s="17" t="inlineStr">
        <is>
          <t>CAO</t>
        </is>
      </c>
      <c r="G1709" s="18" t="inlineStr">
        <is>
          <t>RISK_MEDIUM</t>
        </is>
      </c>
      <c r="H1709" s="19" t="n">
        <v>1571.27691809082</v>
      </c>
      <c r="I1709" s="19" t="n">
        <v>2205.121418945313</v>
      </c>
      <c r="J1709" s="19" t="n">
        <v>2959.774934936523</v>
      </c>
      <c r="K1709" s="19" t="n">
        <v>2205.121418945313</v>
      </c>
      <c r="L1709" s="19" t="n">
        <v>2676.779866439819</v>
      </c>
      <c r="M1709" s="19" t="n">
        <v>2959.774934936523</v>
      </c>
      <c r="N1709" s="17" t="inlineStr">
        <is>
          <t>C</t>
        </is>
      </c>
      <c r="O1709" s="19" t="n">
        <v>1195.677799780273</v>
      </c>
      <c r="P1709" s="18" t="inlineStr">
        <is>
          <t>CÂN NHẮC THỬ NGHIỆM</t>
        </is>
      </c>
      <c r="Q1709" s="17" t="inlineStr">
        <is>
          <t>Không</t>
        </is>
      </c>
      <c r="R1709" s="20" t="n"/>
      <c r="S1709" s="20" t="n"/>
      <c r="T1709" s="21" t="n"/>
      <c r="U1709" s="21" t="n"/>
      <c r="V1709" s="22">
        <f>IF(U1709="A",K1709,IF(U1709="B",L1709,IF(U1709="C",M1709,IF(N1709="A",K1709,IF(N1709="B",L1709,M1709)))))</f>
        <v/>
      </c>
      <c r="W1709" s="22">
        <f>IF(R1709="",O1709,MAX(V1709-R1709-N(S1709),0))</f>
        <v/>
      </c>
      <c r="X1709" s="20" t="n"/>
      <c r="Y1709" s="23">
        <f>IF(OR(X1709="",W1709=0),"",X1709/W1709-1)</f>
        <v/>
      </c>
      <c r="Z1709" s="24" t="n"/>
      <c r="AA1709" s="21" t="n"/>
      <c r="AB1709" s="25" t="n"/>
      <c r="AC1709" s="26">
        <f>IF(T1709="","Chưa quyết định",IF(OR(Z1709="",AA1709=""),"⚠ Thiếu lý do/người duyệt",IF(AND(X1709&lt;&gt;"",N(X1709)+N(R1709)+N(S1709)&gt;M1709*1.001,R1709&lt;&gt;""),"⚠ Vượt mục tiêu P90",IF(AND(Y1709&lt;&gt;"",ABS(N(Y1709))&gt;0.3),"⚠ Lệch &gt; 30% so với nhu cầu",IF(Q1709="Có","ℹ Kiểm tra ngoại suy KM","✓ Hợp lệ")))))</f>
        <v/>
      </c>
    </row>
    <row r="1710">
      <c r="A1710" s="16" t="n">
        <v>1706</v>
      </c>
      <c r="B1710" s="17" t="inlineStr">
        <is>
          <t>DEC-S44-HOME_AND_KITCHEN_I</t>
        </is>
      </c>
      <c r="C1710" s="16" t="n">
        <v>44</v>
      </c>
      <c r="D1710" s="17" t="inlineStr">
        <is>
          <t>HOME AND KITCHEN I</t>
        </is>
      </c>
      <c r="E1710" s="17" t="inlineStr">
        <is>
          <t>MEDIUM</t>
        </is>
      </c>
      <c r="F1710" s="17" t="inlineStr">
        <is>
          <t>CAO</t>
        </is>
      </c>
      <c r="G1710" s="18" t="inlineStr">
        <is>
          <t>RISK_MEDIUM</t>
        </is>
      </c>
      <c r="H1710" s="19" t="n">
        <v>1590.987686157227</v>
      </c>
      <c r="I1710" s="19" t="n">
        <v>2187.311782836914</v>
      </c>
      <c r="J1710" s="19" t="n">
        <v>2885.447457641601</v>
      </c>
      <c r="K1710" s="19" t="n">
        <v>2187.311782836914</v>
      </c>
      <c r="L1710" s="19" t="n">
        <v>2623.646579589843</v>
      </c>
      <c r="M1710" s="19" t="n">
        <v>2885.447457641601</v>
      </c>
      <c r="N1710" s="17" t="inlineStr">
        <is>
          <t>C</t>
        </is>
      </c>
      <c r="O1710" s="19" t="n">
        <v>1135.598031372069</v>
      </c>
      <c r="P1710" s="18" t="inlineStr">
        <is>
          <t>CÂN NHẮC THỬ NGHIỆM</t>
        </is>
      </c>
      <c r="Q1710" s="17" t="inlineStr">
        <is>
          <t>Không</t>
        </is>
      </c>
      <c r="R1710" s="20" t="n"/>
      <c r="S1710" s="20" t="n"/>
      <c r="T1710" s="21" t="n"/>
      <c r="U1710" s="21" t="n"/>
      <c r="V1710" s="22">
        <f>IF(U1710="A",K1710,IF(U1710="B",L1710,IF(U1710="C",M1710,IF(N1710="A",K1710,IF(N1710="B",L1710,M1710)))))</f>
        <v/>
      </c>
      <c r="W1710" s="22">
        <f>IF(R1710="",O1710,MAX(V1710-R1710-N(S1710),0))</f>
        <v/>
      </c>
      <c r="X1710" s="20" t="n"/>
      <c r="Y1710" s="23">
        <f>IF(OR(X1710="",W1710=0),"",X1710/W1710-1)</f>
        <v/>
      </c>
      <c r="Z1710" s="24" t="n"/>
      <c r="AA1710" s="21" t="n"/>
      <c r="AB1710" s="25" t="n"/>
      <c r="AC1710" s="26">
        <f>IF(T1710="","Chưa quyết định",IF(OR(Z1710="",AA1710=""),"⚠ Thiếu lý do/người duyệt",IF(AND(X1710&lt;&gt;"",N(X1710)+N(R1710)+N(S1710)&gt;M1710*1.001,R1710&lt;&gt;""),"⚠ Vượt mục tiêu P90",IF(AND(Y1710&lt;&gt;"",ABS(N(Y1710))&gt;0.3),"⚠ Lệch &gt; 30% so với nhu cầu",IF(Q1710="Có","ℹ Kiểm tra ngoại suy KM","✓ Hợp lệ")))))</f>
        <v/>
      </c>
    </row>
    <row r="1711">
      <c r="A1711" s="16" t="n">
        <v>1707</v>
      </c>
      <c r="B1711" s="17" t="inlineStr">
        <is>
          <t>DEC-S31-POULTRY</t>
        </is>
      </c>
      <c r="C1711" s="16" t="n">
        <v>31</v>
      </c>
      <c r="D1711" s="17" t="inlineStr">
        <is>
          <t>POULTRY</t>
        </is>
      </c>
      <c r="E1711" s="17" t="inlineStr">
        <is>
          <t>MEDIUM</t>
        </is>
      </c>
      <c r="F1711" s="17" t="inlineStr">
        <is>
          <t>CAO</t>
        </is>
      </c>
      <c r="G1711" s="18" t="inlineStr">
        <is>
          <t>RISK_MEDIUM</t>
        </is>
      </c>
      <c r="H1711" s="19" t="n">
        <v>1587.960380554199</v>
      </c>
      <c r="I1711" s="19" t="n">
        <v>2184.284477233887</v>
      </c>
      <c r="J1711" s="19" t="n">
        <v>2882.420152038574</v>
      </c>
      <c r="K1711" s="19" t="n">
        <v>2184.284477233887</v>
      </c>
      <c r="L1711" s="19" t="n">
        <v>2620.619273986817</v>
      </c>
      <c r="M1711" s="19" t="n">
        <v>2882.420152038574</v>
      </c>
      <c r="N1711" s="17" t="inlineStr">
        <is>
          <t>C</t>
        </is>
      </c>
      <c r="O1711" s="19" t="n">
        <v>1134.992570251465</v>
      </c>
      <c r="P1711" s="18" t="inlineStr">
        <is>
          <t>CÂN NHẮC THỬ NGHIỆM</t>
        </is>
      </c>
      <c r="Q1711" s="17" t="inlineStr">
        <is>
          <t>Không</t>
        </is>
      </c>
      <c r="R1711" s="20" t="n"/>
      <c r="S1711" s="20" t="n"/>
      <c r="T1711" s="21" t="n"/>
      <c r="U1711" s="21" t="n"/>
      <c r="V1711" s="22">
        <f>IF(U1711="A",K1711,IF(U1711="B",L1711,IF(U1711="C",M1711,IF(N1711="A",K1711,IF(N1711="B",L1711,M1711)))))</f>
        <v/>
      </c>
      <c r="W1711" s="22">
        <f>IF(R1711="",O1711,MAX(V1711-R1711-N(S1711),0))</f>
        <v/>
      </c>
      <c r="X1711" s="20" t="n"/>
      <c r="Y1711" s="23">
        <f>IF(OR(X1711="",W1711=0),"",X1711/W1711-1)</f>
        <v/>
      </c>
      <c r="Z1711" s="24" t="n"/>
      <c r="AA1711" s="21" t="n"/>
      <c r="AB1711" s="25" t="n"/>
      <c r="AC1711" s="26">
        <f>IF(T1711="","Chưa quyết định",IF(OR(Z1711="",AA1711=""),"⚠ Thiếu lý do/người duyệt",IF(AND(X1711&lt;&gt;"",N(X1711)+N(R1711)+N(S1711)&gt;M1711*1.001,R1711&lt;&gt;""),"⚠ Vượt mục tiêu P90",IF(AND(Y1711&lt;&gt;"",ABS(N(Y1711))&gt;0.3),"⚠ Lệch &gt; 30% so với nhu cầu",IF(Q1711="Có","ℹ Kiểm tra ngoại suy KM","✓ Hợp lệ")))))</f>
        <v/>
      </c>
    </row>
    <row r="1712">
      <c r="A1712" s="16" t="n">
        <v>1708</v>
      </c>
      <c r="B1712" s="17" t="inlineStr">
        <is>
          <t>DEC-S20-EGGS</t>
        </is>
      </c>
      <c r="C1712" s="16" t="n">
        <v>20</v>
      </c>
      <c r="D1712" s="17" t="inlineStr">
        <is>
          <t>EGGS</t>
        </is>
      </c>
      <c r="E1712" s="17" t="inlineStr">
        <is>
          <t>MEDIUM</t>
        </is>
      </c>
      <c r="F1712" s="17" t="inlineStr">
        <is>
          <t>CAO</t>
        </is>
      </c>
      <c r="G1712" s="18" t="inlineStr">
        <is>
          <t>RISK_MEDIUM</t>
        </is>
      </c>
      <c r="H1712" s="19" t="n">
        <v>1549.392263885498</v>
      </c>
      <c r="I1712" s="19" t="n">
        <v>2183.754165161133</v>
      </c>
      <c r="J1712" s="19" t="n">
        <v>2949.724028594971</v>
      </c>
      <c r="K1712" s="19" t="n">
        <v>2183.754165161133</v>
      </c>
      <c r="L1712" s="19" t="n">
        <v>2662.485329807281</v>
      </c>
      <c r="M1712" s="19" t="n">
        <v>2949.724028594971</v>
      </c>
      <c r="N1712" s="17" t="inlineStr">
        <is>
          <t>C</t>
        </is>
      </c>
      <c r="O1712" s="19" t="n">
        <v>1202.720696466065</v>
      </c>
      <c r="P1712" s="18" t="inlineStr">
        <is>
          <t>CÂN NHẮC THỬ NGHIỆM</t>
        </is>
      </c>
      <c r="Q1712" s="17" t="inlineStr">
        <is>
          <t>Không</t>
        </is>
      </c>
      <c r="R1712" s="20" t="n"/>
      <c r="S1712" s="20" t="n"/>
      <c r="T1712" s="21" t="n"/>
      <c r="U1712" s="21" t="n"/>
      <c r="V1712" s="22">
        <f>IF(U1712="A",K1712,IF(U1712="B",L1712,IF(U1712="C",M1712,IF(N1712="A",K1712,IF(N1712="B",L1712,M1712)))))</f>
        <v/>
      </c>
      <c r="W1712" s="22">
        <f>IF(R1712="",O1712,MAX(V1712-R1712-N(S1712),0))</f>
        <v/>
      </c>
      <c r="X1712" s="20" t="n"/>
      <c r="Y1712" s="23">
        <f>IF(OR(X1712="",W1712=0),"",X1712/W1712-1)</f>
        <v/>
      </c>
      <c r="Z1712" s="24" t="n"/>
      <c r="AA1712" s="21" t="n"/>
      <c r="AB1712" s="25" t="n"/>
      <c r="AC1712" s="26">
        <f>IF(T1712="","Chưa quyết định",IF(OR(Z1712="",AA1712=""),"⚠ Thiếu lý do/người duyệt",IF(AND(X1712&lt;&gt;"",N(X1712)+N(R1712)+N(S1712)&gt;M1712*1.001,R1712&lt;&gt;""),"⚠ Vượt mục tiêu P90",IF(AND(Y1712&lt;&gt;"",ABS(N(Y1712))&gt;0.3),"⚠ Lệch &gt; 30% so với nhu cầu",IF(Q1712="Có","ℹ Kiểm tra ngoại suy KM","✓ Hợp lệ")))))</f>
        <v/>
      </c>
    </row>
    <row r="1713">
      <c r="A1713" s="16" t="n">
        <v>1709</v>
      </c>
      <c r="B1713" s="17" t="inlineStr">
        <is>
          <t>DEC-S48-EGGS</t>
        </is>
      </c>
      <c r="C1713" s="16" t="n">
        <v>48</v>
      </c>
      <c r="D1713" s="17" t="inlineStr">
        <is>
          <t>EGGS</t>
        </is>
      </c>
      <c r="E1713" s="17" t="inlineStr">
        <is>
          <t>MEDIUM</t>
        </is>
      </c>
      <c r="F1713" s="17" t="inlineStr">
        <is>
          <t>CAO</t>
        </is>
      </c>
      <c r="G1713" s="18" t="inlineStr">
        <is>
          <t>RISK_MEDIUM</t>
        </is>
      </c>
      <c r="H1713" s="19" t="n">
        <v>1523.68101739502</v>
      </c>
      <c r="I1713" s="19" t="n">
        <v>2176.285720336914</v>
      </c>
      <c r="J1713" s="19" t="n">
        <v>2959.198156921387</v>
      </c>
      <c r="K1713" s="19" t="n">
        <v>2176.285720336914</v>
      </c>
      <c r="L1713" s="19" t="n">
        <v>2665.605993202209</v>
      </c>
      <c r="M1713" s="19" t="n">
        <v>2959.198156921387</v>
      </c>
      <c r="N1713" s="17" t="inlineStr">
        <is>
          <t>C</t>
        </is>
      </c>
      <c r="O1713" s="19" t="n">
        <v>1218.169580651856</v>
      </c>
      <c r="P1713" s="18" t="inlineStr">
        <is>
          <t>CÂN NHẮC THỬ NGHIỆM</t>
        </is>
      </c>
      <c r="Q1713" s="17" t="inlineStr">
        <is>
          <t>Không</t>
        </is>
      </c>
      <c r="R1713" s="20" t="n"/>
      <c r="S1713" s="20" t="n"/>
      <c r="T1713" s="21" t="n"/>
      <c r="U1713" s="21" t="n"/>
      <c r="V1713" s="22">
        <f>IF(U1713="A",K1713,IF(U1713="B",L1713,IF(U1713="C",M1713,IF(N1713="A",K1713,IF(N1713="B",L1713,M1713)))))</f>
        <v/>
      </c>
      <c r="W1713" s="22">
        <f>IF(R1713="",O1713,MAX(V1713-R1713-N(S1713),0))</f>
        <v/>
      </c>
      <c r="X1713" s="20" t="n"/>
      <c r="Y1713" s="23">
        <f>IF(OR(X1713="",W1713=0),"",X1713/W1713-1)</f>
        <v/>
      </c>
      <c r="Z1713" s="24" t="n"/>
      <c r="AA1713" s="21" t="n"/>
      <c r="AB1713" s="25" t="n"/>
      <c r="AC1713" s="26">
        <f>IF(T1713="","Chưa quyết định",IF(OR(Z1713="",AA1713=""),"⚠ Thiếu lý do/người duyệt",IF(AND(X1713&lt;&gt;"",N(X1713)+N(R1713)+N(S1713)&gt;M1713*1.001,R1713&lt;&gt;""),"⚠ Vượt mục tiêu P90",IF(AND(Y1713&lt;&gt;"",ABS(N(Y1713))&gt;0.3),"⚠ Lệch &gt; 30% so với nhu cầu",IF(Q1713="Có","ℹ Kiểm tra ngoại suy KM","✓ Hợp lệ")))))</f>
        <v/>
      </c>
    </row>
    <row r="1714">
      <c r="A1714" s="16" t="n">
        <v>1710</v>
      </c>
      <c r="B1714" s="17" t="inlineStr">
        <is>
          <t>DEC-S30-DELI</t>
        </is>
      </c>
      <c r="C1714" s="16" t="n">
        <v>30</v>
      </c>
      <c r="D1714" s="17" t="inlineStr">
        <is>
          <t>DELI</t>
        </is>
      </c>
      <c r="E1714" s="17" t="inlineStr">
        <is>
          <t>MEDIUM</t>
        </is>
      </c>
      <c r="F1714" s="17" t="inlineStr">
        <is>
          <t>CAO</t>
        </is>
      </c>
      <c r="G1714" s="18" t="inlineStr">
        <is>
          <t>RISK_MEDIUM</t>
        </is>
      </c>
      <c r="H1714" s="19" t="n">
        <v>1554.946159362793</v>
      </c>
      <c r="I1714" s="19" t="n">
        <v>2151.27025604248</v>
      </c>
      <c r="J1714" s="19" t="n">
        <v>2849.405930847168</v>
      </c>
      <c r="K1714" s="19" t="n">
        <v>2151.27025604248</v>
      </c>
      <c r="L1714" s="19" t="n">
        <v>2587.60505279541</v>
      </c>
      <c r="M1714" s="19" t="n">
        <v>2849.405930847168</v>
      </c>
      <c r="N1714" s="17" t="inlineStr">
        <is>
          <t>C</t>
        </is>
      </c>
      <c r="O1714" s="19" t="n">
        <v>1128.389726013184</v>
      </c>
      <c r="P1714" s="18" t="inlineStr">
        <is>
          <t>CÂN NHẮC THỬ NGHIỆM</t>
        </is>
      </c>
      <c r="Q1714" s="17" t="inlineStr">
        <is>
          <t>Không</t>
        </is>
      </c>
      <c r="R1714" s="20" t="n"/>
      <c r="S1714" s="20" t="n"/>
      <c r="T1714" s="21" t="n"/>
      <c r="U1714" s="21" t="n"/>
      <c r="V1714" s="22">
        <f>IF(U1714="A",K1714,IF(U1714="B",L1714,IF(U1714="C",M1714,IF(N1714="A",K1714,IF(N1714="B",L1714,M1714)))))</f>
        <v/>
      </c>
      <c r="W1714" s="22">
        <f>IF(R1714="",O1714,MAX(V1714-R1714-N(S1714),0))</f>
        <v/>
      </c>
      <c r="X1714" s="20" t="n"/>
      <c r="Y1714" s="23">
        <f>IF(OR(X1714="",W1714=0),"",X1714/W1714-1)</f>
        <v/>
      </c>
      <c r="Z1714" s="24" t="n"/>
      <c r="AA1714" s="21" t="n"/>
      <c r="AB1714" s="25" t="n"/>
      <c r="AC1714" s="26">
        <f>IF(T1714="","Chưa quyết định",IF(OR(Z1714="",AA1714=""),"⚠ Thiếu lý do/người duyệt",IF(AND(X1714&lt;&gt;"",N(X1714)+N(R1714)+N(S1714)&gt;M1714*1.001,R1714&lt;&gt;""),"⚠ Vượt mục tiêu P90",IF(AND(Y1714&lt;&gt;"",ABS(N(Y1714))&gt;0.3),"⚠ Lệch &gt; 30% so với nhu cầu",IF(Q1714="Có","ℹ Kiểm tra ngoại suy KM","✓ Hợp lệ")))))</f>
        <v/>
      </c>
    </row>
    <row r="1715">
      <c r="A1715" s="16" t="n">
        <v>1711</v>
      </c>
      <c r="B1715" s="17" t="inlineStr">
        <is>
          <t>DEC-S37-FROZEN_FOODS</t>
        </is>
      </c>
      <c r="C1715" s="16" t="n">
        <v>37</v>
      </c>
      <c r="D1715" s="17" t="inlineStr">
        <is>
          <t>FROZEN FOODS</t>
        </is>
      </c>
      <c r="E1715" s="17" t="inlineStr">
        <is>
          <t>MEDIUM</t>
        </is>
      </c>
      <c r="F1715" s="17" t="inlineStr">
        <is>
          <t>CAO</t>
        </is>
      </c>
      <c r="G1715" s="18" t="inlineStr">
        <is>
          <t>RISK_MEDIUM</t>
        </is>
      </c>
      <c r="H1715" s="19" t="n">
        <v>1530.416687011719</v>
      </c>
      <c r="I1715" s="19" t="n">
        <v>2126.740783691406</v>
      </c>
      <c r="J1715" s="19" t="n">
        <v>2824.876458496094</v>
      </c>
      <c r="K1715" s="19" t="n">
        <v>2126.740783691406</v>
      </c>
      <c r="L1715" s="19" t="n">
        <v>2563.075580444336</v>
      </c>
      <c r="M1715" s="19" t="n">
        <v>2824.876458496094</v>
      </c>
      <c r="N1715" s="17" t="inlineStr">
        <is>
          <t>C</t>
        </is>
      </c>
      <c r="O1715" s="19" t="n">
        <v>1123.483831542969</v>
      </c>
      <c r="P1715" s="18" t="inlineStr">
        <is>
          <t>CÂN NHẮC THỬ NGHIỆM</t>
        </is>
      </c>
      <c r="Q1715" s="17" t="inlineStr">
        <is>
          <t>Không</t>
        </is>
      </c>
      <c r="R1715" s="20" t="n"/>
      <c r="S1715" s="20" t="n"/>
      <c r="T1715" s="21" t="n"/>
      <c r="U1715" s="21" t="n"/>
      <c r="V1715" s="22">
        <f>IF(U1715="A",K1715,IF(U1715="B",L1715,IF(U1715="C",M1715,IF(N1715="A",K1715,IF(N1715="B",L1715,M1715)))))</f>
        <v/>
      </c>
      <c r="W1715" s="22">
        <f>IF(R1715="",O1715,MAX(V1715-R1715-N(S1715),0))</f>
        <v/>
      </c>
      <c r="X1715" s="20" t="n"/>
      <c r="Y1715" s="23">
        <f>IF(OR(X1715="",W1715=0),"",X1715/W1715-1)</f>
        <v/>
      </c>
      <c r="Z1715" s="24" t="n"/>
      <c r="AA1715" s="21" t="n"/>
      <c r="AB1715" s="25" t="n"/>
      <c r="AC1715" s="26">
        <f>IF(T1715="","Chưa quyết định",IF(OR(Z1715="",AA1715=""),"⚠ Thiếu lý do/người duyệt",IF(AND(X1715&lt;&gt;"",N(X1715)+N(R1715)+N(S1715)&gt;M1715*1.001,R1715&lt;&gt;""),"⚠ Vượt mục tiêu P90",IF(AND(Y1715&lt;&gt;"",ABS(N(Y1715))&gt;0.3),"⚠ Lệch &gt; 30% so với nhu cầu",IF(Q1715="Có","ℹ Kiểm tra ngoại suy KM","✓ Hợp lệ")))))</f>
        <v/>
      </c>
    </row>
    <row r="1716">
      <c r="A1716" s="16" t="n">
        <v>1712</v>
      </c>
      <c r="B1716" s="17" t="inlineStr">
        <is>
          <t>DEC-S18-MEATS</t>
        </is>
      </c>
      <c r="C1716" s="16" t="n">
        <v>18</v>
      </c>
      <c r="D1716" s="17" t="inlineStr">
        <is>
          <t>MEATS</t>
        </is>
      </c>
      <c r="E1716" s="17" t="inlineStr">
        <is>
          <t>MEDIUM</t>
        </is>
      </c>
      <c r="F1716" s="17" t="inlineStr">
        <is>
          <t>CAO</t>
        </is>
      </c>
      <c r="G1716" s="18" t="inlineStr">
        <is>
          <t>RISK_MEDIUM</t>
        </is>
      </c>
      <c r="H1716" s="19" t="n">
        <v>1469.619886077881</v>
      </c>
      <c r="I1716" s="19" t="n">
        <v>2085.221585266113</v>
      </c>
      <c r="J1716" s="19" t="n">
        <v>2822.932528106689</v>
      </c>
      <c r="K1716" s="19" t="n">
        <v>2085.221585266113</v>
      </c>
      <c r="L1716" s="19" t="n">
        <v>2546.290924541473</v>
      </c>
      <c r="M1716" s="19" t="n">
        <v>2822.932528106689</v>
      </c>
      <c r="N1716" s="17" t="inlineStr">
        <is>
          <t>C</t>
        </is>
      </c>
      <c r="O1716" s="19" t="n">
        <v>1154.755259893798</v>
      </c>
      <c r="P1716" s="18" t="inlineStr">
        <is>
          <t>CÂN NHẮC THỬ NGHIỆM</t>
        </is>
      </c>
      <c r="Q1716" s="17" t="inlineStr">
        <is>
          <t>Không</t>
        </is>
      </c>
      <c r="R1716" s="20" t="n"/>
      <c r="S1716" s="20" t="n"/>
      <c r="T1716" s="21" t="n"/>
      <c r="U1716" s="21" t="n"/>
      <c r="V1716" s="22">
        <f>IF(U1716="A",K1716,IF(U1716="B",L1716,IF(U1716="C",M1716,IF(N1716="A",K1716,IF(N1716="B",L1716,M1716)))))</f>
        <v/>
      </c>
      <c r="W1716" s="22">
        <f>IF(R1716="",O1716,MAX(V1716-R1716-N(S1716),0))</f>
        <v/>
      </c>
      <c r="X1716" s="20" t="n"/>
      <c r="Y1716" s="23">
        <f>IF(OR(X1716="",W1716=0),"",X1716/W1716-1)</f>
        <v/>
      </c>
      <c r="Z1716" s="24" t="n"/>
      <c r="AA1716" s="21" t="n"/>
      <c r="AB1716" s="25" t="n"/>
      <c r="AC1716" s="26">
        <f>IF(T1716="","Chưa quyết định",IF(OR(Z1716="",AA1716=""),"⚠ Thiếu lý do/người duyệt",IF(AND(X1716&lt;&gt;"",N(X1716)+N(R1716)+N(S1716)&gt;M1716*1.001,R1716&lt;&gt;""),"⚠ Vượt mục tiêu P90",IF(AND(Y1716&lt;&gt;"",ABS(N(Y1716))&gt;0.3),"⚠ Lệch &gt; 30% so với nhu cầu",IF(Q1716="Có","ℹ Kiểm tra ngoại suy KM","✓ Hợp lệ")))))</f>
        <v/>
      </c>
    </row>
    <row r="1717">
      <c r="A1717" s="16" t="n">
        <v>1713</v>
      </c>
      <c r="B1717" s="17" t="inlineStr">
        <is>
          <t>DEC-S44-HOME_AND_KITCHEN_II</t>
        </is>
      </c>
      <c r="C1717" s="16" t="n">
        <v>44</v>
      </c>
      <c r="D1717" s="17" t="inlineStr">
        <is>
          <t>HOME AND KITCHEN II</t>
        </is>
      </c>
      <c r="E1717" s="17" t="inlineStr">
        <is>
          <t>MEDIUM</t>
        </is>
      </c>
      <c r="F1717" s="17" t="inlineStr">
        <is>
          <t>CAO</t>
        </is>
      </c>
      <c r="G1717" s="18" t="inlineStr">
        <is>
          <t>RISK_MEDIUM</t>
        </is>
      </c>
      <c r="H1717" s="19" t="n">
        <v>1481.206153869629</v>
      </c>
      <c r="I1717" s="19" t="n">
        <v>2077.530250549316</v>
      </c>
      <c r="J1717" s="19" t="n">
        <v>2775.665925354004</v>
      </c>
      <c r="K1717" s="19" t="n">
        <v>2077.530250549316</v>
      </c>
      <c r="L1717" s="19" t="n">
        <v>2513.865047302246</v>
      </c>
      <c r="M1717" s="19" t="n">
        <v>2775.665925354004</v>
      </c>
      <c r="N1717" s="17" t="inlineStr">
        <is>
          <t>C</t>
        </is>
      </c>
      <c r="O1717" s="19" t="n">
        <v>1113.641724914551</v>
      </c>
      <c r="P1717" s="18" t="inlineStr">
        <is>
          <t>CÂN NHẮC THỬ NGHIỆM</t>
        </is>
      </c>
      <c r="Q1717" s="17" t="inlineStr">
        <is>
          <t>Không</t>
        </is>
      </c>
      <c r="R1717" s="20" t="n"/>
      <c r="S1717" s="20" t="n"/>
      <c r="T1717" s="21" t="n"/>
      <c r="U1717" s="21" t="n"/>
      <c r="V1717" s="22">
        <f>IF(U1717="A",K1717,IF(U1717="B",L1717,IF(U1717="C",M1717,IF(N1717="A",K1717,IF(N1717="B",L1717,M1717)))))</f>
        <v/>
      </c>
      <c r="W1717" s="22">
        <f>IF(R1717="",O1717,MAX(V1717-R1717-N(S1717),0))</f>
        <v/>
      </c>
      <c r="X1717" s="20" t="n"/>
      <c r="Y1717" s="23">
        <f>IF(OR(X1717="",W1717=0),"",X1717/W1717-1)</f>
        <v/>
      </c>
      <c r="Z1717" s="24" t="n"/>
      <c r="AA1717" s="21" t="n"/>
      <c r="AB1717" s="25" t="n"/>
      <c r="AC1717" s="26">
        <f>IF(T1717="","Chưa quyết định",IF(OR(Z1717="",AA1717=""),"⚠ Thiếu lý do/người duyệt",IF(AND(X1717&lt;&gt;"",N(X1717)+N(R1717)+N(S1717)&gt;M1717*1.001,R1717&lt;&gt;""),"⚠ Vượt mục tiêu P90",IF(AND(Y1717&lt;&gt;"",ABS(N(Y1717))&gt;0.3),"⚠ Lệch &gt; 30% so với nhu cầu",IF(Q1717="Có","ℹ Kiểm tra ngoại suy KM","✓ Hợp lệ")))))</f>
        <v/>
      </c>
    </row>
    <row r="1718">
      <c r="A1718" s="16" t="n">
        <v>1714</v>
      </c>
      <c r="B1718" s="17" t="inlineStr">
        <is>
          <t>DEC-S46-LIQUOR_WINE_BEER</t>
        </is>
      </c>
      <c r="C1718" s="16" t="n">
        <v>46</v>
      </c>
      <c r="D1718" s="17" t="inlineStr">
        <is>
          <t>LIQUOR,WINE,BEER</t>
        </is>
      </c>
      <c r="E1718" s="17" t="inlineStr">
        <is>
          <t>MEDIUM</t>
        </is>
      </c>
      <c r="F1718" s="17" t="inlineStr">
        <is>
          <t>CAO</t>
        </is>
      </c>
      <c r="G1718" s="18" t="inlineStr">
        <is>
          <t>RISK_MEDIUM</t>
        </is>
      </c>
      <c r="H1718" s="19" t="n">
        <v>1456.419263519287</v>
      </c>
      <c r="I1718" s="19" t="n">
        <v>2072.02096270752</v>
      </c>
      <c r="J1718" s="19" t="n">
        <v>2809.731905548096</v>
      </c>
      <c r="K1718" s="19" t="n">
        <v>2072.02096270752</v>
      </c>
      <c r="L1718" s="19" t="n">
        <v>2533.09030198288</v>
      </c>
      <c r="M1718" s="19" t="n">
        <v>2809.731905548096</v>
      </c>
      <c r="N1718" s="17" t="inlineStr">
        <is>
          <t>C</t>
        </is>
      </c>
      <c r="O1718" s="19" t="n">
        <v>1152.11513538208</v>
      </c>
      <c r="P1718" s="18" t="inlineStr">
        <is>
          <t>CÂN NHẮC THỬ NGHIỆM</t>
        </is>
      </c>
      <c r="Q1718" s="17" t="inlineStr">
        <is>
          <t>Không</t>
        </is>
      </c>
      <c r="R1718" s="20" t="n"/>
      <c r="S1718" s="20" t="n"/>
      <c r="T1718" s="21" t="n"/>
      <c r="U1718" s="21" t="n"/>
      <c r="V1718" s="22">
        <f>IF(U1718="A",K1718,IF(U1718="B",L1718,IF(U1718="C",M1718,IF(N1718="A",K1718,IF(N1718="B",L1718,M1718)))))</f>
        <v/>
      </c>
      <c r="W1718" s="22">
        <f>IF(R1718="",O1718,MAX(V1718-R1718-N(S1718),0))</f>
        <v/>
      </c>
      <c r="X1718" s="20" t="n"/>
      <c r="Y1718" s="23">
        <f>IF(OR(X1718="",W1718=0),"",X1718/W1718-1)</f>
        <v/>
      </c>
      <c r="Z1718" s="24" t="n"/>
      <c r="AA1718" s="21" t="n"/>
      <c r="AB1718" s="25" t="n"/>
      <c r="AC1718" s="26">
        <f>IF(T1718="","Chưa quyết định",IF(OR(Z1718="",AA1718=""),"⚠ Thiếu lý do/người duyệt",IF(AND(X1718&lt;&gt;"",N(X1718)+N(R1718)+N(S1718)&gt;M1718*1.001,R1718&lt;&gt;""),"⚠ Vượt mục tiêu P90",IF(AND(Y1718&lt;&gt;"",ABS(N(Y1718))&gt;0.3),"⚠ Lệch &gt; 30% so với nhu cầu",IF(Q1718="Có","ℹ Kiểm tra ngoại suy KM","✓ Hợp lệ")))))</f>
        <v/>
      </c>
    </row>
    <row r="1719">
      <c r="A1719" s="16" t="n">
        <v>1715</v>
      </c>
      <c r="B1719" s="17" t="inlineStr">
        <is>
          <t>DEC-S32-BREAD_BAKERY</t>
        </is>
      </c>
      <c r="C1719" s="16" t="n">
        <v>32</v>
      </c>
      <c r="D1719" s="17" t="inlineStr">
        <is>
          <t>BREAD/BAKERY</t>
        </is>
      </c>
      <c r="E1719" s="17" t="inlineStr">
        <is>
          <t>MEDIUM</t>
        </is>
      </c>
      <c r="F1719" s="17" t="inlineStr">
        <is>
          <t>CAO</t>
        </is>
      </c>
      <c r="G1719" s="18" t="inlineStr">
        <is>
          <t>RISK_MEDIUM</t>
        </is>
      </c>
      <c r="H1719" s="19" t="n">
        <v>1433.462868530274</v>
      </c>
      <c r="I1719" s="19" t="n">
        <v>2048.547167297363</v>
      </c>
      <c r="J1719" s="19" t="n">
        <v>2774.941762695312</v>
      </c>
      <c r="K1719" s="19" t="n">
        <v>2048.547167297363</v>
      </c>
      <c r="L1719" s="19" t="n">
        <v>2502.543789421081</v>
      </c>
      <c r="M1719" s="19" t="n">
        <v>2774.941762695312</v>
      </c>
      <c r="N1719" s="17" t="inlineStr">
        <is>
          <t>C</t>
        </is>
      </c>
      <c r="O1719" s="19" t="n">
        <v>1136.104028857422</v>
      </c>
      <c r="P1719" s="18" t="inlineStr">
        <is>
          <t>KHÔNG ĐỀ XUẤT TĂNG</t>
        </is>
      </c>
      <c r="Q1719" s="17" t="inlineStr">
        <is>
          <t>Không</t>
        </is>
      </c>
      <c r="R1719" s="20" t="n"/>
      <c r="S1719" s="20" t="n"/>
      <c r="T1719" s="21" t="n"/>
      <c r="U1719" s="21" t="n"/>
      <c r="V1719" s="22">
        <f>IF(U1719="A",K1719,IF(U1719="B",L1719,IF(U1719="C",M1719,IF(N1719="A",K1719,IF(N1719="B",L1719,M1719)))))</f>
        <v/>
      </c>
      <c r="W1719" s="22">
        <f>IF(R1719="",O1719,MAX(V1719-R1719-N(S1719),0))</f>
        <v/>
      </c>
      <c r="X1719" s="20" t="n"/>
      <c r="Y1719" s="23">
        <f>IF(OR(X1719="",W1719=0),"",X1719/W1719-1)</f>
        <v/>
      </c>
      <c r="Z1719" s="24" t="n"/>
      <c r="AA1719" s="21" t="n"/>
      <c r="AB1719" s="25" t="n"/>
      <c r="AC1719" s="26">
        <f>IF(T1719="","Chưa quyết định",IF(OR(Z1719="",AA1719=""),"⚠ Thiếu lý do/người duyệt",IF(AND(X1719&lt;&gt;"",N(X1719)+N(R1719)+N(S1719)&gt;M1719*1.001,R1719&lt;&gt;""),"⚠ Vượt mục tiêu P90",IF(AND(Y1719&lt;&gt;"",ABS(N(Y1719))&gt;0.3),"⚠ Lệch &gt; 30% so với nhu cầu",IF(Q1719="Có","ℹ Kiểm tra ngoại suy KM","✓ Hợp lệ")))))</f>
        <v/>
      </c>
    </row>
    <row r="1720">
      <c r="A1720" s="16" t="n">
        <v>1716</v>
      </c>
      <c r="B1720" s="17" t="inlineStr">
        <is>
          <t>DEC-S36-POULTRY</t>
        </is>
      </c>
      <c r="C1720" s="16" t="n">
        <v>36</v>
      </c>
      <c r="D1720" s="17" t="inlineStr">
        <is>
          <t>POULTRY</t>
        </is>
      </c>
      <c r="E1720" s="17" t="inlineStr">
        <is>
          <t>MEDIUM</t>
        </is>
      </c>
      <c r="F1720" s="17" t="inlineStr">
        <is>
          <t>CAO</t>
        </is>
      </c>
      <c r="G1720" s="18" t="inlineStr">
        <is>
          <t>RISK_MEDIUM</t>
        </is>
      </c>
      <c r="H1720" s="19" t="n">
        <v>1434.477600097656</v>
      </c>
      <c r="I1720" s="19" t="n">
        <v>2030.801696777344</v>
      </c>
      <c r="J1720" s="19" t="n">
        <v>2728.937371582031</v>
      </c>
      <c r="K1720" s="19" t="n">
        <v>2030.801696777344</v>
      </c>
      <c r="L1720" s="19" t="n">
        <v>2467.136493530274</v>
      </c>
      <c r="M1720" s="19" t="n">
        <v>2728.937371582031</v>
      </c>
      <c r="N1720" s="17" t="inlineStr">
        <is>
          <t>C</t>
        </is>
      </c>
      <c r="O1720" s="19" t="n">
        <v>1104.296014160156</v>
      </c>
      <c r="P1720" s="18" t="inlineStr">
        <is>
          <t>CÂN NHẮC THỬ NGHIỆM</t>
        </is>
      </c>
      <c r="Q1720" s="17" t="inlineStr">
        <is>
          <t>Không</t>
        </is>
      </c>
      <c r="R1720" s="20" t="n"/>
      <c r="S1720" s="20" t="n"/>
      <c r="T1720" s="21" t="n"/>
      <c r="U1720" s="21" t="n"/>
      <c r="V1720" s="22">
        <f>IF(U1720="A",K1720,IF(U1720="B",L1720,IF(U1720="C",M1720,IF(N1720="A",K1720,IF(N1720="B",L1720,M1720)))))</f>
        <v/>
      </c>
      <c r="W1720" s="22">
        <f>IF(R1720="",O1720,MAX(V1720-R1720-N(S1720),0))</f>
        <v/>
      </c>
      <c r="X1720" s="20" t="n"/>
      <c r="Y1720" s="23">
        <f>IF(OR(X1720="",W1720=0),"",X1720/W1720-1)</f>
        <v/>
      </c>
      <c r="Z1720" s="24" t="n"/>
      <c r="AA1720" s="21" t="n"/>
      <c r="AB1720" s="25" t="n"/>
      <c r="AC1720" s="26">
        <f>IF(T1720="","Chưa quyết định",IF(OR(Z1720="",AA1720=""),"⚠ Thiếu lý do/người duyệt",IF(AND(X1720&lt;&gt;"",N(X1720)+N(R1720)+N(S1720)&gt;M1720*1.001,R1720&lt;&gt;""),"⚠ Vượt mục tiêu P90",IF(AND(Y1720&lt;&gt;"",ABS(N(Y1720))&gt;0.3),"⚠ Lệch &gt; 30% so với nhu cầu",IF(Q1720="Có","ℹ Kiểm tra ngoại suy KM","✓ Hợp lệ")))))</f>
        <v/>
      </c>
    </row>
    <row r="1721">
      <c r="A1721" s="16" t="n">
        <v>1717</v>
      </c>
      <c r="B1721" s="17" t="inlineStr">
        <is>
          <t>DEC-S29-MEATS</t>
        </is>
      </c>
      <c r="C1721" s="16" t="n">
        <v>29</v>
      </c>
      <c r="D1721" s="17" t="inlineStr">
        <is>
          <t>MEATS</t>
        </is>
      </c>
      <c r="E1721" s="17" t="inlineStr">
        <is>
          <t>MEDIUM</t>
        </is>
      </c>
      <c r="F1721" s="17" t="inlineStr">
        <is>
          <t>CAO</t>
        </is>
      </c>
      <c r="G1721" s="18" t="inlineStr">
        <is>
          <t>RISK_MEDIUM</t>
        </is>
      </c>
      <c r="H1721" s="19" t="n">
        <v>1417.752159118652</v>
      </c>
      <c r="I1721" s="19" t="n">
        <v>2014.07625579834</v>
      </c>
      <c r="J1721" s="19" t="n">
        <v>2712.211930603027</v>
      </c>
      <c r="K1721" s="19" t="n">
        <v>2014.07625579834</v>
      </c>
      <c r="L1721" s="19" t="n">
        <v>2450.41105255127</v>
      </c>
      <c r="M1721" s="19" t="n">
        <v>2712.211930603027</v>
      </c>
      <c r="N1721" s="17" t="inlineStr">
        <is>
          <t>C</t>
        </is>
      </c>
      <c r="O1721" s="19" t="n">
        <v>1100.950925964355</v>
      </c>
      <c r="P1721" s="18" t="inlineStr">
        <is>
          <t>CÂN NHẮC THỬ NGHIỆM</t>
        </is>
      </c>
      <c r="Q1721" s="17" t="inlineStr">
        <is>
          <t>Không</t>
        </is>
      </c>
      <c r="R1721" s="20" t="n"/>
      <c r="S1721" s="20" t="n"/>
      <c r="T1721" s="21" t="n"/>
      <c r="U1721" s="21" t="n"/>
      <c r="V1721" s="22">
        <f>IF(U1721="A",K1721,IF(U1721="B",L1721,IF(U1721="C",M1721,IF(N1721="A",K1721,IF(N1721="B",L1721,M1721)))))</f>
        <v/>
      </c>
      <c r="W1721" s="22">
        <f>IF(R1721="",O1721,MAX(V1721-R1721-N(S1721),0))</f>
        <v/>
      </c>
      <c r="X1721" s="20" t="n"/>
      <c r="Y1721" s="23">
        <f>IF(OR(X1721="",W1721=0),"",X1721/W1721-1)</f>
        <v/>
      </c>
      <c r="Z1721" s="24" t="n"/>
      <c r="AA1721" s="21" t="n"/>
      <c r="AB1721" s="25" t="n"/>
      <c r="AC1721" s="26">
        <f>IF(T1721="","Chưa quyết định",IF(OR(Z1721="",AA1721=""),"⚠ Thiếu lý do/người duyệt",IF(AND(X1721&lt;&gt;"",N(X1721)+N(R1721)+N(S1721)&gt;M1721*1.001,R1721&lt;&gt;""),"⚠ Vượt mục tiêu P90",IF(AND(Y1721&lt;&gt;"",ABS(N(Y1721))&gt;0.3),"⚠ Lệch &gt; 30% so với nhu cầu",IF(Q1721="Có","ℹ Kiểm tra ngoại suy KM","✓ Hợp lệ")))))</f>
        <v/>
      </c>
    </row>
    <row r="1722">
      <c r="A1722" s="16" t="n">
        <v>1718</v>
      </c>
      <c r="B1722" s="17" t="inlineStr">
        <is>
          <t>DEC-S48-LIQUOR_WINE_BEER</t>
        </is>
      </c>
      <c r="C1722" s="16" t="n">
        <v>48</v>
      </c>
      <c r="D1722" s="17" t="inlineStr">
        <is>
          <t>LIQUOR,WINE,BEER</t>
        </is>
      </c>
      <c r="E1722" s="17" t="inlineStr">
        <is>
          <t>MEDIUM</t>
        </is>
      </c>
      <c r="F1722" s="17" t="inlineStr">
        <is>
          <t>CAO</t>
        </is>
      </c>
      <c r="G1722" s="18" t="inlineStr">
        <is>
          <t>RISK_MEDIUM</t>
        </is>
      </c>
      <c r="H1722" s="19" t="n">
        <v>1412.381875671387</v>
      </c>
      <c r="I1722" s="19" t="n">
        <v>2009.74077319336</v>
      </c>
      <c r="J1722" s="19" t="n">
        <v>2730.509142883301</v>
      </c>
      <c r="K1722" s="19" t="n">
        <v>2009.74077319336</v>
      </c>
      <c r="L1722" s="19" t="n">
        <v>2460.221004249573</v>
      </c>
      <c r="M1722" s="19" t="n">
        <v>2730.509142883301</v>
      </c>
      <c r="N1722" s="17" t="inlineStr">
        <is>
          <t>C</t>
        </is>
      </c>
      <c r="O1722" s="19" t="n">
        <v>1122.716524328613</v>
      </c>
      <c r="P1722" s="18" t="inlineStr">
        <is>
          <t>CÂN NHẮC THỬ NGHIỆM</t>
        </is>
      </c>
      <c r="Q1722" s="17" t="inlineStr">
        <is>
          <t>Không</t>
        </is>
      </c>
      <c r="R1722" s="20" t="n"/>
      <c r="S1722" s="20" t="n"/>
      <c r="T1722" s="21" t="n"/>
      <c r="U1722" s="21" t="n"/>
      <c r="V1722" s="22">
        <f>IF(U1722="A",K1722,IF(U1722="B",L1722,IF(U1722="C",M1722,IF(N1722="A",K1722,IF(N1722="B",L1722,M1722)))))</f>
        <v/>
      </c>
      <c r="W1722" s="22">
        <f>IF(R1722="",O1722,MAX(V1722-R1722-N(S1722),0))</f>
        <v/>
      </c>
      <c r="X1722" s="20" t="n"/>
      <c r="Y1722" s="23">
        <f>IF(OR(X1722="",W1722=0),"",X1722/W1722-1)</f>
        <v/>
      </c>
      <c r="Z1722" s="24" t="n"/>
      <c r="AA1722" s="21" t="n"/>
      <c r="AB1722" s="25" t="n"/>
      <c r="AC1722" s="26">
        <f>IF(T1722="","Chưa quyết định",IF(OR(Z1722="",AA1722=""),"⚠ Thiếu lý do/người duyệt",IF(AND(X1722&lt;&gt;"",N(X1722)+N(R1722)+N(S1722)&gt;M1722*1.001,R1722&lt;&gt;""),"⚠ Vượt mục tiêu P90",IF(AND(Y1722&lt;&gt;"",ABS(N(Y1722))&gt;0.3),"⚠ Lệch &gt; 30% so với nhu cầu",IF(Q1722="Có","ℹ Kiểm tra ngoại suy KM","✓ Hợp lệ")))))</f>
        <v/>
      </c>
    </row>
    <row r="1723">
      <c r="A1723" s="16" t="n">
        <v>1719</v>
      </c>
      <c r="B1723" s="17" t="inlineStr">
        <is>
          <t>DEC-S01-FROZEN_FOODS</t>
        </is>
      </c>
      <c r="C1723" s="16" t="n">
        <v>1</v>
      </c>
      <c r="D1723" s="17" t="inlineStr">
        <is>
          <t>FROZEN FOODS</t>
        </is>
      </c>
      <c r="E1723" s="17" t="inlineStr">
        <is>
          <t>MEDIUM</t>
        </is>
      </c>
      <c r="F1723" s="17" t="inlineStr">
        <is>
          <t>CAO</t>
        </is>
      </c>
      <c r="G1723" s="18" t="inlineStr">
        <is>
          <t>RISK_MEDIUM</t>
        </is>
      </c>
      <c r="H1723" s="19" t="n">
        <v>1434.391624450684</v>
      </c>
      <c r="I1723" s="19" t="n">
        <v>1994.230117797852</v>
      </c>
      <c r="J1723" s="19" t="n">
        <v>2658.480646301269</v>
      </c>
      <c r="K1723" s="19" t="n">
        <v>1994.230117797852</v>
      </c>
      <c r="L1723" s="19" t="n">
        <v>2409.386698112488</v>
      </c>
      <c r="M1723" s="19" t="n">
        <v>2658.480646301269</v>
      </c>
      <c r="N1723" s="17" t="inlineStr">
        <is>
          <t>C</t>
        </is>
      </c>
      <c r="O1723" s="19" t="n">
        <v>1063.096552062988</v>
      </c>
      <c r="P1723" s="18" t="inlineStr">
        <is>
          <t>CÂN NHẮC THỬ NGHIỆM</t>
        </is>
      </c>
      <c r="Q1723" s="17" t="inlineStr">
        <is>
          <t>Không</t>
        </is>
      </c>
      <c r="R1723" s="20" t="n"/>
      <c r="S1723" s="20" t="n"/>
      <c r="T1723" s="21" t="n"/>
      <c r="U1723" s="21" t="n"/>
      <c r="V1723" s="22">
        <f>IF(U1723="A",K1723,IF(U1723="B",L1723,IF(U1723="C",M1723,IF(N1723="A",K1723,IF(N1723="B",L1723,M1723)))))</f>
        <v/>
      </c>
      <c r="W1723" s="22">
        <f>IF(R1723="",O1723,MAX(V1723-R1723-N(S1723),0))</f>
        <v/>
      </c>
      <c r="X1723" s="20" t="n"/>
      <c r="Y1723" s="23">
        <f>IF(OR(X1723="",W1723=0),"",X1723/W1723-1)</f>
        <v/>
      </c>
      <c r="Z1723" s="24" t="n"/>
      <c r="AA1723" s="21" t="n"/>
      <c r="AB1723" s="25" t="n"/>
      <c r="AC1723" s="26">
        <f>IF(T1723="","Chưa quyết định",IF(OR(Z1723="",AA1723=""),"⚠ Thiếu lý do/người duyệt",IF(AND(X1723&lt;&gt;"",N(X1723)+N(R1723)+N(S1723)&gt;M1723*1.001,R1723&lt;&gt;""),"⚠ Vượt mục tiêu P90",IF(AND(Y1723&lt;&gt;"",ABS(N(Y1723))&gt;0.3),"⚠ Lệch &gt; 30% so với nhu cầu",IF(Q1723="Có","ℹ Kiểm tra ngoại suy KM","✓ Hợp lệ")))))</f>
        <v/>
      </c>
    </row>
    <row r="1724">
      <c r="A1724" s="16" t="n">
        <v>1720</v>
      </c>
      <c r="B1724" s="17" t="inlineStr">
        <is>
          <t>DEC-S02-FROZEN_FOODS</t>
        </is>
      </c>
      <c r="C1724" s="16" t="n">
        <v>2</v>
      </c>
      <c r="D1724" s="17" t="inlineStr">
        <is>
          <t>FROZEN FOODS</t>
        </is>
      </c>
      <c r="E1724" s="17" t="inlineStr">
        <is>
          <t>MEDIUM</t>
        </is>
      </c>
      <c r="F1724" s="17" t="inlineStr">
        <is>
          <t>CAO</t>
        </is>
      </c>
      <c r="G1724" s="18" t="inlineStr">
        <is>
          <t>RISK_MEDIUM</t>
        </is>
      </c>
      <c r="H1724" s="19" t="n">
        <v>1394.510383605957</v>
      </c>
      <c r="I1724" s="19" t="n">
        <v>1990.834480285644</v>
      </c>
      <c r="J1724" s="19" t="n">
        <v>2688.970155090332</v>
      </c>
      <c r="K1724" s="19" t="n">
        <v>1990.834480285644</v>
      </c>
      <c r="L1724" s="19" t="n">
        <v>2427.169277038574</v>
      </c>
      <c r="M1724" s="19" t="n">
        <v>2688.970155090332</v>
      </c>
      <c r="N1724" s="17" t="inlineStr">
        <is>
          <t>C</t>
        </is>
      </c>
      <c r="O1724" s="19" t="n">
        <v>1096.302570861816</v>
      </c>
      <c r="P1724" s="18" t="inlineStr">
        <is>
          <t>CÂN NHẮC THỬ NGHIỆM</t>
        </is>
      </c>
      <c r="Q1724" s="17" t="inlineStr">
        <is>
          <t>Không</t>
        </is>
      </c>
      <c r="R1724" s="20" t="n"/>
      <c r="S1724" s="20" t="n"/>
      <c r="T1724" s="21" t="n"/>
      <c r="U1724" s="21" t="n"/>
      <c r="V1724" s="22">
        <f>IF(U1724="A",K1724,IF(U1724="B",L1724,IF(U1724="C",M1724,IF(N1724="A",K1724,IF(N1724="B",L1724,M1724)))))</f>
        <v/>
      </c>
      <c r="W1724" s="22">
        <f>IF(R1724="",O1724,MAX(V1724-R1724-N(S1724),0))</f>
        <v/>
      </c>
      <c r="X1724" s="20" t="n"/>
      <c r="Y1724" s="23">
        <f>IF(OR(X1724="",W1724=0),"",X1724/W1724-1)</f>
        <v/>
      </c>
      <c r="Z1724" s="24" t="n"/>
      <c r="AA1724" s="21" t="n"/>
      <c r="AB1724" s="25" t="n"/>
      <c r="AC1724" s="26">
        <f>IF(T1724="","Chưa quyết định",IF(OR(Z1724="",AA1724=""),"⚠ Thiếu lý do/người duyệt",IF(AND(X1724&lt;&gt;"",N(X1724)+N(R1724)+N(S1724)&gt;M1724*1.001,R1724&lt;&gt;""),"⚠ Vượt mục tiêu P90",IF(AND(Y1724&lt;&gt;"",ABS(N(Y1724))&gt;0.3),"⚠ Lệch &gt; 30% so với nhu cầu",IF(Q1724="Có","ℹ Kiểm tra ngoại suy KM","✓ Hợp lệ")))))</f>
        <v/>
      </c>
    </row>
    <row r="1725">
      <c r="A1725" s="16" t="n">
        <v>1721</v>
      </c>
      <c r="B1725" s="17" t="inlineStr">
        <is>
          <t>DEC-S42-FROZEN_FOODS</t>
        </is>
      </c>
      <c r="C1725" s="16" t="n">
        <v>42</v>
      </c>
      <c r="D1725" s="17" t="inlineStr">
        <is>
          <t>FROZEN FOODS</t>
        </is>
      </c>
      <c r="E1725" s="17" t="inlineStr">
        <is>
          <t>MEDIUM</t>
        </is>
      </c>
      <c r="F1725" s="17" t="inlineStr">
        <is>
          <t>CAO</t>
        </is>
      </c>
      <c r="G1725" s="18" t="inlineStr">
        <is>
          <t>RISK_MEDIUM</t>
        </is>
      </c>
      <c r="H1725" s="19" t="n">
        <v>1387.700462341309</v>
      </c>
      <c r="I1725" s="19" t="n">
        <v>1984.024559020996</v>
      </c>
      <c r="J1725" s="19" t="n">
        <v>2682.160233825683</v>
      </c>
      <c r="K1725" s="19" t="n">
        <v>1984.024559020996</v>
      </c>
      <c r="L1725" s="19" t="n">
        <v>2420.359355773926</v>
      </c>
      <c r="M1725" s="19" t="n">
        <v>2682.160233825683</v>
      </c>
      <c r="N1725" s="17" t="inlineStr">
        <is>
          <t>C</t>
        </is>
      </c>
      <c r="O1725" s="19" t="n">
        <v>1094.940586608886</v>
      </c>
      <c r="P1725" s="18" t="inlineStr">
        <is>
          <t>CÂN NHẮC THỬ NGHIỆM</t>
        </is>
      </c>
      <c r="Q1725" s="17" t="inlineStr">
        <is>
          <t>Không</t>
        </is>
      </c>
      <c r="R1725" s="20" t="n"/>
      <c r="S1725" s="20" t="n"/>
      <c r="T1725" s="21" t="n"/>
      <c r="U1725" s="21" t="n"/>
      <c r="V1725" s="22">
        <f>IF(U1725="A",K1725,IF(U1725="B",L1725,IF(U1725="C",M1725,IF(N1725="A",K1725,IF(N1725="B",L1725,M1725)))))</f>
        <v/>
      </c>
      <c r="W1725" s="22">
        <f>IF(R1725="",O1725,MAX(V1725-R1725-N(S1725),0))</f>
        <v/>
      </c>
      <c r="X1725" s="20" t="n"/>
      <c r="Y1725" s="23">
        <f>IF(OR(X1725="",W1725=0),"",X1725/W1725-1)</f>
        <v/>
      </c>
      <c r="Z1725" s="24" t="n"/>
      <c r="AA1725" s="21" t="n"/>
      <c r="AB1725" s="25" t="n"/>
      <c r="AC1725" s="26">
        <f>IF(T1725="","Chưa quyết định",IF(OR(Z1725="",AA1725=""),"⚠ Thiếu lý do/người duyệt",IF(AND(X1725&lt;&gt;"",N(X1725)+N(R1725)+N(S1725)&gt;M1725*1.001,R1725&lt;&gt;""),"⚠ Vượt mục tiêu P90",IF(AND(Y1725&lt;&gt;"",ABS(N(Y1725))&gt;0.3),"⚠ Lệch &gt; 30% so với nhu cầu",IF(Q1725="Có","ℹ Kiểm tra ngoại suy KM","✓ Hợp lệ")))))</f>
        <v/>
      </c>
    </row>
    <row r="1726">
      <c r="A1726" s="16" t="n">
        <v>1722</v>
      </c>
      <c r="B1726" s="17" t="inlineStr">
        <is>
          <t>DEC-S52-PREPARED_FOODS</t>
        </is>
      </c>
      <c r="C1726" s="16" t="n">
        <v>52</v>
      </c>
      <c r="D1726" s="17" t="inlineStr">
        <is>
          <t>PREPARED FOODS</t>
        </is>
      </c>
      <c r="E1726" s="17" t="inlineStr">
        <is>
          <t>MEDIUM</t>
        </is>
      </c>
      <c r="F1726" s="17" t="inlineStr">
        <is>
          <t>CAO</t>
        </is>
      </c>
      <c r="G1726" s="18" t="inlineStr">
        <is>
          <t>RISK_MEDIUM</t>
        </is>
      </c>
      <c r="H1726" s="19" t="n">
        <v>1379.468574523926</v>
      </c>
      <c r="I1726" s="19" t="n">
        <v>1975.792671203613</v>
      </c>
      <c r="J1726" s="19" t="n">
        <v>2673.928346008301</v>
      </c>
      <c r="K1726" s="19" t="n">
        <v>1975.792671203613</v>
      </c>
      <c r="L1726" s="19" t="n">
        <v>2412.127467956543</v>
      </c>
      <c r="M1726" s="19" t="n">
        <v>2673.928346008301</v>
      </c>
      <c r="N1726" s="17" t="inlineStr">
        <is>
          <t>C</t>
        </is>
      </c>
      <c r="O1726" s="19" t="n">
        <v>1093.29420904541</v>
      </c>
      <c r="P1726" s="18" t="inlineStr">
        <is>
          <t>CÂN NHẮC THỬ NGHIỆM</t>
        </is>
      </c>
      <c r="Q1726" s="17" t="inlineStr">
        <is>
          <t>Không</t>
        </is>
      </c>
      <c r="R1726" s="20" t="n"/>
      <c r="S1726" s="20" t="n"/>
      <c r="T1726" s="21" t="n"/>
      <c r="U1726" s="21" t="n"/>
      <c r="V1726" s="22">
        <f>IF(U1726="A",K1726,IF(U1726="B",L1726,IF(U1726="C",M1726,IF(N1726="A",K1726,IF(N1726="B",L1726,M1726)))))</f>
        <v/>
      </c>
      <c r="W1726" s="22">
        <f>IF(R1726="",O1726,MAX(V1726-R1726-N(S1726),0))</f>
        <v/>
      </c>
      <c r="X1726" s="20" t="n"/>
      <c r="Y1726" s="23">
        <f>IF(OR(X1726="",W1726=0),"",X1726/W1726-1)</f>
        <v/>
      </c>
      <c r="Z1726" s="24" t="n"/>
      <c r="AA1726" s="21" t="n"/>
      <c r="AB1726" s="25" t="n"/>
      <c r="AC1726" s="26">
        <f>IF(T1726="","Chưa quyết định",IF(OR(Z1726="",AA1726=""),"⚠ Thiếu lý do/người duyệt",IF(AND(X1726&lt;&gt;"",N(X1726)+N(R1726)+N(S1726)&gt;M1726*1.001,R1726&lt;&gt;""),"⚠ Vượt mục tiêu P90",IF(AND(Y1726&lt;&gt;"",ABS(N(Y1726))&gt;0.3),"⚠ Lệch &gt; 30% so với nhu cầu",IF(Q1726="Có","ℹ Kiểm tra ngoại suy KM","✓ Hợp lệ")))))</f>
        <v/>
      </c>
    </row>
    <row r="1727">
      <c r="A1727" s="16" t="n">
        <v>1723</v>
      </c>
      <c r="B1727" s="17" t="inlineStr">
        <is>
          <t>DEC-S43-PREPARED_FOODS</t>
        </is>
      </c>
      <c r="C1727" s="16" t="n">
        <v>43</v>
      </c>
      <c r="D1727" s="17" t="inlineStr">
        <is>
          <t>PREPARED FOODS</t>
        </is>
      </c>
      <c r="E1727" s="17" t="inlineStr">
        <is>
          <t>MEDIUM</t>
        </is>
      </c>
      <c r="F1727" s="17" t="inlineStr">
        <is>
          <t>CAO</t>
        </is>
      </c>
      <c r="G1727" s="18" t="inlineStr">
        <is>
          <t>RISK_MEDIUM</t>
        </is>
      </c>
      <c r="H1727" s="19" t="n">
        <v>1371.698852539062</v>
      </c>
      <c r="I1727" s="19" t="n">
        <v>1968.02294921875</v>
      </c>
      <c r="J1727" s="19" t="n">
        <v>2666.158624023437</v>
      </c>
      <c r="K1727" s="19" t="n">
        <v>1968.02294921875</v>
      </c>
      <c r="L1727" s="19" t="n">
        <v>2404.35774597168</v>
      </c>
      <c r="M1727" s="19" t="n">
        <v>2666.158624023437</v>
      </c>
      <c r="N1727" s="17" t="inlineStr">
        <is>
          <t>C</t>
        </is>
      </c>
      <c r="O1727" s="19" t="n">
        <v>1091.740264648438</v>
      </c>
      <c r="P1727" s="18" t="inlineStr">
        <is>
          <t>CÂN NHẮC THỬ NGHIỆM</t>
        </is>
      </c>
      <c r="Q1727" s="17" t="inlineStr">
        <is>
          <t>Không</t>
        </is>
      </c>
      <c r="R1727" s="20" t="n"/>
      <c r="S1727" s="20" t="n"/>
      <c r="T1727" s="21" t="n"/>
      <c r="U1727" s="21" t="n"/>
      <c r="V1727" s="22">
        <f>IF(U1727="A",K1727,IF(U1727="B",L1727,IF(U1727="C",M1727,IF(N1727="A",K1727,IF(N1727="B",L1727,M1727)))))</f>
        <v/>
      </c>
      <c r="W1727" s="22">
        <f>IF(R1727="",O1727,MAX(V1727-R1727-N(S1727),0))</f>
        <v/>
      </c>
      <c r="X1727" s="20" t="n"/>
      <c r="Y1727" s="23">
        <f>IF(OR(X1727="",W1727=0),"",X1727/W1727-1)</f>
        <v/>
      </c>
      <c r="Z1727" s="24" t="n"/>
      <c r="AA1727" s="21" t="n"/>
      <c r="AB1727" s="25" t="n"/>
      <c r="AC1727" s="26">
        <f>IF(T1727="","Chưa quyết định",IF(OR(Z1727="",AA1727=""),"⚠ Thiếu lý do/người duyệt",IF(AND(X1727&lt;&gt;"",N(X1727)+N(R1727)+N(S1727)&gt;M1727*1.001,R1727&lt;&gt;""),"⚠ Vượt mục tiêu P90",IF(AND(Y1727&lt;&gt;"",ABS(N(Y1727))&gt;0.3),"⚠ Lệch &gt; 30% so với nhu cầu",IF(Q1727="Có","ℹ Kiểm tra ngoại suy KM","✓ Hợp lệ")))))</f>
        <v/>
      </c>
    </row>
    <row r="1728">
      <c r="A1728" s="16" t="n">
        <v>1724</v>
      </c>
      <c r="B1728" s="17" t="inlineStr">
        <is>
          <t>DEC-S21-MEATS</t>
        </is>
      </c>
      <c r="C1728" s="16" t="n">
        <v>21</v>
      </c>
      <c r="D1728" s="17" t="inlineStr">
        <is>
          <t>MEATS</t>
        </is>
      </c>
      <c r="E1728" s="17" t="inlineStr">
        <is>
          <t>MEDIUM</t>
        </is>
      </c>
      <c r="F1728" s="17" t="inlineStr">
        <is>
          <t>CAO</t>
        </is>
      </c>
      <c r="G1728" s="18" t="inlineStr">
        <is>
          <t>RISK_MEDIUM</t>
        </is>
      </c>
      <c r="H1728" s="19" t="n">
        <v>1365.10546875</v>
      </c>
      <c r="I1728" s="19" t="n">
        <v>1961.429565429688</v>
      </c>
      <c r="J1728" s="19" t="n">
        <v>2659.565240234375</v>
      </c>
      <c r="K1728" s="19" t="n">
        <v>1961.429565429688</v>
      </c>
      <c r="L1728" s="19" t="n">
        <v>2397.764362182617</v>
      </c>
      <c r="M1728" s="19" t="n">
        <v>2659.565240234375</v>
      </c>
      <c r="N1728" s="17" t="inlineStr">
        <is>
          <t>C</t>
        </is>
      </c>
      <c r="O1728" s="19" t="n">
        <v>1090.421587890625</v>
      </c>
      <c r="P1728" s="18" t="inlineStr">
        <is>
          <t>CÂN NHẮC THỬ NGHIỆM</t>
        </is>
      </c>
      <c r="Q1728" s="17" t="inlineStr">
        <is>
          <t>Không</t>
        </is>
      </c>
      <c r="R1728" s="20" t="n"/>
      <c r="S1728" s="20" t="n"/>
      <c r="T1728" s="21" t="n"/>
      <c r="U1728" s="21" t="n"/>
      <c r="V1728" s="22">
        <f>IF(U1728="A",K1728,IF(U1728="B",L1728,IF(U1728="C",M1728,IF(N1728="A",K1728,IF(N1728="B",L1728,M1728)))))</f>
        <v/>
      </c>
      <c r="W1728" s="22">
        <f>IF(R1728="",O1728,MAX(V1728-R1728-N(S1728),0))</f>
        <v/>
      </c>
      <c r="X1728" s="20" t="n"/>
      <c r="Y1728" s="23">
        <f>IF(OR(X1728="",W1728=0),"",X1728/W1728-1)</f>
        <v/>
      </c>
      <c r="Z1728" s="24" t="n"/>
      <c r="AA1728" s="21" t="n"/>
      <c r="AB1728" s="25" t="n"/>
      <c r="AC1728" s="26">
        <f>IF(T1728="","Chưa quyết định",IF(OR(Z1728="",AA1728=""),"⚠ Thiếu lý do/người duyệt",IF(AND(X1728&lt;&gt;"",N(X1728)+N(R1728)+N(S1728)&gt;M1728*1.001,R1728&lt;&gt;""),"⚠ Vượt mục tiêu P90",IF(AND(Y1728&lt;&gt;"",ABS(N(Y1728))&gt;0.3),"⚠ Lệch &gt; 30% so với nhu cầu",IF(Q1728="Có","ℹ Kiểm tra ngoại suy KM","✓ Hợp lệ")))))</f>
        <v/>
      </c>
    </row>
    <row r="1729">
      <c r="A1729" s="16" t="n">
        <v>1725</v>
      </c>
      <c r="B1729" s="17" t="inlineStr">
        <is>
          <t>DEC-S51-PREPARED_FOODS</t>
        </is>
      </c>
      <c r="C1729" s="16" t="n">
        <v>51</v>
      </c>
      <c r="D1729" s="17" t="inlineStr">
        <is>
          <t>PREPARED FOODS</t>
        </is>
      </c>
      <c r="E1729" s="17" t="inlineStr">
        <is>
          <t>MEDIUM</t>
        </is>
      </c>
      <c r="F1729" s="17" t="inlineStr">
        <is>
          <t>CAO</t>
        </is>
      </c>
      <c r="G1729" s="18" t="inlineStr">
        <is>
          <t>RISK_MEDIUM</t>
        </is>
      </c>
      <c r="H1729" s="19" t="n">
        <v>1350.713401794434</v>
      </c>
      <c r="I1729" s="19" t="n">
        <v>1947.037498474121</v>
      </c>
      <c r="J1729" s="19" t="n">
        <v>2645.173173278808</v>
      </c>
      <c r="K1729" s="19" t="n">
        <v>1947.037498474121</v>
      </c>
      <c r="L1729" s="19" t="n">
        <v>2383.372295227051</v>
      </c>
      <c r="M1729" s="19" t="n">
        <v>2645.173173278808</v>
      </c>
      <c r="N1729" s="17" t="inlineStr">
        <is>
          <t>C</t>
        </is>
      </c>
      <c r="O1729" s="19" t="n">
        <v>1087.543174499512</v>
      </c>
      <c r="P1729" s="18" t="inlineStr">
        <is>
          <t>CÂN NHẮC THỬ NGHIỆM</t>
        </is>
      </c>
      <c r="Q1729" s="17" t="inlineStr">
        <is>
          <t>Không</t>
        </is>
      </c>
      <c r="R1729" s="20" t="n"/>
      <c r="S1729" s="20" t="n"/>
      <c r="T1729" s="21" t="n"/>
      <c r="U1729" s="21" t="n"/>
      <c r="V1729" s="22">
        <f>IF(U1729="A",K1729,IF(U1729="B",L1729,IF(U1729="C",M1729,IF(N1729="A",K1729,IF(N1729="B",L1729,M1729)))))</f>
        <v/>
      </c>
      <c r="W1729" s="22">
        <f>IF(R1729="",O1729,MAX(V1729-R1729-N(S1729),0))</f>
        <v/>
      </c>
      <c r="X1729" s="20" t="n"/>
      <c r="Y1729" s="23">
        <f>IF(OR(X1729="",W1729=0),"",X1729/W1729-1)</f>
        <v/>
      </c>
      <c r="Z1729" s="24" t="n"/>
      <c r="AA1729" s="21" t="n"/>
      <c r="AB1729" s="25" t="n"/>
      <c r="AC1729" s="26">
        <f>IF(T1729="","Chưa quyết định",IF(OR(Z1729="",AA1729=""),"⚠ Thiếu lý do/người duyệt",IF(AND(X1729&lt;&gt;"",N(X1729)+N(R1729)+N(S1729)&gt;M1729*1.001,R1729&lt;&gt;""),"⚠ Vượt mục tiêu P90",IF(AND(Y1729&lt;&gt;"",ABS(N(Y1729))&gt;0.3),"⚠ Lệch &gt; 30% so với nhu cầu",IF(Q1729="Có","ℹ Kiểm tra ngoại suy KM","✓ Hợp lệ")))))</f>
        <v/>
      </c>
    </row>
    <row r="1730">
      <c r="A1730" s="16" t="n">
        <v>1726</v>
      </c>
      <c r="B1730" s="17" t="inlineStr">
        <is>
          <t>DEC-S50-EGGS</t>
        </is>
      </c>
      <c r="C1730" s="16" t="n">
        <v>50</v>
      </c>
      <c r="D1730" s="17" t="inlineStr">
        <is>
          <t>EGGS</t>
        </is>
      </c>
      <c r="E1730" s="17" t="inlineStr">
        <is>
          <t>MEDIUM</t>
        </is>
      </c>
      <c r="F1730" s="17" t="inlineStr">
        <is>
          <t>CAO</t>
        </is>
      </c>
      <c r="G1730" s="18" t="inlineStr">
        <is>
          <t>RISK_MEDIUM</t>
        </is>
      </c>
      <c r="H1730" s="19" t="n">
        <v>1348.769428253174</v>
      </c>
      <c r="I1730" s="19" t="n">
        <v>1926.850723266602</v>
      </c>
      <c r="J1730" s="19" t="n">
        <v>2608.043824920654</v>
      </c>
      <c r="K1730" s="19" t="n">
        <v>1926.850723266602</v>
      </c>
      <c r="L1730" s="19" t="n">
        <v>2352.596411800384</v>
      </c>
      <c r="M1730" s="19" t="n">
        <v>2608.043824920654</v>
      </c>
      <c r="N1730" s="17" t="inlineStr">
        <is>
          <t>C</t>
        </is>
      </c>
      <c r="O1730" s="19" t="n">
        <v>1066.563246307373</v>
      </c>
      <c r="P1730" s="18" t="inlineStr">
        <is>
          <t>CÂN NHẮC THỬ NGHIỆM</t>
        </is>
      </c>
      <c r="Q1730" s="17" t="inlineStr">
        <is>
          <t>Không</t>
        </is>
      </c>
      <c r="R1730" s="20" t="n"/>
      <c r="S1730" s="20" t="n"/>
      <c r="T1730" s="21" t="n"/>
      <c r="U1730" s="21" t="n"/>
      <c r="V1730" s="22">
        <f>IF(U1730="A",K1730,IF(U1730="B",L1730,IF(U1730="C",M1730,IF(N1730="A",K1730,IF(N1730="B",L1730,M1730)))))</f>
        <v/>
      </c>
      <c r="W1730" s="22">
        <f>IF(R1730="",O1730,MAX(V1730-R1730-N(S1730),0))</f>
        <v/>
      </c>
      <c r="X1730" s="20" t="n"/>
      <c r="Y1730" s="23">
        <f>IF(OR(X1730="",W1730=0),"",X1730/W1730-1)</f>
        <v/>
      </c>
      <c r="Z1730" s="24" t="n"/>
      <c r="AA1730" s="21" t="n"/>
      <c r="AB1730" s="25" t="n"/>
      <c r="AC1730" s="26">
        <f>IF(T1730="","Chưa quyết định",IF(OR(Z1730="",AA1730=""),"⚠ Thiếu lý do/người duyệt",IF(AND(X1730&lt;&gt;"",N(X1730)+N(R1730)+N(S1730)&gt;M1730*1.001,R1730&lt;&gt;""),"⚠ Vượt mục tiêu P90",IF(AND(Y1730&lt;&gt;"",ABS(N(Y1730))&gt;0.3),"⚠ Lệch &gt; 30% so với nhu cầu",IF(Q1730="Có","ℹ Kiểm tra ngoại suy KM","✓ Hợp lệ")))))</f>
        <v/>
      </c>
    </row>
    <row r="1731">
      <c r="A1731" s="16" t="n">
        <v>1727</v>
      </c>
      <c r="B1731" s="17" t="inlineStr">
        <is>
          <t>DEC-S37-LIQUOR_WINE_BEER</t>
        </is>
      </c>
      <c r="C1731" s="16" t="n">
        <v>37</v>
      </c>
      <c r="D1731" s="17" t="inlineStr">
        <is>
          <t>LIQUOR,WINE,BEER</t>
        </is>
      </c>
      <c r="E1731" s="17" t="inlineStr">
        <is>
          <t>MEDIUM</t>
        </is>
      </c>
      <c r="F1731" s="17" t="inlineStr">
        <is>
          <t>CAO</t>
        </is>
      </c>
      <c r="G1731" s="18" t="inlineStr">
        <is>
          <t>RISK_MEDIUM</t>
        </is>
      </c>
      <c r="H1731" s="19" t="n">
        <v>1286.46248626709</v>
      </c>
      <c r="I1731" s="19" t="n">
        <v>1882.786582946777</v>
      </c>
      <c r="J1731" s="19" t="n">
        <v>2580.922257751465</v>
      </c>
      <c r="K1731" s="19" t="n">
        <v>1882.786582946777</v>
      </c>
      <c r="L1731" s="19" t="n">
        <v>2319.121379699707</v>
      </c>
      <c r="M1731" s="19" t="n">
        <v>2580.922257751465</v>
      </c>
      <c r="N1731" s="17" t="inlineStr">
        <is>
          <t>C</t>
        </is>
      </c>
      <c r="O1731" s="19" t="n">
        <v>1074.692991394043</v>
      </c>
      <c r="P1731" s="18" t="inlineStr">
        <is>
          <t>CÂN NHẮC THỬ NGHIỆM</t>
        </is>
      </c>
      <c r="Q1731" s="17" t="inlineStr">
        <is>
          <t>Không</t>
        </is>
      </c>
      <c r="R1731" s="20" t="n"/>
      <c r="S1731" s="20" t="n"/>
      <c r="T1731" s="21" t="n"/>
      <c r="U1731" s="21" t="n"/>
      <c r="V1731" s="22">
        <f>IF(U1731="A",K1731,IF(U1731="B",L1731,IF(U1731="C",M1731,IF(N1731="A",K1731,IF(N1731="B",L1731,M1731)))))</f>
        <v/>
      </c>
      <c r="W1731" s="22">
        <f>IF(R1731="",O1731,MAX(V1731-R1731-N(S1731),0))</f>
        <v/>
      </c>
      <c r="X1731" s="20" t="n"/>
      <c r="Y1731" s="23">
        <f>IF(OR(X1731="",W1731=0),"",X1731/W1731-1)</f>
        <v/>
      </c>
      <c r="Z1731" s="24" t="n"/>
      <c r="AA1731" s="21" t="n"/>
      <c r="AB1731" s="25" t="n"/>
      <c r="AC1731" s="26">
        <f>IF(T1731="","Chưa quyết định",IF(OR(Z1731="",AA1731=""),"⚠ Thiếu lý do/người duyệt",IF(AND(X1731&lt;&gt;"",N(X1731)+N(R1731)+N(S1731)&gt;M1731*1.001,R1731&lt;&gt;""),"⚠ Vượt mục tiêu P90",IF(AND(Y1731&lt;&gt;"",ABS(N(Y1731))&gt;0.3),"⚠ Lệch &gt; 30% so với nhu cầu",IF(Q1731="Có","ℹ Kiểm tra ngoại suy KM","✓ Hợp lệ")))))</f>
        <v/>
      </c>
    </row>
    <row r="1732">
      <c r="A1732" s="16" t="n">
        <v>1728</v>
      </c>
      <c r="B1732" s="17" t="inlineStr">
        <is>
          <t>DEC-S38-FROZEN_FOODS</t>
        </is>
      </c>
      <c r="C1732" s="16" t="n">
        <v>38</v>
      </c>
      <c r="D1732" s="17" t="inlineStr">
        <is>
          <t>FROZEN FOODS</t>
        </is>
      </c>
      <c r="E1732" s="17" t="inlineStr">
        <is>
          <t>MEDIUM</t>
        </is>
      </c>
      <c r="F1732" s="17" t="inlineStr">
        <is>
          <t>CAO</t>
        </is>
      </c>
      <c r="G1732" s="18" t="inlineStr">
        <is>
          <t>RISK_MEDIUM</t>
        </is>
      </c>
      <c r="H1732" s="19" t="n">
        <v>1266.535659790039</v>
      </c>
      <c r="I1732" s="19" t="n">
        <v>1862.859756469726</v>
      </c>
      <c r="J1732" s="19" t="n">
        <v>2560.995431274414</v>
      </c>
      <c r="K1732" s="19" t="n">
        <v>1862.859756469726</v>
      </c>
      <c r="L1732" s="19" t="n">
        <v>2299.194553222656</v>
      </c>
      <c r="M1732" s="19" t="n">
        <v>2560.995431274414</v>
      </c>
      <c r="N1732" s="17" t="inlineStr">
        <is>
          <t>C</t>
        </is>
      </c>
      <c r="O1732" s="19" t="n">
        <v>1070.707626098632</v>
      </c>
      <c r="P1732" s="18" t="inlineStr">
        <is>
          <t>CÂN NHẮC THỬ NGHIỆM</t>
        </is>
      </c>
      <c r="Q1732" s="17" t="inlineStr">
        <is>
          <t>Không</t>
        </is>
      </c>
      <c r="R1732" s="20" t="n"/>
      <c r="S1732" s="20" t="n"/>
      <c r="T1732" s="21" t="n"/>
      <c r="U1732" s="21" t="n"/>
      <c r="V1732" s="22">
        <f>IF(U1732="A",K1732,IF(U1732="B",L1732,IF(U1732="C",M1732,IF(N1732="A",K1732,IF(N1732="B",L1732,M1732)))))</f>
        <v/>
      </c>
      <c r="W1732" s="22">
        <f>IF(R1732="",O1732,MAX(V1732-R1732-N(S1732),0))</f>
        <v/>
      </c>
      <c r="X1732" s="20" t="n"/>
      <c r="Y1732" s="23">
        <f>IF(OR(X1732="",W1732=0),"",X1732/W1732-1)</f>
        <v/>
      </c>
      <c r="Z1732" s="24" t="n"/>
      <c r="AA1732" s="21" t="n"/>
      <c r="AB1732" s="25" t="n"/>
      <c r="AC1732" s="26">
        <f>IF(T1732="","Chưa quyết định",IF(OR(Z1732="",AA1732=""),"⚠ Thiếu lý do/người duyệt",IF(AND(X1732&lt;&gt;"",N(X1732)+N(R1732)+N(S1732)&gt;M1732*1.001,R1732&lt;&gt;""),"⚠ Vượt mục tiêu P90",IF(AND(Y1732&lt;&gt;"",ABS(N(Y1732))&gt;0.3),"⚠ Lệch &gt; 30% so với nhu cầu",IF(Q1732="Có","ℹ Kiểm tra ngoại suy KM","✓ Hợp lệ")))))</f>
        <v/>
      </c>
    </row>
    <row r="1733">
      <c r="A1733" s="16" t="n">
        <v>1729</v>
      </c>
      <c r="B1733" s="17" t="inlineStr">
        <is>
          <t>DEC-S30-POULTRY</t>
        </is>
      </c>
      <c r="C1733" s="16" t="n">
        <v>30</v>
      </c>
      <c r="D1733" s="17" t="inlineStr">
        <is>
          <t>POULTRY</t>
        </is>
      </c>
      <c r="E1733" s="17" t="inlineStr">
        <is>
          <t>MEDIUM</t>
        </is>
      </c>
      <c r="F1733" s="17" t="inlineStr">
        <is>
          <t>CAO</t>
        </is>
      </c>
      <c r="G1733" s="18" t="inlineStr">
        <is>
          <t>RISK_MEDIUM</t>
        </is>
      </c>
      <c r="H1733" s="19" t="n">
        <v>1256.029747009277</v>
      </c>
      <c r="I1733" s="19" t="n">
        <v>1852.353843688965</v>
      </c>
      <c r="J1733" s="19" t="n">
        <v>2550.489518493652</v>
      </c>
      <c r="K1733" s="19" t="n">
        <v>1852.353843688965</v>
      </c>
      <c r="L1733" s="19" t="n">
        <v>2288.688640441895</v>
      </c>
      <c r="M1733" s="19" t="n">
        <v>2550.489518493652</v>
      </c>
      <c r="N1733" s="17" t="inlineStr">
        <is>
          <t>C</t>
        </is>
      </c>
      <c r="O1733" s="19" t="n">
        <v>1068.60644354248</v>
      </c>
      <c r="P1733" s="18" t="inlineStr">
        <is>
          <t>CÂN NHẮC THỬ NGHIỆM</t>
        </is>
      </c>
      <c r="Q1733" s="17" t="inlineStr">
        <is>
          <t>Không</t>
        </is>
      </c>
      <c r="R1733" s="20" t="n"/>
      <c r="S1733" s="20" t="n"/>
      <c r="T1733" s="21" t="n"/>
      <c r="U1733" s="21" t="n"/>
      <c r="V1733" s="22">
        <f>IF(U1733="A",K1733,IF(U1733="B",L1733,IF(U1733="C",M1733,IF(N1733="A",K1733,IF(N1733="B",L1733,M1733)))))</f>
        <v/>
      </c>
      <c r="W1733" s="22">
        <f>IF(R1733="",O1733,MAX(V1733-R1733-N(S1733),0))</f>
        <v/>
      </c>
      <c r="X1733" s="20" t="n"/>
      <c r="Y1733" s="23">
        <f>IF(OR(X1733="",W1733=0),"",X1733/W1733-1)</f>
        <v/>
      </c>
      <c r="Z1733" s="24" t="n"/>
      <c r="AA1733" s="21" t="n"/>
      <c r="AB1733" s="25" t="n"/>
      <c r="AC1733" s="26">
        <f>IF(T1733="","Chưa quyết định",IF(OR(Z1733="",AA1733=""),"⚠ Thiếu lý do/người duyệt",IF(AND(X1733&lt;&gt;"",N(X1733)+N(R1733)+N(S1733)&gt;M1733*1.001,R1733&lt;&gt;""),"⚠ Vượt mục tiêu P90",IF(AND(Y1733&lt;&gt;"",ABS(N(Y1733))&gt;0.3),"⚠ Lệch &gt; 30% so với nhu cầu",IF(Q1733="Có","ℹ Kiểm tra ngoại suy KM","✓ Hợp lệ")))))</f>
        <v/>
      </c>
    </row>
    <row r="1734">
      <c r="A1734" s="16" t="n">
        <v>1730</v>
      </c>
      <c r="B1734" s="17" t="inlineStr">
        <is>
          <t>DEC-S35-HOME_CARE</t>
        </is>
      </c>
      <c r="C1734" s="16" t="n">
        <v>35</v>
      </c>
      <c r="D1734" s="17" t="inlineStr">
        <is>
          <t>HOME CARE</t>
        </is>
      </c>
      <c r="E1734" s="17" t="inlineStr">
        <is>
          <t>MEDIUM</t>
        </is>
      </c>
      <c r="F1734" s="17" t="inlineStr">
        <is>
          <t>CAO</t>
        </is>
      </c>
      <c r="G1734" s="18" t="inlineStr">
        <is>
          <t>RISK_MEDIUM</t>
        </is>
      </c>
      <c r="H1734" s="19" t="n">
        <v>1249.042419433594</v>
      </c>
      <c r="I1734" s="19" t="n">
        <v>1845.366516113281</v>
      </c>
      <c r="J1734" s="19" t="n">
        <v>2543.502190917969</v>
      </c>
      <c r="K1734" s="19" t="n">
        <v>1845.366516113281</v>
      </c>
      <c r="L1734" s="19" t="n">
        <v>2281.701312866211</v>
      </c>
      <c r="M1734" s="19" t="n">
        <v>2543.502190917969</v>
      </c>
      <c r="N1734" s="17" t="inlineStr">
        <is>
          <t>C</t>
        </is>
      </c>
      <c r="O1734" s="19" t="n">
        <v>1067.208978027344</v>
      </c>
      <c r="P1734" s="18" t="inlineStr">
        <is>
          <t>CÂN NHẮC THỬ NGHIỆM</t>
        </is>
      </c>
      <c r="Q1734" s="17" t="inlineStr">
        <is>
          <t>Không</t>
        </is>
      </c>
      <c r="R1734" s="20" t="n"/>
      <c r="S1734" s="20" t="n"/>
      <c r="T1734" s="21" t="n"/>
      <c r="U1734" s="21" t="n"/>
      <c r="V1734" s="22">
        <f>IF(U1734="A",K1734,IF(U1734="B",L1734,IF(U1734="C",M1734,IF(N1734="A",K1734,IF(N1734="B",L1734,M1734)))))</f>
        <v/>
      </c>
      <c r="W1734" s="22">
        <f>IF(R1734="",O1734,MAX(V1734-R1734-N(S1734),0))</f>
        <v/>
      </c>
      <c r="X1734" s="20" t="n"/>
      <c r="Y1734" s="23">
        <f>IF(OR(X1734="",W1734=0),"",X1734/W1734-1)</f>
        <v/>
      </c>
      <c r="Z1734" s="24" t="n"/>
      <c r="AA1734" s="21" t="n"/>
      <c r="AB1734" s="25" t="n"/>
      <c r="AC1734" s="26">
        <f>IF(T1734="","Chưa quyết định",IF(OR(Z1734="",AA1734=""),"⚠ Thiếu lý do/người duyệt",IF(AND(X1734&lt;&gt;"",N(X1734)+N(R1734)+N(S1734)&gt;M1734*1.001,R1734&lt;&gt;""),"⚠ Vượt mục tiêu P90",IF(AND(Y1734&lt;&gt;"",ABS(N(Y1734))&gt;0.3),"⚠ Lệch &gt; 30% so với nhu cầu",IF(Q1734="Có","ℹ Kiểm tra ngoại suy KM","✓ Hợp lệ")))))</f>
        <v/>
      </c>
    </row>
    <row r="1735">
      <c r="A1735" s="16" t="n">
        <v>1731</v>
      </c>
      <c r="B1735" s="17" t="inlineStr">
        <is>
          <t>DEC-S17-FROZEN_FOODS</t>
        </is>
      </c>
      <c r="C1735" s="16" t="n">
        <v>17</v>
      </c>
      <c r="D1735" s="17" t="inlineStr">
        <is>
          <t>FROZEN FOODS</t>
        </is>
      </c>
      <c r="E1735" s="17" t="inlineStr">
        <is>
          <t>MEDIUM</t>
        </is>
      </c>
      <c r="F1735" s="17" t="inlineStr">
        <is>
          <t>CAO</t>
        </is>
      </c>
      <c r="G1735" s="18" t="inlineStr">
        <is>
          <t>RISK_MEDIUM</t>
        </is>
      </c>
      <c r="H1735" s="19" t="n">
        <v>1241.965995788574</v>
      </c>
      <c r="I1735" s="19" t="n">
        <v>1838.290092468261</v>
      </c>
      <c r="J1735" s="19" t="n">
        <v>2536.425767272949</v>
      </c>
      <c r="K1735" s="19" t="n">
        <v>1838.290092468261</v>
      </c>
      <c r="L1735" s="19" t="n">
        <v>2274.624889221191</v>
      </c>
      <c r="M1735" s="19" t="n">
        <v>2536.425767272949</v>
      </c>
      <c r="N1735" s="17" t="inlineStr">
        <is>
          <t>C</t>
        </is>
      </c>
      <c r="O1735" s="19" t="n">
        <v>1065.79369329834</v>
      </c>
      <c r="P1735" s="18" t="inlineStr">
        <is>
          <t>CÂN NHẮC THỬ NGHIỆM</t>
        </is>
      </c>
      <c r="Q1735" s="17" t="inlineStr">
        <is>
          <t>Không</t>
        </is>
      </c>
      <c r="R1735" s="20" t="n"/>
      <c r="S1735" s="20" t="n"/>
      <c r="T1735" s="21" t="n"/>
      <c r="U1735" s="21" t="n"/>
      <c r="V1735" s="22">
        <f>IF(U1735="A",K1735,IF(U1735="B",L1735,IF(U1735="C",M1735,IF(N1735="A",K1735,IF(N1735="B",L1735,M1735)))))</f>
        <v/>
      </c>
      <c r="W1735" s="22">
        <f>IF(R1735="",O1735,MAX(V1735-R1735-N(S1735),0))</f>
        <v/>
      </c>
      <c r="X1735" s="20" t="n"/>
      <c r="Y1735" s="23">
        <f>IF(OR(X1735="",W1735=0),"",X1735/W1735-1)</f>
        <v/>
      </c>
      <c r="Z1735" s="24" t="n"/>
      <c r="AA1735" s="21" t="n"/>
      <c r="AB1735" s="25" t="n"/>
      <c r="AC1735" s="26">
        <f>IF(T1735="","Chưa quyết định",IF(OR(Z1735="",AA1735=""),"⚠ Thiếu lý do/người duyệt",IF(AND(X1735&lt;&gt;"",N(X1735)+N(R1735)+N(S1735)&gt;M1735*1.001,R1735&lt;&gt;""),"⚠ Vượt mục tiêu P90",IF(AND(Y1735&lt;&gt;"",ABS(N(Y1735))&gt;0.3),"⚠ Lệch &gt; 30% so với nhu cầu",IF(Q1735="Có","ℹ Kiểm tra ngoại suy KM","✓ Hợp lệ")))))</f>
        <v/>
      </c>
    </row>
    <row r="1736">
      <c r="A1736" s="16" t="n">
        <v>1732</v>
      </c>
      <c r="B1736" s="17" t="inlineStr">
        <is>
          <t>DEC-S41-LIQUOR_WINE_BEER</t>
        </is>
      </c>
      <c r="C1736" s="16" t="n">
        <v>41</v>
      </c>
      <c r="D1736" s="17" t="inlineStr">
        <is>
          <t>LIQUOR,WINE,BEER</t>
        </is>
      </c>
      <c r="E1736" s="17" t="inlineStr">
        <is>
          <t>MEDIUM</t>
        </is>
      </c>
      <c r="F1736" s="17" t="inlineStr">
        <is>
          <t>CAO</t>
        </is>
      </c>
      <c r="G1736" s="18" t="inlineStr">
        <is>
          <t>RISK_MEDIUM</t>
        </is>
      </c>
      <c r="H1736" s="19" t="n">
        <v>1288.016999084473</v>
      </c>
      <c r="I1736" s="19" t="n">
        <v>1830.130091186523</v>
      </c>
      <c r="J1736" s="19" t="n">
        <v>2488.754393981933</v>
      </c>
      <c r="K1736" s="19" t="n">
        <v>1830.130091186523</v>
      </c>
      <c r="L1736" s="19" t="n">
        <v>2241.770280433655</v>
      </c>
      <c r="M1736" s="19" t="n">
        <v>2488.754393981933</v>
      </c>
      <c r="N1736" s="17" t="inlineStr">
        <is>
          <t>C</t>
        </is>
      </c>
      <c r="O1736" s="19" t="n">
        <v>1024.650321032715</v>
      </c>
      <c r="P1736" s="18" t="inlineStr">
        <is>
          <t>CÂN NHẮC THỬ NGHIỆM</t>
        </is>
      </c>
      <c r="Q1736" s="17" t="inlineStr">
        <is>
          <t>Không</t>
        </is>
      </c>
      <c r="R1736" s="20" t="n"/>
      <c r="S1736" s="20" t="n"/>
      <c r="T1736" s="21" t="n"/>
      <c r="U1736" s="21" t="n"/>
      <c r="V1736" s="22">
        <f>IF(U1736="A",K1736,IF(U1736="B",L1736,IF(U1736="C",M1736,IF(N1736="A",K1736,IF(N1736="B",L1736,M1736)))))</f>
        <v/>
      </c>
      <c r="W1736" s="22">
        <f>IF(R1736="",O1736,MAX(V1736-R1736-N(S1736),0))</f>
        <v/>
      </c>
      <c r="X1736" s="20" t="n"/>
      <c r="Y1736" s="23">
        <f>IF(OR(X1736="",W1736=0),"",X1736/W1736-1)</f>
        <v/>
      </c>
      <c r="Z1736" s="24" t="n"/>
      <c r="AA1736" s="21" t="n"/>
      <c r="AB1736" s="25" t="n"/>
      <c r="AC1736" s="26">
        <f>IF(T1736="","Chưa quyết định",IF(OR(Z1736="",AA1736=""),"⚠ Thiếu lý do/người duyệt",IF(AND(X1736&lt;&gt;"",N(X1736)+N(R1736)+N(S1736)&gt;M1736*1.001,R1736&lt;&gt;""),"⚠ Vượt mục tiêu P90",IF(AND(Y1736&lt;&gt;"",ABS(N(Y1736))&gt;0.3),"⚠ Lệch &gt; 30% so với nhu cầu",IF(Q1736="Có","ℹ Kiểm tra ngoại suy KM","✓ Hợp lệ")))))</f>
        <v/>
      </c>
    </row>
    <row r="1737">
      <c r="A1737" s="16" t="n">
        <v>1733</v>
      </c>
      <c r="B1737" s="17" t="inlineStr">
        <is>
          <t>DEC-S32-DELI</t>
        </is>
      </c>
      <c r="C1737" s="16" t="n">
        <v>32</v>
      </c>
      <c r="D1737" s="17" t="inlineStr">
        <is>
          <t>DELI</t>
        </is>
      </c>
      <c r="E1737" s="17" t="inlineStr">
        <is>
          <t>MEDIUM</t>
        </is>
      </c>
      <c r="F1737" s="17" t="inlineStr">
        <is>
          <t>CAO</t>
        </is>
      </c>
      <c r="G1737" s="18" t="inlineStr">
        <is>
          <t>RISK_MEDIUM</t>
        </is>
      </c>
      <c r="H1737" s="19" t="n">
        <v>1251.58084487915</v>
      </c>
      <c r="I1737" s="19" t="n">
        <v>1829.662139892578</v>
      </c>
      <c r="J1737" s="19" t="n">
        <v>2510.855241546631</v>
      </c>
      <c r="K1737" s="19" t="n">
        <v>1829.662139892578</v>
      </c>
      <c r="L1737" s="19" t="n">
        <v>2255.407828426361</v>
      </c>
      <c r="M1737" s="19" t="n">
        <v>2510.855241546631</v>
      </c>
      <c r="N1737" s="17" t="inlineStr">
        <is>
          <t>C</t>
        </is>
      </c>
      <c r="O1737" s="19" t="n">
        <v>1047.125529632568</v>
      </c>
      <c r="P1737" s="18" t="inlineStr">
        <is>
          <t>CÂN NHẮC THỬ NGHIỆM</t>
        </is>
      </c>
      <c r="Q1737" s="17" t="inlineStr">
        <is>
          <t>Không</t>
        </is>
      </c>
      <c r="R1737" s="20" t="n"/>
      <c r="S1737" s="20" t="n"/>
      <c r="T1737" s="21" t="n"/>
      <c r="U1737" s="21" t="n"/>
      <c r="V1737" s="22">
        <f>IF(U1737="A",K1737,IF(U1737="B",L1737,IF(U1737="C",M1737,IF(N1737="A",K1737,IF(N1737="B",L1737,M1737)))))</f>
        <v/>
      </c>
      <c r="W1737" s="22">
        <f>IF(R1737="",O1737,MAX(V1737-R1737-N(S1737),0))</f>
        <v/>
      </c>
      <c r="X1737" s="20" t="n"/>
      <c r="Y1737" s="23">
        <f>IF(OR(X1737="",W1737=0),"",X1737/W1737-1)</f>
        <v/>
      </c>
      <c r="Z1737" s="24" t="n"/>
      <c r="AA1737" s="21" t="n"/>
      <c r="AB1737" s="25" t="n"/>
      <c r="AC1737" s="26">
        <f>IF(T1737="","Chưa quyết định",IF(OR(Z1737="",AA1737=""),"⚠ Thiếu lý do/người duyệt",IF(AND(X1737&lt;&gt;"",N(X1737)+N(R1737)+N(S1737)&gt;M1737*1.001,R1737&lt;&gt;""),"⚠ Vượt mục tiêu P90",IF(AND(Y1737&lt;&gt;"",ABS(N(Y1737))&gt;0.3),"⚠ Lệch &gt; 30% so với nhu cầu",IF(Q1737="Có","ℹ Kiểm tra ngoại suy KM","✓ Hợp lệ")))))</f>
        <v/>
      </c>
    </row>
    <row r="1738">
      <c r="A1738" s="16" t="n">
        <v>1734</v>
      </c>
      <c r="B1738" s="17" t="inlineStr">
        <is>
          <t>DEC-S09-PREPARED_FOODS</t>
        </is>
      </c>
      <c r="C1738" s="16" t="n">
        <v>9</v>
      </c>
      <c r="D1738" s="17" t="inlineStr">
        <is>
          <t>PREPARED FOODS</t>
        </is>
      </c>
      <c r="E1738" s="17" t="inlineStr">
        <is>
          <t>MEDIUM</t>
        </is>
      </c>
      <c r="F1738" s="17" t="inlineStr">
        <is>
          <t>CAO</t>
        </is>
      </c>
      <c r="G1738" s="18" t="inlineStr">
        <is>
          <t>RISK_MEDIUM</t>
        </is>
      </c>
      <c r="H1738" s="19" t="n">
        <v>1223.26091003418</v>
      </c>
      <c r="I1738" s="19" t="n">
        <v>1819.585006713867</v>
      </c>
      <c r="J1738" s="19" t="n">
        <v>2517.720681518555</v>
      </c>
      <c r="K1738" s="19" t="n">
        <v>1819.585006713867</v>
      </c>
      <c r="L1738" s="19" t="n">
        <v>2255.919803466797</v>
      </c>
      <c r="M1738" s="19" t="n">
        <v>2517.720681518555</v>
      </c>
      <c r="N1738" s="17" t="inlineStr">
        <is>
          <t>C</t>
        </is>
      </c>
      <c r="O1738" s="19" t="n">
        <v>1062.052676147461</v>
      </c>
      <c r="P1738" s="18" t="inlineStr">
        <is>
          <t>CÂN NHẮC THỬ NGHIỆM</t>
        </is>
      </c>
      <c r="Q1738" s="17" t="inlineStr">
        <is>
          <t>Không</t>
        </is>
      </c>
      <c r="R1738" s="20" t="n"/>
      <c r="S1738" s="20" t="n"/>
      <c r="T1738" s="21" t="n"/>
      <c r="U1738" s="21" t="n"/>
      <c r="V1738" s="22">
        <f>IF(U1738="A",K1738,IF(U1738="B",L1738,IF(U1738="C",M1738,IF(N1738="A",K1738,IF(N1738="B",L1738,M1738)))))</f>
        <v/>
      </c>
      <c r="W1738" s="22">
        <f>IF(R1738="",O1738,MAX(V1738-R1738-N(S1738),0))</f>
        <v/>
      </c>
      <c r="X1738" s="20" t="n"/>
      <c r="Y1738" s="23">
        <f>IF(OR(X1738="",W1738=0),"",X1738/W1738-1)</f>
        <v/>
      </c>
      <c r="Z1738" s="24" t="n"/>
      <c r="AA1738" s="21" t="n"/>
      <c r="AB1738" s="25" t="n"/>
      <c r="AC1738" s="26">
        <f>IF(T1738="","Chưa quyết định",IF(OR(Z1738="",AA1738=""),"⚠ Thiếu lý do/người duyệt",IF(AND(X1738&lt;&gt;"",N(X1738)+N(R1738)+N(S1738)&gt;M1738*1.001,R1738&lt;&gt;""),"⚠ Vượt mục tiêu P90",IF(AND(Y1738&lt;&gt;"",ABS(N(Y1738))&gt;0.3),"⚠ Lệch &gt; 30% so với nhu cầu",IF(Q1738="Có","ℹ Kiểm tra ngoại suy KM","✓ Hợp lệ")))))</f>
        <v/>
      </c>
    </row>
    <row r="1739">
      <c r="A1739" s="16" t="n">
        <v>1735</v>
      </c>
      <c r="B1739" s="17" t="inlineStr">
        <is>
          <t>DEC-S30-PERSONAL_CARE</t>
        </is>
      </c>
      <c r="C1739" s="16" t="n">
        <v>30</v>
      </c>
      <c r="D1739" s="17" t="inlineStr">
        <is>
          <t>PERSONAL CARE</t>
        </is>
      </c>
      <c r="E1739" s="17" t="inlineStr">
        <is>
          <t>MEDIUM</t>
        </is>
      </c>
      <c r="F1739" s="17" t="inlineStr">
        <is>
          <t>CAO</t>
        </is>
      </c>
      <c r="G1739" s="18" t="inlineStr">
        <is>
          <t>RISK_MEDIUM</t>
        </is>
      </c>
      <c r="H1739" s="19" t="n">
        <v>1255.23860168457</v>
      </c>
      <c r="I1739" s="19" t="n">
        <v>1815.077095031739</v>
      </c>
      <c r="J1739" s="19" t="n">
        <v>2479.327623535156</v>
      </c>
      <c r="K1739" s="19" t="n">
        <v>1815.077095031739</v>
      </c>
      <c r="L1739" s="19" t="n">
        <v>2230.233675346374</v>
      </c>
      <c r="M1739" s="19" t="n">
        <v>2479.327623535156</v>
      </c>
      <c r="N1739" s="17" t="inlineStr">
        <is>
          <t>C</t>
        </is>
      </c>
      <c r="O1739" s="19" t="n">
        <v>1027.265947509765</v>
      </c>
      <c r="P1739" s="18" t="inlineStr">
        <is>
          <t>CÂN NHẮC THỬ NGHIỆM</t>
        </is>
      </c>
      <c r="Q1739" s="17" t="inlineStr">
        <is>
          <t>Không</t>
        </is>
      </c>
      <c r="R1739" s="20" t="n"/>
      <c r="S1739" s="20" t="n"/>
      <c r="T1739" s="21" t="n"/>
      <c r="U1739" s="21" t="n"/>
      <c r="V1739" s="22">
        <f>IF(U1739="A",K1739,IF(U1739="B",L1739,IF(U1739="C",M1739,IF(N1739="A",K1739,IF(N1739="B",L1739,M1739)))))</f>
        <v/>
      </c>
      <c r="W1739" s="22">
        <f>IF(R1739="",O1739,MAX(V1739-R1739-N(S1739),0))</f>
        <v/>
      </c>
      <c r="X1739" s="20" t="n"/>
      <c r="Y1739" s="23">
        <f>IF(OR(X1739="",W1739=0),"",X1739/W1739-1)</f>
        <v/>
      </c>
      <c r="Z1739" s="24" t="n"/>
      <c r="AA1739" s="21" t="n"/>
      <c r="AB1739" s="25" t="n"/>
      <c r="AC1739" s="26">
        <f>IF(T1739="","Chưa quyết định",IF(OR(Z1739="",AA1739=""),"⚠ Thiếu lý do/người duyệt",IF(AND(X1739&lt;&gt;"",N(X1739)+N(R1739)+N(S1739)&gt;M1739*1.001,R1739&lt;&gt;""),"⚠ Vượt mục tiêu P90",IF(AND(Y1739&lt;&gt;"",ABS(N(Y1739))&gt;0.3),"⚠ Lệch &gt; 30% so với nhu cầu",IF(Q1739="Có","ℹ Kiểm tra ngoại suy KM","✓ Hợp lệ")))))</f>
        <v/>
      </c>
    </row>
    <row r="1740">
      <c r="A1740" s="16" t="n">
        <v>1736</v>
      </c>
      <c r="B1740" s="17" t="inlineStr">
        <is>
          <t>DEC-S29-LIQUOR_WINE_BEER</t>
        </is>
      </c>
      <c r="C1740" s="16" t="n">
        <v>29</v>
      </c>
      <c r="D1740" s="17" t="inlineStr">
        <is>
          <t>LIQUOR,WINE,BEER</t>
        </is>
      </c>
      <c r="E1740" s="17" t="inlineStr">
        <is>
          <t>MEDIUM</t>
        </is>
      </c>
      <c r="F1740" s="17" t="inlineStr">
        <is>
          <t>CAO</t>
        </is>
      </c>
      <c r="G1740" s="18" t="inlineStr">
        <is>
          <t>RISK_MEDIUM</t>
        </is>
      </c>
      <c r="H1740" s="19" t="n">
        <v>1268.839063323975</v>
      </c>
      <c r="I1740" s="19" t="n">
        <v>1811.469555847168</v>
      </c>
      <c r="J1740" s="19" t="n">
        <v>2481.410206085205</v>
      </c>
      <c r="K1740" s="19" t="n">
        <v>1811.469555847168</v>
      </c>
      <c r="L1740" s="19" t="n">
        <v>2230.182462245941</v>
      </c>
      <c r="M1740" s="19" t="n">
        <v>2481.410206085205</v>
      </c>
      <c r="N1740" s="17" t="inlineStr">
        <is>
          <t>C</t>
        </is>
      </c>
      <c r="O1740" s="19" t="n">
        <v>1032.234561407471</v>
      </c>
      <c r="P1740" s="18" t="inlineStr">
        <is>
          <t>CÂN NHẮC THỬ NGHIỆM</t>
        </is>
      </c>
      <c r="Q1740" s="17" t="inlineStr">
        <is>
          <t>Không</t>
        </is>
      </c>
      <c r="R1740" s="20" t="n"/>
      <c r="S1740" s="20" t="n"/>
      <c r="T1740" s="21" t="n"/>
      <c r="U1740" s="21" t="n"/>
      <c r="V1740" s="22">
        <f>IF(U1740="A",K1740,IF(U1740="B",L1740,IF(U1740="C",M1740,IF(N1740="A",K1740,IF(N1740="B",L1740,M1740)))))</f>
        <v/>
      </c>
      <c r="W1740" s="22">
        <f>IF(R1740="",O1740,MAX(V1740-R1740-N(S1740),0))</f>
        <v/>
      </c>
      <c r="X1740" s="20" t="n"/>
      <c r="Y1740" s="23">
        <f>IF(OR(X1740="",W1740=0),"",X1740/W1740-1)</f>
        <v/>
      </c>
      <c r="Z1740" s="24" t="n"/>
      <c r="AA1740" s="21" t="n"/>
      <c r="AB1740" s="25" t="n"/>
      <c r="AC1740" s="26">
        <f>IF(T1740="","Chưa quyết định",IF(OR(Z1740="",AA1740=""),"⚠ Thiếu lý do/người duyệt",IF(AND(X1740&lt;&gt;"",N(X1740)+N(R1740)+N(S1740)&gt;M1740*1.001,R1740&lt;&gt;""),"⚠ Vượt mục tiêu P90",IF(AND(Y1740&lt;&gt;"",ABS(N(Y1740))&gt;0.3),"⚠ Lệch &gt; 30% so với nhu cầu",IF(Q1740="Có","ℹ Kiểm tra ngoại suy KM","✓ Hợp lệ")))))</f>
        <v/>
      </c>
    </row>
    <row r="1741">
      <c r="A1741" s="16" t="n">
        <v>1737</v>
      </c>
      <c r="B1741" s="17" t="inlineStr">
        <is>
          <t>DEC-S15-POULTRY</t>
        </is>
      </c>
      <c r="C1741" s="16" t="n">
        <v>15</v>
      </c>
      <c r="D1741" s="17" t="inlineStr">
        <is>
          <t>POULTRY</t>
        </is>
      </c>
      <c r="E1741" s="17" t="inlineStr">
        <is>
          <t>MEDIUM</t>
        </is>
      </c>
      <c r="F1741" s="17" t="inlineStr">
        <is>
          <t>CAO</t>
        </is>
      </c>
      <c r="G1741" s="18" t="inlineStr">
        <is>
          <t>RISK_MEDIUM</t>
        </is>
      </c>
      <c r="H1741" s="19" t="n">
        <v>1201.918098449707</v>
      </c>
      <c r="I1741" s="19" t="n">
        <v>1798.242195129394</v>
      </c>
      <c r="J1741" s="19" t="n">
        <v>2496.377869934082</v>
      </c>
      <c r="K1741" s="19" t="n">
        <v>1798.242195129394</v>
      </c>
      <c r="L1741" s="19" t="n">
        <v>2234.576991882324</v>
      </c>
      <c r="M1741" s="19" t="n">
        <v>2496.377869934082</v>
      </c>
      <c r="N1741" s="17" t="inlineStr">
        <is>
          <t>C</t>
        </is>
      </c>
      <c r="O1741" s="19" t="n">
        <v>1057.784113830566</v>
      </c>
      <c r="P1741" s="18" t="inlineStr">
        <is>
          <t>CÂN NHẮC THỬ NGHIỆM</t>
        </is>
      </c>
      <c r="Q1741" s="17" t="inlineStr">
        <is>
          <t>Không</t>
        </is>
      </c>
      <c r="R1741" s="20" t="n"/>
      <c r="S1741" s="20" t="n"/>
      <c r="T1741" s="21" t="n"/>
      <c r="U1741" s="21" t="n"/>
      <c r="V1741" s="22">
        <f>IF(U1741="A",K1741,IF(U1741="B",L1741,IF(U1741="C",M1741,IF(N1741="A",K1741,IF(N1741="B",L1741,M1741)))))</f>
        <v/>
      </c>
      <c r="W1741" s="22">
        <f>IF(R1741="",O1741,MAX(V1741-R1741-N(S1741),0))</f>
        <v/>
      </c>
      <c r="X1741" s="20" t="n"/>
      <c r="Y1741" s="23">
        <f>IF(OR(X1741="",W1741=0),"",X1741/W1741-1)</f>
        <v/>
      </c>
      <c r="Z1741" s="24" t="n"/>
      <c r="AA1741" s="21" t="n"/>
      <c r="AB1741" s="25" t="n"/>
      <c r="AC1741" s="26">
        <f>IF(T1741="","Chưa quyết định",IF(OR(Z1741="",AA1741=""),"⚠ Thiếu lý do/người duyệt",IF(AND(X1741&lt;&gt;"",N(X1741)+N(R1741)+N(S1741)&gt;M1741*1.001,R1741&lt;&gt;""),"⚠ Vượt mục tiêu P90",IF(AND(Y1741&lt;&gt;"",ABS(N(Y1741))&gt;0.3),"⚠ Lệch &gt; 30% so với nhu cầu",IF(Q1741="Có","ℹ Kiểm tra ngoại suy KM","✓ Hợp lệ")))))</f>
        <v/>
      </c>
    </row>
    <row r="1742">
      <c r="A1742" s="16" t="n">
        <v>1738</v>
      </c>
      <c r="B1742" s="17" t="inlineStr">
        <is>
          <t>DEC-S49-SCHOOL_AND_OFFICE_SUPPLIES</t>
        </is>
      </c>
      <c r="C1742" s="16" t="n">
        <v>49</v>
      </c>
      <c r="D1742" s="17" t="inlineStr">
        <is>
          <t>SCHOOL AND OFFICE SUPPLIES</t>
        </is>
      </c>
      <c r="E1742" s="17" t="inlineStr">
        <is>
          <t>MEDIUM</t>
        </is>
      </c>
      <c r="F1742" s="17" t="inlineStr">
        <is>
          <t>CAO</t>
        </is>
      </c>
      <c r="G1742" s="18" t="inlineStr">
        <is>
          <t>RISK_MEDIUM</t>
        </is>
      </c>
      <c r="H1742" s="19" t="n">
        <v>1248.333760101318</v>
      </c>
      <c r="I1742" s="19" t="n">
        <v>1790.446852203369</v>
      </c>
      <c r="J1742" s="19" t="n">
        <v>2449.071154998779</v>
      </c>
      <c r="K1742" s="19" t="n">
        <v>1790.446852203369</v>
      </c>
      <c r="L1742" s="19" t="n">
        <v>2202.0870414505</v>
      </c>
      <c r="M1742" s="19" t="n">
        <v>2449.071154998779</v>
      </c>
      <c r="N1742" s="17" t="inlineStr">
        <is>
          <t>C</t>
        </is>
      </c>
      <c r="O1742" s="19" t="n">
        <v>1016.713673236084</v>
      </c>
      <c r="P1742" s="18" t="inlineStr">
        <is>
          <t>KHÔNG ĐỀ XUẤT TĂNG</t>
        </is>
      </c>
      <c r="Q1742" s="17" t="inlineStr">
        <is>
          <t>Không</t>
        </is>
      </c>
      <c r="R1742" s="20" t="n"/>
      <c r="S1742" s="20" t="n"/>
      <c r="T1742" s="21" t="n"/>
      <c r="U1742" s="21" t="n"/>
      <c r="V1742" s="22">
        <f>IF(U1742="A",K1742,IF(U1742="B",L1742,IF(U1742="C",M1742,IF(N1742="A",K1742,IF(N1742="B",L1742,M1742)))))</f>
        <v/>
      </c>
      <c r="W1742" s="22">
        <f>IF(R1742="",O1742,MAX(V1742-R1742-N(S1742),0))</f>
        <v/>
      </c>
      <c r="X1742" s="20" t="n"/>
      <c r="Y1742" s="23">
        <f>IF(OR(X1742="",W1742=0),"",X1742/W1742-1)</f>
        <v/>
      </c>
      <c r="Z1742" s="24" t="n"/>
      <c r="AA1742" s="21" t="n"/>
      <c r="AB1742" s="25" t="n"/>
      <c r="AC1742" s="26">
        <f>IF(T1742="","Chưa quyết định",IF(OR(Z1742="",AA1742=""),"⚠ Thiếu lý do/người duyệt",IF(AND(X1742&lt;&gt;"",N(X1742)+N(R1742)+N(S1742)&gt;M1742*1.001,R1742&lt;&gt;""),"⚠ Vượt mục tiêu P90",IF(AND(Y1742&lt;&gt;"",ABS(N(Y1742))&gt;0.3),"⚠ Lệch &gt; 30% so với nhu cầu",IF(Q1742="Có","ℹ Kiểm tra ngoại suy KM","✓ Hợp lệ")))))</f>
        <v/>
      </c>
    </row>
    <row r="1743">
      <c r="A1743" s="16" t="n">
        <v>1739</v>
      </c>
      <c r="B1743" s="17" t="inlineStr">
        <is>
          <t>DEC-S24-PREPARED_FOODS</t>
        </is>
      </c>
      <c r="C1743" s="16" t="n">
        <v>24</v>
      </c>
      <c r="D1743" s="17" t="inlineStr">
        <is>
          <t>PREPARED FOODS</t>
        </is>
      </c>
      <c r="E1743" s="17" t="inlineStr">
        <is>
          <t>MEDIUM</t>
        </is>
      </c>
      <c r="F1743" s="17" t="inlineStr">
        <is>
          <t>CAO</t>
        </is>
      </c>
      <c r="G1743" s="18" t="inlineStr">
        <is>
          <t>RISK_MEDIUM</t>
        </is>
      </c>
      <c r="H1743" s="19" t="n">
        <v>1193.817901611328</v>
      </c>
      <c r="I1743" s="19" t="n">
        <v>1790.141998291016</v>
      </c>
      <c r="J1743" s="19" t="n">
        <v>2488.277673095703</v>
      </c>
      <c r="K1743" s="19" t="n">
        <v>1790.141998291016</v>
      </c>
      <c r="L1743" s="19" t="n">
        <v>2226.476795043945</v>
      </c>
      <c r="M1743" s="19" t="n">
        <v>2488.277673095703</v>
      </c>
      <c r="N1743" s="17" t="inlineStr">
        <is>
          <t>C</t>
        </is>
      </c>
      <c r="O1743" s="19" t="n">
        <v>1056.16407446289</v>
      </c>
      <c r="P1743" s="18" t="inlineStr">
        <is>
          <t>CÂN NHẮC THỬ NGHIỆM</t>
        </is>
      </c>
      <c r="Q1743" s="17" t="inlineStr">
        <is>
          <t>Không</t>
        </is>
      </c>
      <c r="R1743" s="20" t="n"/>
      <c r="S1743" s="20" t="n"/>
      <c r="T1743" s="21" t="n"/>
      <c r="U1743" s="21" t="n"/>
      <c r="V1743" s="22">
        <f>IF(U1743="A",K1743,IF(U1743="B",L1743,IF(U1743="C",M1743,IF(N1743="A",K1743,IF(N1743="B",L1743,M1743)))))</f>
        <v/>
      </c>
      <c r="W1743" s="22">
        <f>IF(R1743="",O1743,MAX(V1743-R1743-N(S1743),0))</f>
        <v/>
      </c>
      <c r="X1743" s="20" t="n"/>
      <c r="Y1743" s="23">
        <f>IF(OR(X1743="",W1743=0),"",X1743/W1743-1)</f>
        <v/>
      </c>
      <c r="Z1743" s="24" t="n"/>
      <c r="AA1743" s="21" t="n"/>
      <c r="AB1743" s="25" t="n"/>
      <c r="AC1743" s="26">
        <f>IF(T1743="","Chưa quyết định",IF(OR(Z1743="",AA1743=""),"⚠ Thiếu lý do/người duyệt",IF(AND(X1743&lt;&gt;"",N(X1743)+N(R1743)+N(S1743)&gt;M1743*1.001,R1743&lt;&gt;""),"⚠ Vượt mục tiêu P90",IF(AND(Y1743&lt;&gt;"",ABS(N(Y1743))&gt;0.3),"⚠ Lệch &gt; 30% so với nhu cầu",IF(Q1743="Có","ℹ Kiểm tra ngoại suy KM","✓ Hợp lệ")))))</f>
        <v/>
      </c>
    </row>
    <row r="1744">
      <c r="A1744" s="16" t="n">
        <v>1740</v>
      </c>
      <c r="B1744" s="17" t="inlineStr">
        <is>
          <t>DEC-S10-BREAD_BAKERY</t>
        </is>
      </c>
      <c r="C1744" s="16" t="n">
        <v>10</v>
      </c>
      <c r="D1744" s="17" t="inlineStr">
        <is>
          <t>BREAD/BAKERY</t>
        </is>
      </c>
      <c r="E1744" s="17" t="inlineStr">
        <is>
          <t>MEDIUM</t>
        </is>
      </c>
      <c r="F1744" s="17" t="inlineStr">
        <is>
          <t>CAO</t>
        </is>
      </c>
      <c r="G1744" s="18" t="inlineStr">
        <is>
          <t>RISK_MEDIUM</t>
        </is>
      </c>
      <c r="H1744" s="19" t="n">
        <v>1193.562843322754</v>
      </c>
      <c r="I1744" s="19" t="n">
        <v>1789.886940002441</v>
      </c>
      <c r="J1744" s="19" t="n">
        <v>2488.022614807129</v>
      </c>
      <c r="K1744" s="19" t="n">
        <v>1789.886940002441</v>
      </c>
      <c r="L1744" s="19" t="n">
        <v>2226.221736755371</v>
      </c>
      <c r="M1744" s="19" t="n">
        <v>2488.022614807129</v>
      </c>
      <c r="N1744" s="17" t="inlineStr">
        <is>
          <t>C</t>
        </is>
      </c>
      <c r="O1744" s="19" t="n">
        <v>1056.113062805176</v>
      </c>
      <c r="P1744" s="18" t="inlineStr">
        <is>
          <t>CÂN NHẮC THỬ NGHIỆM</t>
        </is>
      </c>
      <c r="Q1744" s="17" t="inlineStr">
        <is>
          <t>Không</t>
        </is>
      </c>
      <c r="R1744" s="20" t="n"/>
      <c r="S1744" s="20" t="n"/>
      <c r="T1744" s="21" t="n"/>
      <c r="U1744" s="21" t="n"/>
      <c r="V1744" s="22">
        <f>IF(U1744="A",K1744,IF(U1744="B",L1744,IF(U1744="C",M1744,IF(N1744="A",K1744,IF(N1744="B",L1744,M1744)))))</f>
        <v/>
      </c>
      <c r="W1744" s="22">
        <f>IF(R1744="",O1744,MAX(V1744-R1744-N(S1744),0))</f>
        <v/>
      </c>
      <c r="X1744" s="20" t="n"/>
      <c r="Y1744" s="23">
        <f>IF(OR(X1744="",W1744=0),"",X1744/W1744-1)</f>
        <v/>
      </c>
      <c r="Z1744" s="24" t="n"/>
      <c r="AA1744" s="21" t="n"/>
      <c r="AB1744" s="25" t="n"/>
      <c r="AC1744" s="26">
        <f>IF(T1744="","Chưa quyết định",IF(OR(Z1744="",AA1744=""),"⚠ Thiếu lý do/người duyệt",IF(AND(X1744&lt;&gt;"",N(X1744)+N(R1744)+N(S1744)&gt;M1744*1.001,R1744&lt;&gt;""),"⚠ Vượt mục tiêu P90",IF(AND(Y1744&lt;&gt;"",ABS(N(Y1744))&gt;0.3),"⚠ Lệch &gt; 30% so với nhu cầu",IF(Q1744="Có","ℹ Kiểm tra ngoại suy KM","✓ Hợp lệ")))))</f>
        <v/>
      </c>
    </row>
    <row r="1745">
      <c r="A1745" s="16" t="n">
        <v>1741</v>
      </c>
      <c r="B1745" s="17" t="inlineStr">
        <is>
          <t>DEC-S50-GROCERY_II</t>
        </is>
      </c>
      <c r="C1745" s="16" t="n">
        <v>50</v>
      </c>
      <c r="D1745" s="17" t="inlineStr">
        <is>
          <t>GROCERY II</t>
        </is>
      </c>
      <c r="E1745" s="17" t="inlineStr">
        <is>
          <t>MEDIUM</t>
        </is>
      </c>
      <c r="F1745" s="17" t="inlineStr">
        <is>
          <t>CAO</t>
        </is>
      </c>
      <c r="G1745" s="18" t="inlineStr">
        <is>
          <t>RISK_MEDIUM</t>
        </is>
      </c>
      <c r="H1745" s="19" t="n">
        <v>1210.730453491211</v>
      </c>
      <c r="I1745" s="19" t="n">
        <v>1770.568946838379</v>
      </c>
      <c r="J1745" s="19" t="n">
        <v>2434.819475341797</v>
      </c>
      <c r="K1745" s="19" t="n">
        <v>1770.568946838379</v>
      </c>
      <c r="L1745" s="19" t="n">
        <v>2185.725527153015</v>
      </c>
      <c r="M1745" s="19" t="n">
        <v>2434.819475341797</v>
      </c>
      <c r="N1745" s="17" t="inlineStr">
        <is>
          <t>C</t>
        </is>
      </c>
      <c r="O1745" s="19" t="n">
        <v>1018.364317871093</v>
      </c>
      <c r="P1745" s="18" t="inlineStr">
        <is>
          <t>CÂN NHẮC THỬ NGHIỆM</t>
        </is>
      </c>
      <c r="Q1745" s="17" t="inlineStr">
        <is>
          <t>Không</t>
        </is>
      </c>
      <c r="R1745" s="20" t="n"/>
      <c r="S1745" s="20" t="n"/>
      <c r="T1745" s="21" t="n"/>
      <c r="U1745" s="21" t="n"/>
      <c r="V1745" s="22">
        <f>IF(U1745="A",K1745,IF(U1745="B",L1745,IF(U1745="C",M1745,IF(N1745="A",K1745,IF(N1745="B",L1745,M1745)))))</f>
        <v/>
      </c>
      <c r="W1745" s="22">
        <f>IF(R1745="",O1745,MAX(V1745-R1745-N(S1745),0))</f>
        <v/>
      </c>
      <c r="X1745" s="20" t="n"/>
      <c r="Y1745" s="23">
        <f>IF(OR(X1745="",W1745=0),"",X1745/W1745-1)</f>
        <v/>
      </c>
      <c r="Z1745" s="24" t="n"/>
      <c r="AA1745" s="21" t="n"/>
      <c r="AB1745" s="25" t="n"/>
      <c r="AC1745" s="26">
        <f>IF(T1745="","Chưa quyết định",IF(OR(Z1745="",AA1745=""),"⚠ Thiếu lý do/người duyệt",IF(AND(X1745&lt;&gt;"",N(X1745)+N(R1745)+N(S1745)&gt;M1745*1.001,R1745&lt;&gt;""),"⚠ Vượt mục tiêu P90",IF(AND(Y1745&lt;&gt;"",ABS(N(Y1745))&gt;0.3),"⚠ Lệch &gt; 30% so với nhu cầu",IF(Q1745="Có","ℹ Kiểm tra ngoại suy KM","✓ Hợp lệ")))))</f>
        <v/>
      </c>
    </row>
    <row r="1746">
      <c r="A1746" s="16" t="n">
        <v>1742</v>
      </c>
      <c r="B1746" s="17" t="inlineStr">
        <is>
          <t>DEC-S44-GROCERY_II</t>
        </is>
      </c>
      <c r="C1746" s="16" t="n">
        <v>44</v>
      </c>
      <c r="D1746" s="17" t="inlineStr">
        <is>
          <t>GROCERY II</t>
        </is>
      </c>
      <c r="E1746" s="17" t="inlineStr">
        <is>
          <t>MEDIUM</t>
        </is>
      </c>
      <c r="F1746" s="17" t="inlineStr">
        <is>
          <t>CAO</t>
        </is>
      </c>
      <c r="G1746" s="18" t="inlineStr">
        <is>
          <t>RISK_MEDIUM</t>
        </is>
      </c>
      <c r="H1746" s="19" t="n">
        <v>1170.493804931641</v>
      </c>
      <c r="I1746" s="19" t="n">
        <v>1766.817901611328</v>
      </c>
      <c r="J1746" s="19" t="n">
        <v>2464.953576416015</v>
      </c>
      <c r="K1746" s="19" t="n">
        <v>1766.817901611328</v>
      </c>
      <c r="L1746" s="19" t="n">
        <v>2203.152698364258</v>
      </c>
      <c r="M1746" s="19" t="n">
        <v>2464.953576416015</v>
      </c>
      <c r="N1746" s="17" t="inlineStr">
        <is>
          <t>C</t>
        </is>
      </c>
      <c r="O1746" s="19" t="n">
        <v>1051.499255126953</v>
      </c>
      <c r="P1746" s="18" t="inlineStr">
        <is>
          <t>CÂN NHẮC THỬ NGHIỆM</t>
        </is>
      </c>
      <c r="Q1746" s="17" t="inlineStr">
        <is>
          <t>Không</t>
        </is>
      </c>
      <c r="R1746" s="20" t="n"/>
      <c r="S1746" s="20" t="n"/>
      <c r="T1746" s="21" t="n"/>
      <c r="U1746" s="21" t="n"/>
      <c r="V1746" s="22">
        <f>IF(U1746="A",K1746,IF(U1746="B",L1746,IF(U1746="C",M1746,IF(N1746="A",K1746,IF(N1746="B",L1746,M1746)))))</f>
        <v/>
      </c>
      <c r="W1746" s="22">
        <f>IF(R1746="",O1746,MAX(V1746-R1746-N(S1746),0))</f>
        <v/>
      </c>
      <c r="X1746" s="20" t="n"/>
      <c r="Y1746" s="23">
        <f>IF(OR(X1746="",W1746=0),"",X1746/W1746-1)</f>
        <v/>
      </c>
      <c r="Z1746" s="24" t="n"/>
      <c r="AA1746" s="21" t="n"/>
      <c r="AB1746" s="25" t="n"/>
      <c r="AC1746" s="26">
        <f>IF(T1746="","Chưa quyết định",IF(OR(Z1746="",AA1746=""),"⚠ Thiếu lý do/người duyệt",IF(AND(X1746&lt;&gt;"",N(X1746)+N(R1746)+N(S1746)&gt;M1746*1.001,R1746&lt;&gt;""),"⚠ Vượt mục tiêu P90",IF(AND(Y1746&lt;&gt;"",ABS(N(Y1746))&gt;0.3),"⚠ Lệch &gt; 30% so với nhu cầu",IF(Q1746="Có","ℹ Kiểm tra ngoại suy KM","✓ Hợp lệ")))))</f>
        <v/>
      </c>
    </row>
    <row r="1747">
      <c r="A1747" s="16" t="n">
        <v>1743</v>
      </c>
      <c r="B1747" s="17" t="inlineStr">
        <is>
          <t>DEC-S09-FROZEN_FOODS</t>
        </is>
      </c>
      <c r="C1747" s="16" t="n">
        <v>9</v>
      </c>
      <c r="D1747" s="17" t="inlineStr">
        <is>
          <t>FROZEN FOODS</t>
        </is>
      </c>
      <c r="E1747" s="17" t="inlineStr">
        <is>
          <t>MEDIUM</t>
        </is>
      </c>
      <c r="F1747" s="17" t="inlineStr">
        <is>
          <t>CAO</t>
        </is>
      </c>
      <c r="G1747" s="18" t="inlineStr">
        <is>
          <t>RISK_MEDIUM</t>
        </is>
      </c>
      <c r="H1747" s="19" t="n">
        <v>1194.138877868652</v>
      </c>
      <c r="I1747" s="19" t="n">
        <v>1753.97737121582</v>
      </c>
      <c r="J1747" s="19" t="n">
        <v>2418.227899719238</v>
      </c>
      <c r="K1747" s="19" t="n">
        <v>1753.97737121582</v>
      </c>
      <c r="L1747" s="19" t="n">
        <v>2169.133951530456</v>
      </c>
      <c r="M1747" s="19" t="n">
        <v>2418.227899719238</v>
      </c>
      <c r="N1747" s="17" t="inlineStr">
        <is>
          <t>C</t>
        </is>
      </c>
      <c r="O1747" s="19" t="n">
        <v>1015.046002746582</v>
      </c>
      <c r="P1747" s="18" t="inlineStr">
        <is>
          <t>CÂN NHẮC THỬ NGHIỆM</t>
        </is>
      </c>
      <c r="Q1747" s="17" t="inlineStr">
        <is>
          <t>Không</t>
        </is>
      </c>
      <c r="R1747" s="20" t="n"/>
      <c r="S1747" s="20" t="n"/>
      <c r="T1747" s="21" t="n"/>
      <c r="U1747" s="21" t="n"/>
      <c r="V1747" s="22">
        <f>IF(U1747="A",K1747,IF(U1747="B",L1747,IF(U1747="C",M1747,IF(N1747="A",K1747,IF(N1747="B",L1747,M1747)))))</f>
        <v/>
      </c>
      <c r="W1747" s="22">
        <f>IF(R1747="",O1747,MAX(V1747-R1747-N(S1747),0))</f>
        <v/>
      </c>
      <c r="X1747" s="20" t="n"/>
      <c r="Y1747" s="23">
        <f>IF(OR(X1747="",W1747=0),"",X1747/W1747-1)</f>
        <v/>
      </c>
      <c r="Z1747" s="24" t="n"/>
      <c r="AA1747" s="21" t="n"/>
      <c r="AB1747" s="25" t="n"/>
      <c r="AC1747" s="26">
        <f>IF(T1747="","Chưa quyết định",IF(OR(Z1747="",AA1747=""),"⚠ Thiếu lý do/người duyệt",IF(AND(X1747&lt;&gt;"",N(X1747)+N(R1747)+N(S1747)&gt;M1747*1.001,R1747&lt;&gt;""),"⚠ Vượt mục tiêu P90",IF(AND(Y1747&lt;&gt;"",ABS(N(Y1747))&gt;0.3),"⚠ Lệch &gt; 30% so với nhu cầu",IF(Q1747="Có","ℹ Kiểm tra ngoại suy KM","✓ Hợp lệ")))))</f>
        <v/>
      </c>
    </row>
    <row r="1748">
      <c r="A1748" s="16" t="n">
        <v>1744</v>
      </c>
      <c r="B1748" s="17" t="inlineStr">
        <is>
          <t>DEC-S25-PERSONAL_CARE</t>
        </is>
      </c>
      <c r="C1748" s="16" t="n">
        <v>25</v>
      </c>
      <c r="D1748" s="17" t="inlineStr">
        <is>
          <t>PERSONAL CARE</t>
        </is>
      </c>
      <c r="E1748" s="17" t="inlineStr">
        <is>
          <t>MEDIUM</t>
        </is>
      </c>
      <c r="F1748" s="17" t="inlineStr">
        <is>
          <t>CAO</t>
        </is>
      </c>
      <c r="G1748" s="18" t="inlineStr">
        <is>
          <t>RISK_MEDIUM</t>
        </is>
      </c>
      <c r="H1748" s="19" t="n">
        <v>1142.422630310059</v>
      </c>
      <c r="I1748" s="19" t="n">
        <v>1738.746726989746</v>
      </c>
      <c r="J1748" s="19" t="n">
        <v>2436.882401794433</v>
      </c>
      <c r="K1748" s="19" t="n">
        <v>1738.746726989746</v>
      </c>
      <c r="L1748" s="19" t="n">
        <v>2175.081523742675</v>
      </c>
      <c r="M1748" s="19" t="n">
        <v>2436.882401794433</v>
      </c>
      <c r="N1748" s="17" t="inlineStr">
        <is>
          <t>C</t>
        </is>
      </c>
      <c r="O1748" s="19" t="n">
        <v>1045.885020202636</v>
      </c>
      <c r="P1748" s="18" t="inlineStr">
        <is>
          <t>CÂN NHẮC THỬ NGHIỆM</t>
        </is>
      </c>
      <c r="Q1748" s="17" t="inlineStr">
        <is>
          <t>Không</t>
        </is>
      </c>
      <c r="R1748" s="20" t="n"/>
      <c r="S1748" s="20" t="n"/>
      <c r="T1748" s="21" t="n"/>
      <c r="U1748" s="21" t="n"/>
      <c r="V1748" s="22">
        <f>IF(U1748="A",K1748,IF(U1748="B",L1748,IF(U1748="C",M1748,IF(N1748="A",K1748,IF(N1748="B",L1748,M1748)))))</f>
        <v/>
      </c>
      <c r="W1748" s="22">
        <f>IF(R1748="",O1748,MAX(V1748-R1748-N(S1748),0))</f>
        <v/>
      </c>
      <c r="X1748" s="20" t="n"/>
      <c r="Y1748" s="23">
        <f>IF(OR(X1748="",W1748=0),"",X1748/W1748-1)</f>
        <v/>
      </c>
      <c r="Z1748" s="24" t="n"/>
      <c r="AA1748" s="21" t="n"/>
      <c r="AB1748" s="25" t="n"/>
      <c r="AC1748" s="26">
        <f>IF(T1748="","Chưa quyết định",IF(OR(Z1748="",AA1748=""),"⚠ Thiếu lý do/người duyệt",IF(AND(X1748&lt;&gt;"",N(X1748)+N(R1748)+N(S1748)&gt;M1748*1.001,R1748&lt;&gt;""),"⚠ Vượt mục tiêu P90",IF(AND(Y1748&lt;&gt;"",ABS(N(Y1748))&gt;0.3),"⚠ Lệch &gt; 30% so với nhu cầu",IF(Q1748="Có","ℹ Kiểm tra ngoại suy KM","✓ Hợp lệ")))))</f>
        <v/>
      </c>
    </row>
    <row r="1749">
      <c r="A1749" s="16" t="n">
        <v>1745</v>
      </c>
      <c r="B1749" s="17" t="inlineStr">
        <is>
          <t>DEC-S24-LIQUOR_WINE_BEER</t>
        </is>
      </c>
      <c r="C1749" s="16" t="n">
        <v>24</v>
      </c>
      <c r="D1749" s="17" t="inlineStr">
        <is>
          <t>LIQUOR,WINE,BEER</t>
        </is>
      </c>
      <c r="E1749" s="17" t="inlineStr">
        <is>
          <t>MEDIUM</t>
        </is>
      </c>
      <c r="F1749" s="17" t="inlineStr">
        <is>
          <t>CAO</t>
        </is>
      </c>
      <c r="G1749" s="18" t="inlineStr">
        <is>
          <t>RISK_MEDIUM</t>
        </is>
      </c>
      <c r="H1749" s="19" t="n">
        <v>1175.889873504639</v>
      </c>
      <c r="I1749" s="19" t="n">
        <v>1717.485565185547</v>
      </c>
      <c r="J1749" s="19" t="n">
        <v>2364.79352053833</v>
      </c>
      <c r="K1749" s="19" t="n">
        <v>1717.485565185547</v>
      </c>
      <c r="L1749" s="19" t="n">
        <v>2122.053037281036</v>
      </c>
      <c r="M1749" s="19" t="n">
        <v>2364.79352053833</v>
      </c>
      <c r="N1749" s="17" t="inlineStr">
        <is>
          <t>C</t>
        </is>
      </c>
      <c r="O1749" s="19" t="n">
        <v>990.8050683898924</v>
      </c>
      <c r="P1749" s="18" t="inlineStr">
        <is>
          <t>CÂN NHẮC THỬ NGHIỆM</t>
        </is>
      </c>
      <c r="Q1749" s="17" t="inlineStr">
        <is>
          <t>Không</t>
        </is>
      </c>
      <c r="R1749" s="20" t="n"/>
      <c r="S1749" s="20" t="n"/>
      <c r="T1749" s="21" t="n"/>
      <c r="U1749" s="21" t="n"/>
      <c r="V1749" s="22">
        <f>IF(U1749="A",K1749,IF(U1749="B",L1749,IF(U1749="C",M1749,IF(N1749="A",K1749,IF(N1749="B",L1749,M1749)))))</f>
        <v/>
      </c>
      <c r="W1749" s="22">
        <f>IF(R1749="",O1749,MAX(V1749-R1749-N(S1749),0))</f>
        <v/>
      </c>
      <c r="X1749" s="20" t="n"/>
      <c r="Y1749" s="23">
        <f>IF(OR(X1749="",W1749=0),"",X1749/W1749-1)</f>
        <v/>
      </c>
      <c r="Z1749" s="24" t="n"/>
      <c r="AA1749" s="21" t="n"/>
      <c r="AB1749" s="25" t="n"/>
      <c r="AC1749" s="26">
        <f>IF(T1749="","Chưa quyết định",IF(OR(Z1749="",AA1749=""),"⚠ Thiếu lý do/người duyệt",IF(AND(X1749&lt;&gt;"",N(X1749)+N(R1749)+N(S1749)&gt;M1749*1.001,R1749&lt;&gt;""),"⚠ Vượt mục tiêu P90",IF(AND(Y1749&lt;&gt;"",ABS(N(Y1749))&gt;0.3),"⚠ Lệch &gt; 30% so với nhu cầu",IF(Q1749="Có","ℹ Kiểm tra ngoại suy KM","✓ Hợp lệ")))))</f>
        <v/>
      </c>
    </row>
    <row r="1750">
      <c r="A1750" s="16" t="n">
        <v>1746</v>
      </c>
      <c r="B1750" s="17" t="inlineStr">
        <is>
          <t>DEC-S02-PREPARED_FOODS</t>
        </is>
      </c>
      <c r="C1750" s="16" t="n">
        <v>2</v>
      </c>
      <c r="D1750" s="17" t="inlineStr">
        <is>
          <t>PREPARED FOODS</t>
        </is>
      </c>
      <c r="E1750" s="17" t="inlineStr">
        <is>
          <t>MEDIUM</t>
        </is>
      </c>
      <c r="F1750" s="17" t="inlineStr">
        <is>
          <t>CAO</t>
        </is>
      </c>
      <c r="G1750" s="18" t="inlineStr">
        <is>
          <t>RISK_MEDIUM</t>
        </is>
      </c>
      <c r="H1750" s="19" t="n">
        <v>1134.186191558838</v>
      </c>
      <c r="I1750" s="19" t="n">
        <v>1712.267486572266</v>
      </c>
      <c r="J1750" s="19" t="n">
        <v>2393.460588226318</v>
      </c>
      <c r="K1750" s="19" t="n">
        <v>1712.267486572266</v>
      </c>
      <c r="L1750" s="19" t="n">
        <v>2138.013175106048</v>
      </c>
      <c r="M1750" s="19" t="n">
        <v>2393.460588226318</v>
      </c>
      <c r="N1750" s="17" t="inlineStr">
        <is>
          <t>C</t>
        </is>
      </c>
      <c r="O1750" s="19" t="n">
        <v>1023.646598968506</v>
      </c>
      <c r="P1750" s="18" t="inlineStr">
        <is>
          <t>CÂN NHẮC THỬ NGHIỆM</t>
        </is>
      </c>
      <c r="Q1750" s="17" t="inlineStr">
        <is>
          <t>Không</t>
        </is>
      </c>
      <c r="R1750" s="20" t="n"/>
      <c r="S1750" s="20" t="n"/>
      <c r="T1750" s="21" t="n"/>
      <c r="U1750" s="21" t="n"/>
      <c r="V1750" s="22">
        <f>IF(U1750="A",K1750,IF(U1750="B",L1750,IF(U1750="C",M1750,IF(N1750="A",K1750,IF(N1750="B",L1750,M1750)))))</f>
        <v/>
      </c>
      <c r="W1750" s="22">
        <f>IF(R1750="",O1750,MAX(V1750-R1750-N(S1750),0))</f>
        <v/>
      </c>
      <c r="X1750" s="20" t="n"/>
      <c r="Y1750" s="23">
        <f>IF(OR(X1750="",W1750=0),"",X1750/W1750-1)</f>
        <v/>
      </c>
      <c r="Z1750" s="24" t="n"/>
      <c r="AA1750" s="21" t="n"/>
      <c r="AB1750" s="25" t="n"/>
      <c r="AC1750" s="26">
        <f>IF(T1750="","Chưa quyết định",IF(OR(Z1750="",AA1750=""),"⚠ Thiếu lý do/người duyệt",IF(AND(X1750&lt;&gt;"",N(X1750)+N(R1750)+N(S1750)&gt;M1750*1.001,R1750&lt;&gt;""),"⚠ Vượt mục tiêu P90",IF(AND(Y1750&lt;&gt;"",ABS(N(Y1750))&gt;0.3),"⚠ Lệch &gt; 30% so với nhu cầu",IF(Q1750="Có","ℹ Kiểm tra ngoại suy KM","✓ Hợp lệ")))))</f>
        <v/>
      </c>
    </row>
    <row r="1751">
      <c r="A1751" s="16" t="n">
        <v>1747</v>
      </c>
      <c r="B1751" s="17" t="inlineStr">
        <is>
          <t>DEC-S44-SCHOOL_AND_OFFICE_SUPPLIES</t>
        </is>
      </c>
      <c r="C1751" s="16" t="n">
        <v>44</v>
      </c>
      <c r="D1751" s="17" t="inlineStr">
        <is>
          <t>SCHOOL AND OFFICE SUPPLIES</t>
        </is>
      </c>
      <c r="E1751" s="17" t="inlineStr">
        <is>
          <t>MEDIUM</t>
        </is>
      </c>
      <c r="F1751" s="17" t="inlineStr">
        <is>
          <t>CAO</t>
        </is>
      </c>
      <c r="G1751" s="18" t="inlineStr">
        <is>
          <t>RISK_MEDIUM</t>
        </is>
      </c>
      <c r="H1751" s="19" t="n">
        <v>1119.664031982422</v>
      </c>
      <c r="I1751" s="19" t="n">
        <v>1672.7690782547</v>
      </c>
      <c r="J1751" s="19" t="n">
        <v>2327.020427871704</v>
      </c>
      <c r="K1751" s="19" t="n">
        <v>1672.7690782547</v>
      </c>
      <c r="L1751" s="19" t="n">
        <v>2081.676171765328</v>
      </c>
      <c r="M1751" s="19" t="n">
        <v>2327.020427871704</v>
      </c>
      <c r="N1751" s="17" t="inlineStr">
        <is>
          <t>C</t>
        </is>
      </c>
      <c r="O1751" s="19" t="n">
        <v>988.8051652679444</v>
      </c>
      <c r="P1751" s="18" t="inlineStr">
        <is>
          <t>KHÔNG ĐỀ XUẤT TĂNG</t>
        </is>
      </c>
      <c r="Q1751" s="17" t="inlineStr">
        <is>
          <t>Không</t>
        </is>
      </c>
      <c r="R1751" s="20" t="n"/>
      <c r="S1751" s="20" t="n"/>
      <c r="T1751" s="21" t="n"/>
      <c r="U1751" s="21" t="n"/>
      <c r="V1751" s="22">
        <f>IF(U1751="A",K1751,IF(U1751="B",L1751,IF(U1751="C",M1751,IF(N1751="A",K1751,IF(N1751="B",L1751,M1751)))))</f>
        <v/>
      </c>
      <c r="W1751" s="22">
        <f>IF(R1751="",O1751,MAX(V1751-R1751-N(S1751),0))</f>
        <v/>
      </c>
      <c r="X1751" s="20" t="n"/>
      <c r="Y1751" s="23">
        <f>IF(OR(X1751="",W1751=0),"",X1751/W1751-1)</f>
        <v/>
      </c>
      <c r="Z1751" s="24" t="n"/>
      <c r="AA1751" s="21" t="n"/>
      <c r="AB1751" s="25" t="n"/>
      <c r="AC1751" s="26">
        <f>IF(T1751="","Chưa quyết định",IF(OR(Z1751="",AA1751=""),"⚠ Thiếu lý do/người duyệt",IF(AND(X1751&lt;&gt;"",N(X1751)+N(R1751)+N(S1751)&gt;M1751*1.001,R1751&lt;&gt;""),"⚠ Vượt mục tiêu P90",IF(AND(Y1751&lt;&gt;"",ABS(N(Y1751))&gt;0.3),"⚠ Lệch &gt; 30% so với nhu cầu",IF(Q1751="Có","ℹ Kiểm tra ngoại suy KM","✓ Hợp lệ")))))</f>
        <v/>
      </c>
    </row>
    <row r="1752">
      <c r="A1752" s="16" t="n">
        <v>1748</v>
      </c>
      <c r="B1752" s="17" t="inlineStr">
        <is>
          <t>DEC-S44-SEAFOOD</t>
        </is>
      </c>
      <c r="C1752" s="16" t="n">
        <v>44</v>
      </c>
      <c r="D1752" s="17" t="inlineStr">
        <is>
          <t>SEAFOOD</t>
        </is>
      </c>
      <c r="E1752" s="17" t="inlineStr">
        <is>
          <t>MEDIUM</t>
        </is>
      </c>
      <c r="F1752" s="17" t="inlineStr">
        <is>
          <t>CAO</t>
        </is>
      </c>
      <c r="G1752" s="18" t="inlineStr">
        <is>
          <t>RISK_MEDIUM</t>
        </is>
      </c>
      <c r="H1752" s="19" t="n">
        <v>1115.622844696045</v>
      </c>
      <c r="I1752" s="19" t="n">
        <v>1657.218536376953</v>
      </c>
      <c r="J1752" s="19" t="n">
        <v>2304.526491729736</v>
      </c>
      <c r="K1752" s="19" t="n">
        <v>1657.218536376953</v>
      </c>
      <c r="L1752" s="19" t="n">
        <v>2061.786008472443</v>
      </c>
      <c r="M1752" s="19" t="n">
        <v>2304.526491729736</v>
      </c>
      <c r="N1752" s="17" t="inlineStr">
        <is>
          <t>C</t>
        </is>
      </c>
      <c r="O1752" s="19" t="n">
        <v>978.751662628174</v>
      </c>
      <c r="P1752" s="18" t="inlineStr">
        <is>
          <t>CÂN NHẮC THỬ NGHIỆM</t>
        </is>
      </c>
      <c r="Q1752" s="17" t="inlineStr">
        <is>
          <t>Không</t>
        </is>
      </c>
      <c r="R1752" s="20" t="n"/>
      <c r="S1752" s="20" t="n"/>
      <c r="T1752" s="21" t="n"/>
      <c r="U1752" s="21" t="n"/>
      <c r="V1752" s="22">
        <f>IF(U1752="A",K1752,IF(U1752="B",L1752,IF(U1752="C",M1752,IF(N1752="A",K1752,IF(N1752="B",L1752,M1752)))))</f>
        <v/>
      </c>
      <c r="W1752" s="22">
        <f>IF(R1752="",O1752,MAX(V1752-R1752-N(S1752),0))</f>
        <v/>
      </c>
      <c r="X1752" s="20" t="n"/>
      <c r="Y1752" s="23">
        <f>IF(OR(X1752="",W1752=0),"",X1752/W1752-1)</f>
        <v/>
      </c>
      <c r="Z1752" s="24" t="n"/>
      <c r="AA1752" s="21" t="n"/>
      <c r="AB1752" s="25" t="n"/>
      <c r="AC1752" s="26">
        <f>IF(T1752="","Chưa quyết định",IF(OR(Z1752="",AA1752=""),"⚠ Thiếu lý do/người duyệt",IF(AND(X1752&lt;&gt;"",N(X1752)+N(R1752)+N(S1752)&gt;M1752*1.001,R1752&lt;&gt;""),"⚠ Vượt mục tiêu P90",IF(AND(Y1752&lt;&gt;"",ABS(N(Y1752))&gt;0.3),"⚠ Lệch &gt; 30% so với nhu cầu",IF(Q1752="Có","ℹ Kiểm tra ngoại suy KM","✓ Hợp lệ")))))</f>
        <v/>
      </c>
    </row>
    <row r="1753">
      <c r="A1753" s="16" t="n">
        <v>1749</v>
      </c>
      <c r="B1753" s="17" t="inlineStr">
        <is>
          <t>DEC-S38-EGGS</t>
        </is>
      </c>
      <c r="C1753" s="16" t="n">
        <v>38</v>
      </c>
      <c r="D1753" s="17" t="inlineStr">
        <is>
          <t>EGGS</t>
        </is>
      </c>
      <c r="E1753" s="17" t="inlineStr">
        <is>
          <t>MEDIUM</t>
        </is>
      </c>
      <c r="F1753" s="17" t="inlineStr">
        <is>
          <t>CAO</t>
        </is>
      </c>
      <c r="G1753" s="18" t="inlineStr">
        <is>
          <t>RISK_MEDIUM</t>
        </is>
      </c>
      <c r="H1753" s="19" t="n">
        <v>1096.664779663086</v>
      </c>
      <c r="I1753" s="19" t="n">
        <v>1656.503273010254</v>
      </c>
      <c r="J1753" s="19" t="n">
        <v>2320.753801513672</v>
      </c>
      <c r="K1753" s="19" t="n">
        <v>1656.503273010254</v>
      </c>
      <c r="L1753" s="19" t="n">
        <v>2071.65985332489</v>
      </c>
      <c r="M1753" s="19" t="n">
        <v>2320.753801513672</v>
      </c>
      <c r="N1753" s="17" t="inlineStr">
        <is>
          <t>C</t>
        </is>
      </c>
      <c r="O1753" s="19" t="n">
        <v>995.5511831054682</v>
      </c>
      <c r="P1753" s="18" t="inlineStr">
        <is>
          <t>CÂN NHẮC THỬ NGHIỆM</t>
        </is>
      </c>
      <c r="Q1753" s="17" t="inlineStr">
        <is>
          <t>Không</t>
        </is>
      </c>
      <c r="R1753" s="20" t="n"/>
      <c r="S1753" s="20" t="n"/>
      <c r="T1753" s="21" t="n"/>
      <c r="U1753" s="21" t="n"/>
      <c r="V1753" s="22">
        <f>IF(U1753="A",K1753,IF(U1753="B",L1753,IF(U1753="C",M1753,IF(N1753="A",K1753,IF(N1753="B",L1753,M1753)))))</f>
        <v/>
      </c>
      <c r="W1753" s="22">
        <f>IF(R1753="",O1753,MAX(V1753-R1753-N(S1753),0))</f>
        <v/>
      </c>
      <c r="X1753" s="20" t="n"/>
      <c r="Y1753" s="23">
        <f>IF(OR(X1753="",W1753=0),"",X1753/W1753-1)</f>
        <v/>
      </c>
      <c r="Z1753" s="24" t="n"/>
      <c r="AA1753" s="21" t="n"/>
      <c r="AB1753" s="25" t="n"/>
      <c r="AC1753" s="26">
        <f>IF(T1753="","Chưa quyết định",IF(OR(Z1753="",AA1753=""),"⚠ Thiếu lý do/người duyệt",IF(AND(X1753&lt;&gt;"",N(X1753)+N(R1753)+N(S1753)&gt;M1753*1.001,R1753&lt;&gt;""),"⚠ Vượt mục tiêu P90",IF(AND(Y1753&lt;&gt;"",ABS(N(Y1753))&gt;0.3),"⚠ Lệch &gt; 30% so với nhu cầu",IF(Q1753="Có","ℹ Kiểm tra ngoại suy KM","✓ Hợp lệ")))))</f>
        <v/>
      </c>
    </row>
    <row r="1754">
      <c r="A1754" s="16" t="n">
        <v>1750</v>
      </c>
      <c r="B1754" s="17" t="inlineStr">
        <is>
          <t>DEC-S13-POULTRY</t>
        </is>
      </c>
      <c r="C1754" s="16" t="n">
        <v>13</v>
      </c>
      <c r="D1754" s="17" t="inlineStr">
        <is>
          <t>POULTRY</t>
        </is>
      </c>
      <c r="E1754" s="17" t="inlineStr">
        <is>
          <t>MEDIUM</t>
        </is>
      </c>
      <c r="F1754" s="17" t="inlineStr">
        <is>
          <t>CAO</t>
        </is>
      </c>
      <c r="G1754" s="18" t="inlineStr">
        <is>
          <t>RISK_MEDIUM</t>
        </is>
      </c>
      <c r="H1754" s="19" t="n">
        <v>1131.121116638184</v>
      </c>
      <c r="I1754" s="19" t="n">
        <v>1654.474006652832</v>
      </c>
      <c r="J1754" s="19" t="n">
        <v>2284.83938885498</v>
      </c>
      <c r="K1754" s="19" t="n">
        <v>1654.474006652832</v>
      </c>
      <c r="L1754" s="19" t="n">
        <v>2048.452370529175</v>
      </c>
      <c r="M1754" s="19" t="n">
        <v>2284.83938885498</v>
      </c>
      <c r="N1754" s="17" t="inlineStr">
        <is>
          <t>C</t>
        </is>
      </c>
      <c r="O1754" s="19" t="n">
        <v>961.2601835327146</v>
      </c>
      <c r="P1754" s="18" t="inlineStr">
        <is>
          <t>CÂN NHẮC THỬ NGHIỆM</t>
        </is>
      </c>
      <c r="Q1754" s="17" t="inlineStr">
        <is>
          <t>Không</t>
        </is>
      </c>
      <c r="R1754" s="20" t="n"/>
      <c r="S1754" s="20" t="n"/>
      <c r="T1754" s="21" t="n"/>
      <c r="U1754" s="21" t="n"/>
      <c r="V1754" s="22">
        <f>IF(U1754="A",K1754,IF(U1754="B",L1754,IF(U1754="C",M1754,IF(N1754="A",K1754,IF(N1754="B",L1754,M1754)))))</f>
        <v/>
      </c>
      <c r="W1754" s="22">
        <f>IF(R1754="",O1754,MAX(V1754-R1754-N(S1754),0))</f>
        <v/>
      </c>
      <c r="X1754" s="20" t="n"/>
      <c r="Y1754" s="23">
        <f>IF(OR(X1754="",W1754=0),"",X1754/W1754-1)</f>
        <v/>
      </c>
      <c r="Z1754" s="24" t="n"/>
      <c r="AA1754" s="21" t="n"/>
      <c r="AB1754" s="25" t="n"/>
      <c r="AC1754" s="26">
        <f>IF(T1754="","Chưa quyết định",IF(OR(Z1754="",AA1754=""),"⚠ Thiếu lý do/người duyệt",IF(AND(X1754&lt;&gt;"",N(X1754)+N(R1754)+N(S1754)&gt;M1754*1.001,R1754&lt;&gt;""),"⚠ Vượt mục tiêu P90",IF(AND(Y1754&lt;&gt;"",ABS(N(Y1754))&gt;0.3),"⚠ Lệch &gt; 30% so với nhu cầu",IF(Q1754="Có","ℹ Kiểm tra ngoại suy KM","✓ Hợp lệ")))))</f>
        <v/>
      </c>
    </row>
    <row r="1755">
      <c r="A1755" s="16" t="n">
        <v>1751</v>
      </c>
      <c r="B1755" s="17" t="inlineStr">
        <is>
          <t>DEC-S25-EGGS</t>
        </is>
      </c>
      <c r="C1755" s="16" t="n">
        <v>25</v>
      </c>
      <c r="D1755" s="17" t="inlineStr">
        <is>
          <t>EGGS</t>
        </is>
      </c>
      <c r="E1755" s="17" t="inlineStr">
        <is>
          <t>MEDIUM</t>
        </is>
      </c>
      <c r="F1755" s="17" t="inlineStr">
        <is>
          <t>CAO</t>
        </is>
      </c>
      <c r="G1755" s="18" t="inlineStr">
        <is>
          <t>RISK_MEDIUM</t>
        </is>
      </c>
      <c r="H1755" s="19" t="n">
        <v>1092.379188537598</v>
      </c>
      <c r="I1755" s="19" t="n">
        <v>1652.217681884766</v>
      </c>
      <c r="J1755" s="19" t="n">
        <v>2316.468210388184</v>
      </c>
      <c r="K1755" s="19" t="n">
        <v>1652.217681884766</v>
      </c>
      <c r="L1755" s="19" t="n">
        <v>2067.374262199402</v>
      </c>
      <c r="M1755" s="19" t="n">
        <v>2316.468210388184</v>
      </c>
      <c r="N1755" s="17" t="inlineStr">
        <is>
          <t>C</t>
        </is>
      </c>
      <c r="O1755" s="19" t="n">
        <v>994.6940648803712</v>
      </c>
      <c r="P1755" s="18" t="inlineStr">
        <is>
          <t>CÂN NHẮC THỬ NGHIỆM</t>
        </is>
      </c>
      <c r="Q1755" s="17" t="inlineStr">
        <is>
          <t>Không</t>
        </is>
      </c>
      <c r="R1755" s="20" t="n"/>
      <c r="S1755" s="20" t="n"/>
      <c r="T1755" s="21" t="n"/>
      <c r="U1755" s="21" t="n"/>
      <c r="V1755" s="22">
        <f>IF(U1755="A",K1755,IF(U1755="B",L1755,IF(U1755="C",M1755,IF(N1755="A",K1755,IF(N1755="B",L1755,M1755)))))</f>
        <v/>
      </c>
      <c r="W1755" s="22">
        <f>IF(R1755="",O1755,MAX(V1755-R1755-N(S1755),0))</f>
        <v/>
      </c>
      <c r="X1755" s="20" t="n"/>
      <c r="Y1755" s="23">
        <f>IF(OR(X1755="",W1755=0),"",X1755/W1755-1)</f>
        <v/>
      </c>
      <c r="Z1755" s="24" t="n"/>
      <c r="AA1755" s="21" t="n"/>
      <c r="AB1755" s="25" t="n"/>
      <c r="AC1755" s="26">
        <f>IF(T1755="","Chưa quyết định",IF(OR(Z1755="",AA1755=""),"⚠ Thiếu lý do/người duyệt",IF(AND(X1755&lt;&gt;"",N(X1755)+N(R1755)+N(S1755)&gt;M1755*1.001,R1755&lt;&gt;""),"⚠ Vượt mục tiêu P90",IF(AND(Y1755&lt;&gt;"",ABS(N(Y1755))&gt;0.3),"⚠ Lệch &gt; 30% so với nhu cầu",IF(Q1755="Có","ℹ Kiểm tra ngoại suy KM","✓ Hợp lệ")))))</f>
        <v/>
      </c>
    </row>
    <row r="1756">
      <c r="A1756" s="16" t="n">
        <v>1752</v>
      </c>
      <c r="B1756" s="17" t="inlineStr">
        <is>
          <t>DEC-S35-BREAD_BAKERY</t>
        </is>
      </c>
      <c r="C1756" s="16" t="n">
        <v>35</v>
      </c>
      <c r="D1756" s="17" t="inlineStr">
        <is>
          <t>BREAD/BAKERY</t>
        </is>
      </c>
      <c r="E1756" s="17" t="inlineStr">
        <is>
          <t>MEDIUM</t>
        </is>
      </c>
      <c r="F1756" s="17" t="inlineStr">
        <is>
          <t>CAO</t>
        </is>
      </c>
      <c r="G1756" s="18" t="inlineStr">
        <is>
          <t>RISK_MEDIUM</t>
        </is>
      </c>
      <c r="H1756" s="19" t="n">
        <v>1094.737407684326</v>
      </c>
      <c r="I1756" s="19" t="n">
        <v>1636.333099365234</v>
      </c>
      <c r="J1756" s="19" t="n">
        <v>2283.641054718018</v>
      </c>
      <c r="K1756" s="19" t="n">
        <v>1636.333099365234</v>
      </c>
      <c r="L1756" s="19" t="n">
        <v>2040.900571460724</v>
      </c>
      <c r="M1756" s="19" t="n">
        <v>2283.641054718018</v>
      </c>
      <c r="N1756" s="17" t="inlineStr">
        <is>
          <t>C</t>
        </is>
      </c>
      <c r="O1756" s="19" t="n">
        <v>974.57457522583</v>
      </c>
      <c r="P1756" s="18" t="inlineStr">
        <is>
          <t>CÂN NHẮC THỬ NGHIỆM</t>
        </is>
      </c>
      <c r="Q1756" s="17" t="inlineStr">
        <is>
          <t>Không</t>
        </is>
      </c>
      <c r="R1756" s="20" t="n"/>
      <c r="S1756" s="20" t="n"/>
      <c r="T1756" s="21" t="n"/>
      <c r="U1756" s="21" t="n"/>
      <c r="V1756" s="22">
        <f>IF(U1756="A",K1756,IF(U1756="B",L1756,IF(U1756="C",M1756,IF(N1756="A",K1756,IF(N1756="B",L1756,M1756)))))</f>
        <v/>
      </c>
      <c r="W1756" s="22">
        <f>IF(R1756="",O1756,MAX(V1756-R1756-N(S1756),0))</f>
        <v/>
      </c>
      <c r="X1756" s="20" t="n"/>
      <c r="Y1756" s="23">
        <f>IF(OR(X1756="",W1756=0),"",X1756/W1756-1)</f>
        <v/>
      </c>
      <c r="Z1756" s="24" t="n"/>
      <c r="AA1756" s="21" t="n"/>
      <c r="AB1756" s="25" t="n"/>
      <c r="AC1756" s="26">
        <f>IF(T1756="","Chưa quyết định",IF(OR(Z1756="",AA1756=""),"⚠ Thiếu lý do/người duyệt",IF(AND(X1756&lt;&gt;"",N(X1756)+N(R1756)+N(S1756)&gt;M1756*1.001,R1756&lt;&gt;""),"⚠ Vượt mục tiêu P90",IF(AND(Y1756&lt;&gt;"",ABS(N(Y1756))&gt;0.3),"⚠ Lệch &gt; 30% so với nhu cầu",IF(Q1756="Có","ℹ Kiểm tra ngoại suy KM","✓ Hợp lệ")))))</f>
        <v/>
      </c>
    </row>
    <row r="1757">
      <c r="A1757" s="16" t="n">
        <v>1753</v>
      </c>
      <c r="B1757" s="17" t="inlineStr">
        <is>
          <t>DEC-S32-HOME_CARE</t>
        </is>
      </c>
      <c r="C1757" s="16" t="n">
        <v>32</v>
      </c>
      <c r="D1757" s="17" t="inlineStr">
        <is>
          <t>HOME CARE</t>
        </is>
      </c>
      <c r="E1757" s="17" t="inlineStr">
        <is>
          <t>MEDIUM</t>
        </is>
      </c>
      <c r="F1757" s="17" t="inlineStr">
        <is>
          <t>CAO</t>
        </is>
      </c>
      <c r="G1757" s="18" t="inlineStr">
        <is>
          <t>RISK_MEDIUM</t>
        </is>
      </c>
      <c r="H1757" s="19" t="n">
        <v>1073.552345275879</v>
      </c>
      <c r="I1757" s="19" t="n">
        <v>1633.390838623047</v>
      </c>
      <c r="J1757" s="19" t="n">
        <v>2297.641367126465</v>
      </c>
      <c r="K1757" s="19" t="n">
        <v>1633.390838623047</v>
      </c>
      <c r="L1757" s="19" t="n">
        <v>2048.547418937683</v>
      </c>
      <c r="M1757" s="19" t="n">
        <v>2297.641367126465</v>
      </c>
      <c r="N1757" s="17" t="inlineStr">
        <is>
          <t>C</t>
        </is>
      </c>
      <c r="O1757" s="19" t="n">
        <v>990.9286962280268</v>
      </c>
      <c r="P1757" s="18" t="inlineStr">
        <is>
          <t>CÂN NHẮC THỬ NGHIỆM</t>
        </is>
      </c>
      <c r="Q1757" s="17" t="inlineStr">
        <is>
          <t>Không</t>
        </is>
      </c>
      <c r="R1757" s="20" t="n"/>
      <c r="S1757" s="20" t="n"/>
      <c r="T1757" s="21" t="n"/>
      <c r="U1757" s="21" t="n"/>
      <c r="V1757" s="22">
        <f>IF(U1757="A",K1757,IF(U1757="B",L1757,IF(U1757="C",M1757,IF(N1757="A",K1757,IF(N1757="B",L1757,M1757)))))</f>
        <v/>
      </c>
      <c r="W1757" s="22">
        <f>IF(R1757="",O1757,MAX(V1757-R1757-N(S1757),0))</f>
        <v/>
      </c>
      <c r="X1757" s="20" t="n"/>
      <c r="Y1757" s="23">
        <f>IF(OR(X1757="",W1757=0),"",X1757/W1757-1)</f>
        <v/>
      </c>
      <c r="Z1757" s="24" t="n"/>
      <c r="AA1757" s="21" t="n"/>
      <c r="AB1757" s="25" t="n"/>
      <c r="AC1757" s="26">
        <f>IF(T1757="","Chưa quyết định",IF(OR(Z1757="",AA1757=""),"⚠ Thiếu lý do/người duyệt",IF(AND(X1757&lt;&gt;"",N(X1757)+N(R1757)+N(S1757)&gt;M1757*1.001,R1757&lt;&gt;""),"⚠ Vượt mục tiêu P90",IF(AND(Y1757&lt;&gt;"",ABS(N(Y1757))&gt;0.3),"⚠ Lệch &gt; 30% so với nhu cầu",IF(Q1757="Có","ℹ Kiểm tra ngoại suy KM","✓ Hợp lệ")))))</f>
        <v/>
      </c>
    </row>
    <row r="1758">
      <c r="A1758" s="16" t="n">
        <v>1754</v>
      </c>
      <c r="B1758" s="17" t="inlineStr">
        <is>
          <t>DEC-S26-DELI</t>
        </is>
      </c>
      <c r="C1758" s="16" t="n">
        <v>26</v>
      </c>
      <c r="D1758" s="17" t="inlineStr">
        <is>
          <t>DELI</t>
        </is>
      </c>
      <c r="E1758" s="17" t="inlineStr">
        <is>
          <t>MEDIUM</t>
        </is>
      </c>
      <c r="F1758" s="17" t="inlineStr">
        <is>
          <t>CAO</t>
        </is>
      </c>
      <c r="G1758" s="18" t="inlineStr">
        <is>
          <t>RISK_MEDIUM</t>
        </is>
      </c>
      <c r="H1758" s="19" t="n">
        <v>1103.796592712402</v>
      </c>
      <c r="I1758" s="19" t="n">
        <v>1627.149482727051</v>
      </c>
      <c r="J1758" s="19" t="n">
        <v>2257.514864929199</v>
      </c>
      <c r="K1758" s="19" t="n">
        <v>1627.149482727051</v>
      </c>
      <c r="L1758" s="19" t="n">
        <v>2021.127846603393</v>
      </c>
      <c r="M1758" s="19" t="n">
        <v>2257.514864929199</v>
      </c>
      <c r="N1758" s="17" t="inlineStr">
        <is>
          <t>C</t>
        </is>
      </c>
      <c r="O1758" s="19" t="n">
        <v>955.7952787475584</v>
      </c>
      <c r="P1758" s="18" t="inlineStr">
        <is>
          <t>CÂN NHẮC THỬ NGHIỆM</t>
        </is>
      </c>
      <c r="Q1758" s="17" t="inlineStr">
        <is>
          <t>Không</t>
        </is>
      </c>
      <c r="R1758" s="20" t="n"/>
      <c r="S1758" s="20" t="n"/>
      <c r="T1758" s="21" t="n"/>
      <c r="U1758" s="21" t="n"/>
      <c r="V1758" s="22">
        <f>IF(U1758="A",K1758,IF(U1758="B",L1758,IF(U1758="C",M1758,IF(N1758="A",K1758,IF(N1758="B",L1758,M1758)))))</f>
        <v/>
      </c>
      <c r="W1758" s="22">
        <f>IF(R1758="",O1758,MAX(V1758-R1758-N(S1758),0))</f>
        <v/>
      </c>
      <c r="X1758" s="20" t="n"/>
      <c r="Y1758" s="23">
        <f>IF(OR(X1758="",W1758=0),"",X1758/W1758-1)</f>
        <v/>
      </c>
      <c r="Z1758" s="24" t="n"/>
      <c r="AA1758" s="21" t="n"/>
      <c r="AB1758" s="25" t="n"/>
      <c r="AC1758" s="26">
        <f>IF(T1758="","Chưa quyết định",IF(OR(Z1758="",AA1758=""),"⚠ Thiếu lý do/người duyệt",IF(AND(X1758&lt;&gt;"",N(X1758)+N(R1758)+N(S1758)&gt;M1758*1.001,R1758&lt;&gt;""),"⚠ Vượt mục tiêu P90",IF(AND(Y1758&lt;&gt;"",ABS(N(Y1758))&gt;0.3),"⚠ Lệch &gt; 30% so với nhu cầu",IF(Q1758="Có","ℹ Kiểm tra ngoại suy KM","✓ Hợp lệ")))))</f>
        <v/>
      </c>
    </row>
    <row r="1759">
      <c r="A1759" s="16" t="n">
        <v>1755</v>
      </c>
      <c r="B1759" s="17" t="inlineStr">
        <is>
          <t>DEC-S53-EGGS</t>
        </is>
      </c>
      <c r="C1759" s="16" t="n">
        <v>53</v>
      </c>
      <c r="D1759" s="17" t="inlineStr">
        <is>
          <t>EGGS</t>
        </is>
      </c>
      <c r="E1759" s="17" t="inlineStr">
        <is>
          <t>MEDIUM</t>
        </is>
      </c>
      <c r="F1759" s="17" t="inlineStr">
        <is>
          <t>CAO</t>
        </is>
      </c>
      <c r="G1759" s="18" t="inlineStr">
        <is>
          <t>RISK_MEDIUM</t>
        </is>
      </c>
      <c r="H1759" s="19" t="n">
        <v>1084.259799957275</v>
      </c>
      <c r="I1759" s="19" t="n">
        <v>1625.855491638184</v>
      </c>
      <c r="J1759" s="19" t="n">
        <v>2273.163446990967</v>
      </c>
      <c r="K1759" s="19" t="n">
        <v>1625.855491638184</v>
      </c>
      <c r="L1759" s="19" t="n">
        <v>2030.422963733673</v>
      </c>
      <c r="M1759" s="19" t="n">
        <v>2273.163446990967</v>
      </c>
      <c r="N1759" s="17" t="inlineStr">
        <is>
          <t>C</t>
        </is>
      </c>
      <c r="O1759" s="19" t="n">
        <v>972.4790536804198</v>
      </c>
      <c r="P1759" s="18" t="inlineStr">
        <is>
          <t>CÂN NHẮC THỬ NGHIỆM</t>
        </is>
      </c>
      <c r="Q1759" s="17" t="inlineStr">
        <is>
          <t>Không</t>
        </is>
      </c>
      <c r="R1759" s="20" t="n"/>
      <c r="S1759" s="20" t="n"/>
      <c r="T1759" s="21" t="n"/>
      <c r="U1759" s="21" t="n"/>
      <c r="V1759" s="22">
        <f>IF(U1759="A",K1759,IF(U1759="B",L1759,IF(U1759="C",M1759,IF(N1759="A",K1759,IF(N1759="B",L1759,M1759)))))</f>
        <v/>
      </c>
      <c r="W1759" s="22">
        <f>IF(R1759="",O1759,MAX(V1759-R1759-N(S1759),0))</f>
        <v/>
      </c>
      <c r="X1759" s="20" t="n"/>
      <c r="Y1759" s="23">
        <f>IF(OR(X1759="",W1759=0),"",X1759/W1759-1)</f>
        <v/>
      </c>
      <c r="Z1759" s="24" t="n"/>
      <c r="AA1759" s="21" t="n"/>
      <c r="AB1759" s="25" t="n"/>
      <c r="AC1759" s="26">
        <f>IF(T1759="","Chưa quyết định",IF(OR(Z1759="",AA1759=""),"⚠ Thiếu lý do/người duyệt",IF(AND(X1759&lt;&gt;"",N(X1759)+N(R1759)+N(S1759)&gt;M1759*1.001,R1759&lt;&gt;""),"⚠ Vượt mục tiêu P90",IF(AND(Y1759&lt;&gt;"",ABS(N(Y1759))&gt;0.3),"⚠ Lệch &gt; 30% so với nhu cầu",IF(Q1759="Có","ℹ Kiểm tra ngoại suy KM","✓ Hợp lệ")))))</f>
        <v/>
      </c>
    </row>
    <row r="1760">
      <c r="A1760" s="16" t="n">
        <v>1756</v>
      </c>
      <c r="B1760" s="17" t="inlineStr">
        <is>
          <t>DEC-S04-FROZEN_FOODS</t>
        </is>
      </c>
      <c r="C1760" s="16" t="n">
        <v>4</v>
      </c>
      <c r="D1760" s="17" t="inlineStr">
        <is>
          <t>FROZEN FOODS</t>
        </is>
      </c>
      <c r="E1760" s="17" t="inlineStr">
        <is>
          <t>MEDIUM</t>
        </is>
      </c>
      <c r="F1760" s="17" t="inlineStr">
        <is>
          <t>CAO</t>
        </is>
      </c>
      <c r="G1760" s="18" t="inlineStr">
        <is>
          <t>RISK_MEDIUM</t>
        </is>
      </c>
      <c r="H1760" s="19" t="n">
        <v>1077.312465667725</v>
      </c>
      <c r="I1760" s="19" t="n">
        <v>1618.908157348633</v>
      </c>
      <c r="J1760" s="19" t="n">
        <v>2266.216112701416</v>
      </c>
      <c r="K1760" s="19" t="n">
        <v>1618.908157348633</v>
      </c>
      <c r="L1760" s="19" t="n">
        <v>2023.475629444122</v>
      </c>
      <c r="M1760" s="19" t="n">
        <v>2266.216112701416</v>
      </c>
      <c r="N1760" s="17" t="inlineStr">
        <is>
          <t>C</t>
        </is>
      </c>
      <c r="O1760" s="19" t="n">
        <v>971.0895868225098</v>
      </c>
      <c r="P1760" s="18" t="inlineStr">
        <is>
          <t>CÂN NHẮC THỬ NGHIỆM</t>
        </is>
      </c>
      <c r="Q1760" s="17" t="inlineStr">
        <is>
          <t>Không</t>
        </is>
      </c>
      <c r="R1760" s="20" t="n"/>
      <c r="S1760" s="20" t="n"/>
      <c r="T1760" s="21" t="n"/>
      <c r="U1760" s="21" t="n"/>
      <c r="V1760" s="22">
        <f>IF(U1760="A",K1760,IF(U1760="B",L1760,IF(U1760="C",M1760,IF(N1760="A",K1760,IF(N1760="B",L1760,M1760)))))</f>
        <v/>
      </c>
      <c r="W1760" s="22">
        <f>IF(R1760="",O1760,MAX(V1760-R1760-N(S1760),0))</f>
        <v/>
      </c>
      <c r="X1760" s="20" t="n"/>
      <c r="Y1760" s="23">
        <f>IF(OR(X1760="",W1760=0),"",X1760/W1760-1)</f>
        <v/>
      </c>
      <c r="Z1760" s="24" t="n"/>
      <c r="AA1760" s="21" t="n"/>
      <c r="AB1760" s="25" t="n"/>
      <c r="AC1760" s="26">
        <f>IF(T1760="","Chưa quyết định",IF(OR(Z1760="",AA1760=""),"⚠ Thiếu lý do/người duyệt",IF(AND(X1760&lt;&gt;"",N(X1760)+N(R1760)+N(S1760)&gt;M1760*1.001,R1760&lt;&gt;""),"⚠ Vượt mục tiêu P90",IF(AND(Y1760&lt;&gt;"",ABS(N(Y1760))&gt;0.3),"⚠ Lệch &gt; 30% so với nhu cầu",IF(Q1760="Có","ℹ Kiểm tra ngoại suy KM","✓ Hợp lệ")))))</f>
        <v/>
      </c>
    </row>
    <row r="1761">
      <c r="A1761" s="16" t="n">
        <v>1757</v>
      </c>
      <c r="B1761" s="17" t="inlineStr">
        <is>
          <t>DEC-S53-LIQUOR_WINE_BEER</t>
        </is>
      </c>
      <c r="C1761" s="16" t="n">
        <v>53</v>
      </c>
      <c r="D1761" s="17" t="inlineStr">
        <is>
          <t>LIQUOR,WINE,BEER</t>
        </is>
      </c>
      <c r="E1761" s="17" t="inlineStr">
        <is>
          <t>MEDIUM</t>
        </is>
      </c>
      <c r="F1761" s="17" t="inlineStr">
        <is>
          <t>CAO</t>
        </is>
      </c>
      <c r="G1761" s="18" t="inlineStr">
        <is>
          <t>RISK_MEDIUM</t>
        </is>
      </c>
      <c r="H1761" s="19" t="n">
        <v>1123.037788391113</v>
      </c>
      <c r="I1761" s="19" t="n">
        <v>1609.905075073242</v>
      </c>
      <c r="J1761" s="19" t="n">
        <v>2206.385310974121</v>
      </c>
      <c r="K1761" s="19" t="n">
        <v>1609.905075073242</v>
      </c>
      <c r="L1761" s="19" t="n">
        <v>1982.705222511291</v>
      </c>
      <c r="M1761" s="19" t="n">
        <v>2206.385310974121</v>
      </c>
      <c r="N1761" s="17" t="inlineStr">
        <is>
          <t>C</t>
        </is>
      </c>
      <c r="O1761" s="19" t="n">
        <v>918.461250915527</v>
      </c>
      <c r="P1761" s="18" t="inlineStr">
        <is>
          <t>CÂN NHẮC THỬ NGHIỆM</t>
        </is>
      </c>
      <c r="Q1761" s="17" t="inlineStr">
        <is>
          <t>Không</t>
        </is>
      </c>
      <c r="R1761" s="20" t="n"/>
      <c r="S1761" s="20" t="n"/>
      <c r="T1761" s="21" t="n"/>
      <c r="U1761" s="21" t="n"/>
      <c r="V1761" s="22">
        <f>IF(U1761="A",K1761,IF(U1761="B",L1761,IF(U1761="C",M1761,IF(N1761="A",K1761,IF(N1761="B",L1761,M1761)))))</f>
        <v/>
      </c>
      <c r="W1761" s="22">
        <f>IF(R1761="",O1761,MAX(V1761-R1761-N(S1761),0))</f>
        <v/>
      </c>
      <c r="X1761" s="20" t="n"/>
      <c r="Y1761" s="23">
        <f>IF(OR(X1761="",W1761=0),"",X1761/W1761-1)</f>
        <v/>
      </c>
      <c r="Z1761" s="24" t="n"/>
      <c r="AA1761" s="21" t="n"/>
      <c r="AB1761" s="25" t="n"/>
      <c r="AC1761" s="26">
        <f>IF(T1761="","Chưa quyết định",IF(OR(Z1761="",AA1761=""),"⚠ Thiếu lý do/người duyệt",IF(AND(X1761&lt;&gt;"",N(X1761)+N(R1761)+N(S1761)&gt;M1761*1.001,R1761&lt;&gt;""),"⚠ Vượt mục tiêu P90",IF(AND(Y1761&lt;&gt;"",ABS(N(Y1761))&gt;0.3),"⚠ Lệch &gt; 30% so với nhu cầu",IF(Q1761="Có","ℹ Kiểm tra ngoại suy KM","✓ Hợp lệ")))))</f>
        <v/>
      </c>
    </row>
    <row r="1762">
      <c r="A1762" s="16" t="n">
        <v>1758</v>
      </c>
      <c r="B1762" s="17" t="inlineStr">
        <is>
          <t>DEC-S06-LIQUOR_WINE_BEER</t>
        </is>
      </c>
      <c r="C1762" s="16" t="n">
        <v>6</v>
      </c>
      <c r="D1762" s="17" t="inlineStr">
        <is>
          <t>LIQUOR,WINE,BEER</t>
        </is>
      </c>
      <c r="E1762" s="17" t="inlineStr">
        <is>
          <t>MEDIUM</t>
        </is>
      </c>
      <c r="F1762" s="17" t="inlineStr">
        <is>
          <t>CAO</t>
        </is>
      </c>
      <c r="G1762" s="18" t="inlineStr">
        <is>
          <t>RISK_MEDIUM</t>
        </is>
      </c>
      <c r="H1762" s="19" t="n">
        <v>1139.095718383789</v>
      </c>
      <c r="I1762" s="19" t="n">
        <v>1589.477401733398</v>
      </c>
      <c r="J1762" s="19" t="n">
        <v>2152.072491333008</v>
      </c>
      <c r="K1762" s="19" t="n">
        <v>1589.477401733398</v>
      </c>
      <c r="L1762" s="19" t="n">
        <v>1941.099332733155</v>
      </c>
      <c r="M1762" s="19" t="n">
        <v>2152.072491333008</v>
      </c>
      <c r="N1762" s="17" t="inlineStr">
        <is>
          <t>C</t>
        </is>
      </c>
      <c r="O1762" s="19" t="n">
        <v>880.4905699462893</v>
      </c>
      <c r="P1762" s="18" t="inlineStr">
        <is>
          <t>CÂN NHẮC THỬ NGHIỆM</t>
        </is>
      </c>
      <c r="Q1762" s="17" t="inlineStr">
        <is>
          <t>Không</t>
        </is>
      </c>
      <c r="R1762" s="20" t="n"/>
      <c r="S1762" s="20" t="n"/>
      <c r="T1762" s="21" t="n"/>
      <c r="U1762" s="21" t="n"/>
      <c r="V1762" s="22">
        <f>IF(U1762="A",K1762,IF(U1762="B",L1762,IF(U1762="C",M1762,IF(N1762="A",K1762,IF(N1762="B",L1762,M1762)))))</f>
        <v/>
      </c>
      <c r="W1762" s="22">
        <f>IF(R1762="",O1762,MAX(V1762-R1762-N(S1762),0))</f>
        <v/>
      </c>
      <c r="X1762" s="20" t="n"/>
      <c r="Y1762" s="23">
        <f>IF(OR(X1762="",W1762=0),"",X1762/W1762-1)</f>
        <v/>
      </c>
      <c r="Z1762" s="24" t="n"/>
      <c r="AA1762" s="21" t="n"/>
      <c r="AB1762" s="25" t="n"/>
      <c r="AC1762" s="26">
        <f>IF(T1762="","Chưa quyết định",IF(OR(Z1762="",AA1762=""),"⚠ Thiếu lý do/người duyệt",IF(AND(X1762&lt;&gt;"",N(X1762)+N(R1762)+N(S1762)&gt;M1762*1.001,R1762&lt;&gt;""),"⚠ Vượt mục tiêu P90",IF(AND(Y1762&lt;&gt;"",ABS(N(Y1762))&gt;0.3),"⚠ Lệch &gt; 30% so với nhu cầu",IF(Q1762="Có","ℹ Kiểm tra ngoại suy KM","✓ Hợp lệ")))))</f>
        <v/>
      </c>
    </row>
    <row r="1763">
      <c r="A1763" s="16" t="n">
        <v>1759</v>
      </c>
      <c r="B1763" s="17" t="inlineStr">
        <is>
          <t>DEC-S46-SCHOOL_AND_OFFICE_SUPPLIES</t>
        </is>
      </c>
      <c r="C1763" s="16" t="n">
        <v>46</v>
      </c>
      <c r="D1763" s="17" t="inlineStr">
        <is>
          <t>SCHOOL AND OFFICE SUPPLIES</t>
        </is>
      </c>
      <c r="E1763" s="17" t="inlineStr">
        <is>
          <t>MEDIUM</t>
        </is>
      </c>
      <c r="F1763" s="17" t="inlineStr">
        <is>
          <t>CAO</t>
        </is>
      </c>
      <c r="G1763" s="18" t="inlineStr">
        <is>
          <t>RISK_MEDIUM</t>
        </is>
      </c>
      <c r="H1763" s="19" t="n">
        <v>1058.103334106445</v>
      </c>
      <c r="I1763" s="19" t="n">
        <v>1582.491024963379</v>
      </c>
      <c r="J1763" s="19" t="n">
        <v>2235.489102050781</v>
      </c>
      <c r="K1763" s="19" t="n">
        <v>1582.491024963379</v>
      </c>
      <c r="L1763" s="19" t="n">
        <v>1990.614823143005</v>
      </c>
      <c r="M1763" s="19" t="n">
        <v>2235.489102050781</v>
      </c>
      <c r="N1763" s="17" t="inlineStr">
        <is>
          <t>C</t>
        </is>
      </c>
      <c r="O1763" s="19" t="n">
        <v>969.496282080078</v>
      </c>
      <c r="P1763" s="18" t="inlineStr">
        <is>
          <t>KHÔNG ĐỀ XUẤT TĂNG</t>
        </is>
      </c>
      <c r="Q1763" s="17" t="inlineStr">
        <is>
          <t>Không</t>
        </is>
      </c>
      <c r="R1763" s="20" t="n"/>
      <c r="S1763" s="20" t="n"/>
      <c r="T1763" s="21" t="n"/>
      <c r="U1763" s="21" t="n"/>
      <c r="V1763" s="22">
        <f>IF(U1763="A",K1763,IF(U1763="B",L1763,IF(U1763="C",M1763,IF(N1763="A",K1763,IF(N1763="B",L1763,M1763)))))</f>
        <v/>
      </c>
      <c r="W1763" s="22">
        <f>IF(R1763="",O1763,MAX(V1763-R1763-N(S1763),0))</f>
        <v/>
      </c>
      <c r="X1763" s="20" t="n"/>
      <c r="Y1763" s="23">
        <f>IF(OR(X1763="",W1763=0),"",X1763/W1763-1)</f>
        <v/>
      </c>
      <c r="Z1763" s="24" t="n"/>
      <c r="AA1763" s="21" t="n"/>
      <c r="AB1763" s="25" t="n"/>
      <c r="AC1763" s="26">
        <f>IF(T1763="","Chưa quyết định",IF(OR(Z1763="",AA1763=""),"⚠ Thiếu lý do/người duyệt",IF(AND(X1763&lt;&gt;"",N(X1763)+N(R1763)+N(S1763)&gt;M1763*1.001,R1763&lt;&gt;""),"⚠ Vượt mục tiêu P90",IF(AND(Y1763&lt;&gt;"",ABS(N(Y1763))&gt;0.3),"⚠ Lệch &gt; 30% so với nhu cầu",IF(Q1763="Có","ℹ Kiểm tra ngoại suy KM","✓ Hợp lệ")))))</f>
        <v/>
      </c>
    </row>
    <row r="1764">
      <c r="A1764" s="16" t="n">
        <v>1760</v>
      </c>
      <c r="B1764" s="17" t="inlineStr">
        <is>
          <t>DEC-S05-FROZEN_FOODS</t>
        </is>
      </c>
      <c r="C1764" s="16" t="n">
        <v>5</v>
      </c>
      <c r="D1764" s="17" t="inlineStr">
        <is>
          <t>FROZEN FOODS</t>
        </is>
      </c>
      <c r="E1764" s="17" t="inlineStr">
        <is>
          <t>MEDIUM</t>
        </is>
      </c>
      <c r="F1764" s="17" t="inlineStr">
        <is>
          <t>CAO</t>
        </is>
      </c>
      <c r="G1764" s="18" t="inlineStr">
        <is>
          <t>RISK_MEDIUM</t>
        </is>
      </c>
      <c r="H1764" s="19" t="n">
        <v>1066.881061553955</v>
      </c>
      <c r="I1764" s="19" t="n">
        <v>1571.991149902344</v>
      </c>
      <c r="J1764" s="19" t="n">
        <v>2185.413958953857</v>
      </c>
      <c r="K1764" s="19" t="n">
        <v>1571.991149902344</v>
      </c>
      <c r="L1764" s="19" t="n">
        <v>1955.38040555954</v>
      </c>
      <c r="M1764" s="19" t="n">
        <v>2185.413958953857</v>
      </c>
      <c r="N1764" s="17" t="inlineStr">
        <is>
          <t>C</t>
        </is>
      </c>
      <c r="O1764" s="19" t="n">
        <v>927.821039031982</v>
      </c>
      <c r="P1764" s="18" t="inlineStr">
        <is>
          <t>CÂN NHẮC THỬ NGHIỆM</t>
        </is>
      </c>
      <c r="Q1764" s="17" t="inlineStr">
        <is>
          <t>Không</t>
        </is>
      </c>
      <c r="R1764" s="20" t="n"/>
      <c r="S1764" s="20" t="n"/>
      <c r="T1764" s="21" t="n"/>
      <c r="U1764" s="21" t="n"/>
      <c r="V1764" s="22">
        <f>IF(U1764="A",K1764,IF(U1764="B",L1764,IF(U1764="C",M1764,IF(N1764="A",K1764,IF(N1764="B",L1764,M1764)))))</f>
        <v/>
      </c>
      <c r="W1764" s="22">
        <f>IF(R1764="",O1764,MAX(V1764-R1764-N(S1764),0))</f>
        <v/>
      </c>
      <c r="X1764" s="20" t="n"/>
      <c r="Y1764" s="23">
        <f>IF(OR(X1764="",W1764=0),"",X1764/W1764-1)</f>
        <v/>
      </c>
      <c r="Z1764" s="24" t="n"/>
      <c r="AA1764" s="21" t="n"/>
      <c r="AB1764" s="25" t="n"/>
      <c r="AC1764" s="26">
        <f>IF(T1764="","Chưa quyết định",IF(OR(Z1764="",AA1764=""),"⚠ Thiếu lý do/người duyệt",IF(AND(X1764&lt;&gt;"",N(X1764)+N(R1764)+N(S1764)&gt;M1764*1.001,R1764&lt;&gt;""),"⚠ Vượt mục tiêu P90",IF(AND(Y1764&lt;&gt;"",ABS(N(Y1764))&gt;0.3),"⚠ Lệch &gt; 30% so với nhu cầu",IF(Q1764="Có","ℹ Kiểm tra ngoại suy KM","✓ Hợp lệ")))))</f>
        <v/>
      </c>
    </row>
    <row r="1765">
      <c r="A1765" s="16" t="n">
        <v>1761</v>
      </c>
      <c r="B1765" s="17" t="inlineStr">
        <is>
          <t>DEC-S02-LIQUOR_WINE_BEER</t>
        </is>
      </c>
      <c r="C1765" s="16" t="n">
        <v>2</v>
      </c>
      <c r="D1765" s="17" t="inlineStr">
        <is>
          <t>LIQUOR,WINE,BEER</t>
        </is>
      </c>
      <c r="E1765" s="17" t="inlineStr">
        <is>
          <t>MEDIUM</t>
        </is>
      </c>
      <c r="F1765" s="17" t="inlineStr">
        <is>
          <t>CAO</t>
        </is>
      </c>
      <c r="G1765" s="18" t="inlineStr">
        <is>
          <t>RISK_MEDIUM</t>
        </is>
      </c>
      <c r="H1765" s="19" t="n">
        <v>1115.996963500977</v>
      </c>
      <c r="I1765" s="19" t="n">
        <v>1566.378646850586</v>
      </c>
      <c r="J1765" s="19" t="n">
        <v>2128.973736450195</v>
      </c>
      <c r="K1765" s="19" t="n">
        <v>1566.378646850586</v>
      </c>
      <c r="L1765" s="19" t="n">
        <v>1918.000577850342</v>
      </c>
      <c r="M1765" s="19" t="n">
        <v>2128.973736450195</v>
      </c>
      <c r="N1765" s="17" t="inlineStr">
        <is>
          <t>C</t>
        </is>
      </c>
      <c r="O1765" s="19" t="n">
        <v>875.8708189697263</v>
      </c>
      <c r="P1765" s="18" t="inlineStr">
        <is>
          <t>CÂN NHẮC THỬ NGHIỆM</t>
        </is>
      </c>
      <c r="Q1765" s="17" t="inlineStr">
        <is>
          <t>Không</t>
        </is>
      </c>
      <c r="R1765" s="20" t="n"/>
      <c r="S1765" s="20" t="n"/>
      <c r="T1765" s="21" t="n"/>
      <c r="U1765" s="21" t="n"/>
      <c r="V1765" s="22">
        <f>IF(U1765="A",K1765,IF(U1765="B",L1765,IF(U1765="C",M1765,IF(N1765="A",K1765,IF(N1765="B",L1765,M1765)))))</f>
        <v/>
      </c>
      <c r="W1765" s="22">
        <f>IF(R1765="",O1765,MAX(V1765-R1765-N(S1765),0))</f>
        <v/>
      </c>
      <c r="X1765" s="20" t="n"/>
      <c r="Y1765" s="23">
        <f>IF(OR(X1765="",W1765=0),"",X1765/W1765-1)</f>
        <v/>
      </c>
      <c r="Z1765" s="24" t="n"/>
      <c r="AA1765" s="21" t="n"/>
      <c r="AB1765" s="25" t="n"/>
      <c r="AC1765" s="26">
        <f>IF(T1765="","Chưa quyết định",IF(OR(Z1765="",AA1765=""),"⚠ Thiếu lý do/người duyệt",IF(AND(X1765&lt;&gt;"",N(X1765)+N(R1765)+N(S1765)&gt;M1765*1.001,R1765&lt;&gt;""),"⚠ Vượt mục tiêu P90",IF(AND(Y1765&lt;&gt;"",ABS(N(Y1765))&gt;0.3),"⚠ Lệch &gt; 30% so với nhu cầu",IF(Q1765="Có","ℹ Kiểm tra ngoại suy KM","✓ Hợp lệ")))))</f>
        <v/>
      </c>
    </row>
    <row r="1766">
      <c r="A1766" s="16" t="n">
        <v>1762</v>
      </c>
      <c r="B1766" s="17" t="inlineStr">
        <is>
          <t>DEC-S31-FROZEN_FOODS</t>
        </is>
      </c>
      <c r="C1766" s="16" t="n">
        <v>31</v>
      </c>
      <c r="D1766" s="17" t="inlineStr">
        <is>
          <t>FROZEN FOODS</t>
        </is>
      </c>
      <c r="E1766" s="17" t="inlineStr">
        <is>
          <t>MEDIUM</t>
        </is>
      </c>
      <c r="F1766" s="17" t="inlineStr">
        <is>
          <t>CAO</t>
        </is>
      </c>
      <c r="G1766" s="18" t="inlineStr">
        <is>
          <t>RISK_MEDIUM</t>
        </is>
      </c>
      <c r="H1766" s="19" t="n">
        <v>1069.790550231934</v>
      </c>
      <c r="I1766" s="19" t="n">
        <v>1556.657836914062</v>
      </c>
      <c r="J1766" s="19" t="n">
        <v>2153.138072814942</v>
      </c>
      <c r="K1766" s="19" t="n">
        <v>1556.657836914062</v>
      </c>
      <c r="L1766" s="19" t="n">
        <v>1929.457984352112</v>
      </c>
      <c r="M1766" s="19" t="n">
        <v>2153.138072814942</v>
      </c>
      <c r="N1766" s="17" t="inlineStr">
        <is>
          <t>C</t>
        </is>
      </c>
      <c r="O1766" s="19" t="n">
        <v>907.8118032836916</v>
      </c>
      <c r="P1766" s="18" t="inlineStr">
        <is>
          <t>CÂN NHẮC THỬ NGHIỆM</t>
        </is>
      </c>
      <c r="Q1766" s="17" t="inlineStr">
        <is>
          <t>Không</t>
        </is>
      </c>
      <c r="R1766" s="20" t="n"/>
      <c r="S1766" s="20" t="n"/>
      <c r="T1766" s="21" t="n"/>
      <c r="U1766" s="21" t="n"/>
      <c r="V1766" s="22">
        <f>IF(U1766="A",K1766,IF(U1766="B",L1766,IF(U1766="C",M1766,IF(N1766="A",K1766,IF(N1766="B",L1766,M1766)))))</f>
        <v/>
      </c>
      <c r="W1766" s="22">
        <f>IF(R1766="",O1766,MAX(V1766-R1766-N(S1766),0))</f>
        <v/>
      </c>
      <c r="X1766" s="20" t="n"/>
      <c r="Y1766" s="23">
        <f>IF(OR(X1766="",W1766=0),"",X1766/W1766-1)</f>
        <v/>
      </c>
      <c r="Z1766" s="24" t="n"/>
      <c r="AA1766" s="21" t="n"/>
      <c r="AB1766" s="25" t="n"/>
      <c r="AC1766" s="26">
        <f>IF(T1766="","Chưa quyết định",IF(OR(Z1766="",AA1766=""),"⚠ Thiếu lý do/người duyệt",IF(AND(X1766&lt;&gt;"",N(X1766)+N(R1766)+N(S1766)&gt;M1766*1.001,R1766&lt;&gt;""),"⚠ Vượt mục tiêu P90",IF(AND(Y1766&lt;&gt;"",ABS(N(Y1766))&gt;0.3),"⚠ Lệch &gt; 30% so với nhu cầu",IF(Q1766="Có","ℹ Kiểm tra ngoại suy KM","✓ Hợp lệ")))))</f>
        <v/>
      </c>
    </row>
    <row r="1767">
      <c r="A1767" s="16" t="n">
        <v>1763</v>
      </c>
      <c r="B1767" s="17" t="inlineStr">
        <is>
          <t>DEC-S11-FROZEN_FOODS</t>
        </is>
      </c>
      <c r="C1767" s="16" t="n">
        <v>11</v>
      </c>
      <c r="D1767" s="17" t="inlineStr">
        <is>
          <t>FROZEN FOODS</t>
        </is>
      </c>
      <c r="E1767" s="17" t="inlineStr">
        <is>
          <t>MEDIUM</t>
        </is>
      </c>
      <c r="F1767" s="17" t="inlineStr">
        <is>
          <t>CAO</t>
        </is>
      </c>
      <c r="G1767" s="18" t="inlineStr">
        <is>
          <t>RISK_MEDIUM</t>
        </is>
      </c>
      <c r="H1767" s="19" t="n">
        <v>1044.896903991699</v>
      </c>
      <c r="I1767" s="19" t="n">
        <v>1531.764190673828</v>
      </c>
      <c r="J1767" s="19" t="n">
        <v>2128.244426574707</v>
      </c>
      <c r="K1767" s="19" t="n">
        <v>1531.764190673828</v>
      </c>
      <c r="L1767" s="19" t="n">
        <v>1904.564338111878</v>
      </c>
      <c r="M1767" s="19" t="n">
        <v>2128.244426574707</v>
      </c>
      <c r="N1767" s="17" t="inlineStr">
        <is>
          <t>C</t>
        </is>
      </c>
      <c r="O1767" s="19" t="n">
        <v>902.8330740356446</v>
      </c>
      <c r="P1767" s="18" t="inlineStr">
        <is>
          <t>CÂN NHẮC THỬ NGHIỆM</t>
        </is>
      </c>
      <c r="Q1767" s="17" t="inlineStr">
        <is>
          <t>Không</t>
        </is>
      </c>
      <c r="R1767" s="20" t="n"/>
      <c r="S1767" s="20" t="n"/>
      <c r="T1767" s="21" t="n"/>
      <c r="U1767" s="21" t="n"/>
      <c r="V1767" s="22">
        <f>IF(U1767="A",K1767,IF(U1767="B",L1767,IF(U1767="C",M1767,IF(N1767="A",K1767,IF(N1767="B",L1767,M1767)))))</f>
        <v/>
      </c>
      <c r="W1767" s="22">
        <f>IF(R1767="",O1767,MAX(V1767-R1767-N(S1767),0))</f>
        <v/>
      </c>
      <c r="X1767" s="20" t="n"/>
      <c r="Y1767" s="23">
        <f>IF(OR(X1767="",W1767=0),"",X1767/W1767-1)</f>
        <v/>
      </c>
      <c r="Z1767" s="24" t="n"/>
      <c r="AA1767" s="21" t="n"/>
      <c r="AB1767" s="25" t="n"/>
      <c r="AC1767" s="26">
        <f>IF(T1767="","Chưa quyết định",IF(OR(Z1767="",AA1767=""),"⚠ Thiếu lý do/người duyệt",IF(AND(X1767&lt;&gt;"",N(X1767)+N(R1767)+N(S1767)&gt;M1767*1.001,R1767&lt;&gt;""),"⚠ Vượt mục tiêu P90",IF(AND(Y1767&lt;&gt;"",ABS(N(Y1767))&gt;0.3),"⚠ Lệch &gt; 30% so với nhu cầu",IF(Q1767="Có","ℹ Kiểm tra ngoại suy KM","✓ Hợp lệ")))))</f>
        <v/>
      </c>
    </row>
    <row r="1768">
      <c r="A1768" s="16" t="n">
        <v>1764</v>
      </c>
      <c r="B1768" s="17" t="inlineStr">
        <is>
          <t>DEC-S04-LIQUOR_WINE_BEER</t>
        </is>
      </c>
      <c r="C1768" s="16" t="n">
        <v>4</v>
      </c>
      <c r="D1768" s="17" t="inlineStr">
        <is>
          <t>LIQUOR,WINE,BEER</t>
        </is>
      </c>
      <c r="E1768" s="17" t="inlineStr">
        <is>
          <t>MEDIUM</t>
        </is>
      </c>
      <c r="F1768" s="17" t="inlineStr">
        <is>
          <t>CAO</t>
        </is>
      </c>
      <c r="G1768" s="18" t="inlineStr">
        <is>
          <t>RISK_MEDIUM</t>
        </is>
      </c>
      <c r="H1768" s="19" t="n">
        <v>1101.358688354492</v>
      </c>
      <c r="I1768" s="19" t="n">
        <v>1515.254768371582</v>
      </c>
      <c r="J1768" s="19" t="n">
        <v>2043.964711669922</v>
      </c>
      <c r="K1768" s="19" t="n">
        <v>1515.254768371582</v>
      </c>
      <c r="L1768" s="19" t="n">
        <v>1845.698482933044</v>
      </c>
      <c r="M1768" s="19" t="n">
        <v>2043.964711669922</v>
      </c>
      <c r="N1768" s="17" t="inlineStr">
        <is>
          <t>C</t>
        </is>
      </c>
      <c r="O1768" s="19" t="n">
        <v>831.7608969726559</v>
      </c>
      <c r="P1768" s="18" t="inlineStr">
        <is>
          <t>CÂN NHẮC THỬ NGHIỆM</t>
        </is>
      </c>
      <c r="Q1768" s="17" t="inlineStr">
        <is>
          <t>Không</t>
        </is>
      </c>
      <c r="R1768" s="20" t="n"/>
      <c r="S1768" s="20" t="n"/>
      <c r="T1768" s="21" t="n"/>
      <c r="U1768" s="21" t="n"/>
      <c r="V1768" s="22">
        <f>IF(U1768="A",K1768,IF(U1768="B",L1768,IF(U1768="C",M1768,IF(N1768="A",K1768,IF(N1768="B",L1768,M1768)))))</f>
        <v/>
      </c>
      <c r="W1768" s="22">
        <f>IF(R1768="",O1768,MAX(V1768-R1768-N(S1768),0))</f>
        <v/>
      </c>
      <c r="X1768" s="20" t="n"/>
      <c r="Y1768" s="23">
        <f>IF(OR(X1768="",W1768=0),"",X1768/W1768-1)</f>
        <v/>
      </c>
      <c r="Z1768" s="24" t="n"/>
      <c r="AA1768" s="21" t="n"/>
      <c r="AB1768" s="25" t="n"/>
      <c r="AC1768" s="26">
        <f>IF(T1768="","Chưa quyết định",IF(OR(Z1768="",AA1768=""),"⚠ Thiếu lý do/người duyệt",IF(AND(X1768&lt;&gt;"",N(X1768)+N(R1768)+N(S1768)&gt;M1768*1.001,R1768&lt;&gt;""),"⚠ Vượt mục tiêu P90",IF(AND(Y1768&lt;&gt;"",ABS(N(Y1768))&gt;0.3),"⚠ Lệch &gt; 30% so với nhu cầu",IF(Q1768="Có","ℹ Kiểm tra ngoại suy KM","✓ Hợp lệ")))))</f>
        <v/>
      </c>
    </row>
    <row r="1769">
      <c r="A1769" s="16" t="n">
        <v>1765</v>
      </c>
      <c r="B1769" s="17" t="inlineStr">
        <is>
          <t>DEC-S21-FROZEN_FOODS</t>
        </is>
      </c>
      <c r="C1769" s="16" t="n">
        <v>21</v>
      </c>
      <c r="D1769" s="17" t="inlineStr">
        <is>
          <t>FROZEN FOODS</t>
        </is>
      </c>
      <c r="E1769" s="17" t="inlineStr">
        <is>
          <t>MEDIUM</t>
        </is>
      </c>
      <c r="F1769" s="17" t="inlineStr">
        <is>
          <t>CAO</t>
        </is>
      </c>
      <c r="G1769" s="18" t="inlineStr">
        <is>
          <t>RISK_MEDIUM</t>
        </is>
      </c>
      <c r="H1769" s="19" t="n">
        <v>1041.771569885254</v>
      </c>
      <c r="I1769" s="19" t="n">
        <v>1511.430855743408</v>
      </c>
      <c r="J1769" s="19" t="n">
        <v>2113.601213378906</v>
      </c>
      <c r="K1769" s="19" t="n">
        <v>1511.430855743408</v>
      </c>
      <c r="L1769" s="19" t="n">
        <v>1887.787329265595</v>
      </c>
      <c r="M1769" s="19" t="n">
        <v>2113.601213378906</v>
      </c>
      <c r="N1769" s="17" t="inlineStr">
        <is>
          <t>C</t>
        </is>
      </c>
      <c r="O1769" s="19" t="n">
        <v>904.4565287841796</v>
      </c>
      <c r="P1769" s="18" t="inlineStr">
        <is>
          <t>CÂN NHẮC THỬ NGHIỆM</t>
        </is>
      </c>
      <c r="Q1769" s="17" t="inlineStr">
        <is>
          <t>Không</t>
        </is>
      </c>
      <c r="R1769" s="20" t="n"/>
      <c r="S1769" s="20" t="n"/>
      <c r="T1769" s="21" t="n"/>
      <c r="U1769" s="21" t="n"/>
      <c r="V1769" s="22">
        <f>IF(U1769="A",K1769,IF(U1769="B",L1769,IF(U1769="C",M1769,IF(N1769="A",K1769,IF(N1769="B",L1769,M1769)))))</f>
        <v/>
      </c>
      <c r="W1769" s="22">
        <f>IF(R1769="",O1769,MAX(V1769-R1769-N(S1769),0))</f>
        <v/>
      </c>
      <c r="X1769" s="20" t="n"/>
      <c r="Y1769" s="23">
        <f>IF(OR(X1769="",W1769=0),"",X1769/W1769-1)</f>
        <v/>
      </c>
      <c r="Z1769" s="24" t="n"/>
      <c r="AA1769" s="21" t="n"/>
      <c r="AB1769" s="25" t="n"/>
      <c r="AC1769" s="26">
        <f>IF(T1769="","Chưa quyết định",IF(OR(Z1769="",AA1769=""),"⚠ Thiếu lý do/người duyệt",IF(AND(X1769&lt;&gt;"",N(X1769)+N(R1769)+N(S1769)&gt;M1769*1.001,R1769&lt;&gt;""),"⚠ Vượt mục tiêu P90",IF(AND(Y1769&lt;&gt;"",ABS(N(Y1769))&gt;0.3),"⚠ Lệch &gt; 30% so với nhu cầu",IF(Q1769="Có","ℹ Kiểm tra ngoại suy KM","✓ Hợp lệ")))))</f>
        <v/>
      </c>
    </row>
    <row r="1770">
      <c r="A1770" s="16" t="n">
        <v>1766</v>
      </c>
      <c r="B1770" s="17" t="inlineStr">
        <is>
          <t>DEC-S36-FROZEN_FOODS</t>
        </is>
      </c>
      <c r="C1770" s="16" t="n">
        <v>36</v>
      </c>
      <c r="D1770" s="17" t="inlineStr">
        <is>
          <t>FROZEN FOODS</t>
        </is>
      </c>
      <c r="E1770" s="17" t="inlineStr">
        <is>
          <t>MEDIUM</t>
        </is>
      </c>
      <c r="F1770" s="17" t="inlineStr">
        <is>
          <t>CAO</t>
        </is>
      </c>
      <c r="G1770" s="18" t="inlineStr">
        <is>
          <t>RISK_MEDIUM</t>
        </is>
      </c>
      <c r="H1770" s="19" t="n">
        <v>1057.44335635376</v>
      </c>
      <c r="I1770" s="19" t="n">
        <v>1490.099638458252</v>
      </c>
      <c r="J1770" s="19" t="n">
        <v>2047.068502349854</v>
      </c>
      <c r="K1770" s="19" t="n">
        <v>1490.099638458252</v>
      </c>
      <c r="L1770" s="19" t="n">
        <v>1838.205178390503</v>
      </c>
      <c r="M1770" s="19" t="n">
        <v>2047.068502349854</v>
      </c>
      <c r="N1770" s="17" t="inlineStr">
        <is>
          <t>C</t>
        </is>
      </c>
      <c r="O1770" s="19" t="n">
        <v>854.9887915832519</v>
      </c>
      <c r="P1770" s="18" t="inlineStr">
        <is>
          <t>CÂN NHẮC THỬ NGHIỆM</t>
        </is>
      </c>
      <c r="Q1770" s="17" t="inlineStr">
        <is>
          <t>Không</t>
        </is>
      </c>
      <c r="R1770" s="20" t="n"/>
      <c r="S1770" s="20" t="n"/>
      <c r="T1770" s="21" t="n"/>
      <c r="U1770" s="21" t="n"/>
      <c r="V1770" s="22">
        <f>IF(U1770="A",K1770,IF(U1770="B",L1770,IF(U1770="C",M1770,IF(N1770="A",K1770,IF(N1770="B",L1770,M1770)))))</f>
        <v/>
      </c>
      <c r="W1770" s="22">
        <f>IF(R1770="",O1770,MAX(V1770-R1770-N(S1770),0))</f>
        <v/>
      </c>
      <c r="X1770" s="20" t="n"/>
      <c r="Y1770" s="23">
        <f>IF(OR(X1770="",W1770=0),"",X1770/W1770-1)</f>
        <v/>
      </c>
      <c r="Z1770" s="24" t="n"/>
      <c r="AA1770" s="21" t="n"/>
      <c r="AB1770" s="25" t="n"/>
      <c r="AC1770" s="26">
        <f>IF(T1770="","Chưa quyết định",IF(OR(Z1770="",AA1770=""),"⚠ Thiếu lý do/người duyệt",IF(AND(X1770&lt;&gt;"",N(X1770)+N(R1770)+N(S1770)&gt;M1770*1.001,R1770&lt;&gt;""),"⚠ Vượt mục tiêu P90",IF(AND(Y1770&lt;&gt;"",ABS(N(Y1770))&gt;0.3),"⚠ Lệch &gt; 30% so với nhu cầu",IF(Q1770="Có","ℹ Kiểm tra ngoại suy KM","✓ Hợp lệ")))))</f>
        <v/>
      </c>
    </row>
    <row r="1771">
      <c r="A1771" s="16" t="n">
        <v>1767</v>
      </c>
      <c r="B1771" s="17" t="inlineStr">
        <is>
          <t>DEC-S48-PREPARED_FOODS</t>
        </is>
      </c>
      <c r="C1771" s="16" t="n">
        <v>48</v>
      </c>
      <c r="D1771" s="17" t="inlineStr">
        <is>
          <t>PREPARED FOODS</t>
        </is>
      </c>
      <c r="E1771" s="17" t="inlineStr">
        <is>
          <t>MEDIUM</t>
        </is>
      </c>
      <c r="F1771" s="17" t="inlineStr">
        <is>
          <t>CAO</t>
        </is>
      </c>
      <c r="G1771" s="18" t="inlineStr">
        <is>
          <t>RISK_MEDIUM</t>
        </is>
      </c>
      <c r="H1771" s="19" t="n">
        <v>1074.442016601562</v>
      </c>
      <c r="I1771" s="19" t="n">
        <v>1488.338096618652</v>
      </c>
      <c r="J1771" s="19" t="n">
        <v>2017.048039916992</v>
      </c>
      <c r="K1771" s="19" t="n">
        <v>1488.338096618652</v>
      </c>
      <c r="L1771" s="19" t="n">
        <v>1818.781811180115</v>
      </c>
      <c r="M1771" s="19" t="n">
        <v>2017.048039916992</v>
      </c>
      <c r="N1771" s="17" t="inlineStr">
        <is>
          <t>C</t>
        </is>
      </c>
      <c r="O1771" s="19" t="n">
        <v>826.3775626220699</v>
      </c>
      <c r="P1771" s="18" t="inlineStr">
        <is>
          <t>CÂN NHẮC THỬ NGHIỆM</t>
        </is>
      </c>
      <c r="Q1771" s="17" t="inlineStr">
        <is>
          <t>Không</t>
        </is>
      </c>
      <c r="R1771" s="20" t="n"/>
      <c r="S1771" s="20" t="n"/>
      <c r="T1771" s="21" t="n"/>
      <c r="U1771" s="21" t="n"/>
      <c r="V1771" s="22">
        <f>IF(U1771="A",K1771,IF(U1771="B",L1771,IF(U1771="C",M1771,IF(N1771="A",K1771,IF(N1771="B",L1771,M1771)))))</f>
        <v/>
      </c>
      <c r="W1771" s="22">
        <f>IF(R1771="",O1771,MAX(V1771-R1771-N(S1771),0))</f>
        <v/>
      </c>
      <c r="X1771" s="20" t="n"/>
      <c r="Y1771" s="23">
        <f>IF(OR(X1771="",W1771=0),"",X1771/W1771-1)</f>
        <v/>
      </c>
      <c r="Z1771" s="24" t="n"/>
      <c r="AA1771" s="21" t="n"/>
      <c r="AB1771" s="25" t="n"/>
      <c r="AC1771" s="26">
        <f>IF(T1771="","Chưa quyết định",IF(OR(Z1771="",AA1771=""),"⚠ Thiếu lý do/người duyệt",IF(AND(X1771&lt;&gt;"",N(X1771)+N(R1771)+N(S1771)&gt;M1771*1.001,R1771&lt;&gt;""),"⚠ Vượt mục tiêu P90",IF(AND(Y1771&lt;&gt;"",ABS(N(Y1771))&gt;0.3),"⚠ Lệch &gt; 30% so với nhu cầu",IF(Q1771="Có","ℹ Kiểm tra ngoại suy KM","✓ Hợp lệ")))))</f>
        <v/>
      </c>
    </row>
    <row r="1772">
      <c r="A1772" s="16" t="n">
        <v>1768</v>
      </c>
      <c r="B1772" s="17" t="inlineStr">
        <is>
          <t>DEC-S14-POULTRY</t>
        </is>
      </c>
      <c r="C1772" s="16" t="n">
        <v>14</v>
      </c>
      <c r="D1772" s="17" t="inlineStr">
        <is>
          <t>POULTRY</t>
        </is>
      </c>
      <c r="E1772" s="17" t="inlineStr">
        <is>
          <t>MEDIUM</t>
        </is>
      </c>
      <c r="F1772" s="17" t="inlineStr">
        <is>
          <t>CAO</t>
        </is>
      </c>
      <c r="G1772" s="18" t="inlineStr">
        <is>
          <t>RISK_MEDIUM</t>
        </is>
      </c>
      <c r="H1772" s="19" t="n">
        <v>1035.876205444336</v>
      </c>
      <c r="I1772" s="19" t="n">
        <v>1486.257888793945</v>
      </c>
      <c r="J1772" s="19" t="n">
        <v>2048.852978393555</v>
      </c>
      <c r="K1772" s="19" t="n">
        <v>1486.257888793945</v>
      </c>
      <c r="L1772" s="19" t="n">
        <v>1837.879819793701</v>
      </c>
      <c r="M1772" s="19" t="n">
        <v>2048.852978393555</v>
      </c>
      <c r="N1772" s="17" t="inlineStr">
        <is>
          <t>C</t>
        </is>
      </c>
      <c r="O1772" s="19" t="n">
        <v>859.8466673583982</v>
      </c>
      <c r="P1772" s="18" t="inlineStr">
        <is>
          <t>CÂN NHẮC THỬ NGHIỆM</t>
        </is>
      </c>
      <c r="Q1772" s="17" t="inlineStr">
        <is>
          <t>Không</t>
        </is>
      </c>
      <c r="R1772" s="20" t="n"/>
      <c r="S1772" s="20" t="n"/>
      <c r="T1772" s="21" t="n"/>
      <c r="U1772" s="21" t="n"/>
      <c r="V1772" s="22">
        <f>IF(U1772="A",K1772,IF(U1772="B",L1772,IF(U1772="C",M1772,IF(N1772="A",K1772,IF(N1772="B",L1772,M1772)))))</f>
        <v/>
      </c>
      <c r="W1772" s="22">
        <f>IF(R1772="",O1772,MAX(V1772-R1772-N(S1772),0))</f>
        <v/>
      </c>
      <c r="X1772" s="20" t="n"/>
      <c r="Y1772" s="23">
        <f>IF(OR(X1772="",W1772=0),"",X1772/W1772-1)</f>
        <v/>
      </c>
      <c r="Z1772" s="24" t="n"/>
      <c r="AA1772" s="21" t="n"/>
      <c r="AB1772" s="25" t="n"/>
      <c r="AC1772" s="26">
        <f>IF(T1772="","Chưa quyết định",IF(OR(Z1772="",AA1772=""),"⚠ Thiếu lý do/người duyệt",IF(AND(X1772&lt;&gt;"",N(X1772)+N(R1772)+N(S1772)&gt;M1772*1.001,R1772&lt;&gt;""),"⚠ Vượt mục tiêu P90",IF(AND(Y1772&lt;&gt;"",ABS(N(Y1772))&gt;0.3),"⚠ Lệch &gt; 30% so với nhu cầu",IF(Q1772="Có","ℹ Kiểm tra ngoại suy KM","✓ Hợp lệ")))))</f>
        <v/>
      </c>
    </row>
    <row r="1773">
      <c r="A1773" s="16" t="n">
        <v>1769</v>
      </c>
      <c r="B1773" s="17" t="inlineStr">
        <is>
          <t>DEC-S25-FROZEN_FOODS</t>
        </is>
      </c>
      <c r="C1773" s="16" t="n">
        <v>25</v>
      </c>
      <c r="D1773" s="17" t="inlineStr">
        <is>
          <t>FROZEN FOODS</t>
        </is>
      </c>
      <c r="E1773" s="17" t="inlineStr">
        <is>
          <t>MEDIUM</t>
        </is>
      </c>
      <c r="F1773" s="17" t="inlineStr">
        <is>
          <t>CAO</t>
        </is>
      </c>
      <c r="G1773" s="18" t="inlineStr">
        <is>
          <t>RISK_MEDIUM</t>
        </is>
      </c>
      <c r="H1773" s="19" t="n">
        <v>1052.639337219238</v>
      </c>
      <c r="I1773" s="19" t="n">
        <v>1485.813019744873</v>
      </c>
      <c r="J1773" s="19" t="n">
        <v>2054.098231079101</v>
      </c>
      <c r="K1773" s="19" t="n">
        <v>1485.813019744873</v>
      </c>
      <c r="L1773" s="19" t="n">
        <v>1840.991276828766</v>
      </c>
      <c r="M1773" s="19" t="n">
        <v>2054.098231079101</v>
      </c>
      <c r="N1773" s="17" t="inlineStr">
        <is>
          <t>C</t>
        </is>
      </c>
      <c r="O1773" s="19" t="n">
        <v>865.4478152832025</v>
      </c>
      <c r="P1773" s="18" t="inlineStr">
        <is>
          <t>CÂN NHẮC THỬ NGHIỆM</t>
        </is>
      </c>
      <c r="Q1773" s="17" t="inlineStr">
        <is>
          <t>Không</t>
        </is>
      </c>
      <c r="R1773" s="20" t="n"/>
      <c r="S1773" s="20" t="n"/>
      <c r="T1773" s="21" t="n"/>
      <c r="U1773" s="21" t="n"/>
      <c r="V1773" s="22">
        <f>IF(U1773="A",K1773,IF(U1773="B",L1773,IF(U1773="C",M1773,IF(N1773="A",K1773,IF(N1773="B",L1773,M1773)))))</f>
        <v/>
      </c>
      <c r="W1773" s="22">
        <f>IF(R1773="",O1773,MAX(V1773-R1773-N(S1773),0))</f>
        <v/>
      </c>
      <c r="X1773" s="20" t="n"/>
      <c r="Y1773" s="23">
        <f>IF(OR(X1773="",W1773=0),"",X1773/W1773-1)</f>
        <v/>
      </c>
      <c r="Z1773" s="24" t="n"/>
      <c r="AA1773" s="21" t="n"/>
      <c r="AB1773" s="25" t="n"/>
      <c r="AC1773" s="26">
        <f>IF(T1773="","Chưa quyết định",IF(OR(Z1773="",AA1773=""),"⚠ Thiếu lý do/người duyệt",IF(AND(X1773&lt;&gt;"",N(X1773)+N(R1773)+N(S1773)&gt;M1773*1.001,R1773&lt;&gt;""),"⚠ Vượt mục tiêu P90",IF(AND(Y1773&lt;&gt;"",ABS(N(Y1773))&gt;0.3),"⚠ Lệch &gt; 30% so với nhu cầu",IF(Q1773="Có","ℹ Kiểm tra ngoại suy KM","✓ Hợp lệ")))))</f>
        <v/>
      </c>
    </row>
    <row r="1774">
      <c r="A1774" s="16" t="n">
        <v>1770</v>
      </c>
      <c r="B1774" s="17" t="inlineStr">
        <is>
          <t>DEC-S43-LIQUOR_WINE_BEER</t>
        </is>
      </c>
      <c r="C1774" s="16" t="n">
        <v>43</v>
      </c>
      <c r="D1774" s="17" t="inlineStr">
        <is>
          <t>LIQUOR,WINE,BEER</t>
        </is>
      </c>
      <c r="E1774" s="17" t="inlineStr">
        <is>
          <t>MEDIUM</t>
        </is>
      </c>
      <c r="F1774" s="17" t="inlineStr">
        <is>
          <t>CAO</t>
        </is>
      </c>
      <c r="G1774" s="18" t="inlineStr">
        <is>
          <t>RISK_MEDIUM</t>
        </is>
      </c>
      <c r="H1774" s="19" t="n">
        <v>1070.869068939209</v>
      </c>
      <c r="I1774" s="19" t="n">
        <v>1485.282549377442</v>
      </c>
      <c r="J1774" s="19" t="n">
        <v>2025.308840118408</v>
      </c>
      <c r="K1774" s="19" t="n">
        <v>1485.282549377442</v>
      </c>
      <c r="L1774" s="19" t="n">
        <v>1822.798981090546</v>
      </c>
      <c r="M1774" s="19" t="n">
        <v>2025.308840118408</v>
      </c>
      <c r="N1774" s="17" t="inlineStr">
        <is>
          <t>C</t>
        </is>
      </c>
      <c r="O1774" s="19" t="n">
        <v>837.0828006164547</v>
      </c>
      <c r="P1774" s="18" t="inlineStr">
        <is>
          <t>CÂN NHẮC THỬ NGHIỆM</t>
        </is>
      </c>
      <c r="Q1774" s="17" t="inlineStr">
        <is>
          <t>Không</t>
        </is>
      </c>
      <c r="R1774" s="20" t="n"/>
      <c r="S1774" s="20" t="n"/>
      <c r="T1774" s="21" t="n"/>
      <c r="U1774" s="21" t="n"/>
      <c r="V1774" s="22">
        <f>IF(U1774="A",K1774,IF(U1774="B",L1774,IF(U1774="C",M1774,IF(N1774="A",K1774,IF(N1774="B",L1774,M1774)))))</f>
        <v/>
      </c>
      <c r="W1774" s="22">
        <f>IF(R1774="",O1774,MAX(V1774-R1774-N(S1774),0))</f>
        <v/>
      </c>
      <c r="X1774" s="20" t="n"/>
      <c r="Y1774" s="23">
        <f>IF(OR(X1774="",W1774=0),"",X1774/W1774-1)</f>
        <v/>
      </c>
      <c r="Z1774" s="24" t="n"/>
      <c r="AA1774" s="21" t="n"/>
      <c r="AB1774" s="25" t="n"/>
      <c r="AC1774" s="26">
        <f>IF(T1774="","Chưa quyết định",IF(OR(Z1774="",AA1774=""),"⚠ Thiếu lý do/người duyệt",IF(AND(X1774&lt;&gt;"",N(X1774)+N(R1774)+N(S1774)&gt;M1774*1.001,R1774&lt;&gt;""),"⚠ Vượt mục tiêu P90",IF(AND(Y1774&lt;&gt;"",ABS(N(Y1774))&gt;0.3),"⚠ Lệch &gt; 30% so với nhu cầu",IF(Q1774="Có","ℹ Kiểm tra ngoại suy KM","✓ Hợp lệ")))))</f>
        <v/>
      </c>
    </row>
    <row r="1775">
      <c r="A1775" s="16" t="n">
        <v>1771</v>
      </c>
      <c r="B1775" s="17" t="inlineStr">
        <is>
          <t>DEC-S01-LIQUOR_WINE_BEER</t>
        </is>
      </c>
      <c r="C1775" s="16" t="n">
        <v>1</v>
      </c>
      <c r="D1775" s="17" t="inlineStr">
        <is>
          <t>LIQUOR,WINE,BEER</t>
        </is>
      </c>
      <c r="E1775" s="17" t="inlineStr">
        <is>
          <t>MEDIUM</t>
        </is>
      </c>
      <c r="F1775" s="17" t="inlineStr">
        <is>
          <t>CAO</t>
        </is>
      </c>
      <c r="G1775" s="18" t="inlineStr">
        <is>
          <t>RISK_MEDIUM</t>
        </is>
      </c>
      <c r="H1775" s="19" t="n">
        <v>984.1619720458984</v>
      </c>
      <c r="I1775" s="19" t="n">
        <v>1471.029258728027</v>
      </c>
      <c r="J1775" s="19" t="n">
        <v>2067.509494628906</v>
      </c>
      <c r="K1775" s="19" t="n">
        <v>1471.029258728027</v>
      </c>
      <c r="L1775" s="19" t="n">
        <v>1843.829406166077</v>
      </c>
      <c r="M1775" s="19" t="n">
        <v>2067.509494628906</v>
      </c>
      <c r="N1775" s="17" t="inlineStr">
        <is>
          <t>C</t>
        </is>
      </c>
      <c r="O1775" s="19" t="n">
        <v>890.6860876464846</v>
      </c>
      <c r="P1775" s="18" t="inlineStr">
        <is>
          <t>CÂN NHẮC THỬ NGHIỆM</t>
        </is>
      </c>
      <c r="Q1775" s="17" t="inlineStr">
        <is>
          <t>Không</t>
        </is>
      </c>
      <c r="R1775" s="20" t="n"/>
      <c r="S1775" s="20" t="n"/>
      <c r="T1775" s="21" t="n"/>
      <c r="U1775" s="21" t="n"/>
      <c r="V1775" s="22">
        <f>IF(U1775="A",K1775,IF(U1775="B",L1775,IF(U1775="C",M1775,IF(N1775="A",K1775,IF(N1775="B",L1775,M1775)))))</f>
        <v/>
      </c>
      <c r="W1775" s="22">
        <f>IF(R1775="",O1775,MAX(V1775-R1775-N(S1775),0))</f>
        <v/>
      </c>
      <c r="X1775" s="20" t="n"/>
      <c r="Y1775" s="23">
        <f>IF(OR(X1775="",W1775=0),"",X1775/W1775-1)</f>
        <v/>
      </c>
      <c r="Z1775" s="24" t="n"/>
      <c r="AA1775" s="21" t="n"/>
      <c r="AB1775" s="25" t="n"/>
      <c r="AC1775" s="26">
        <f>IF(T1775="","Chưa quyết định",IF(OR(Z1775="",AA1775=""),"⚠ Thiếu lý do/người duyệt",IF(AND(X1775&lt;&gt;"",N(X1775)+N(R1775)+N(S1775)&gt;M1775*1.001,R1775&lt;&gt;""),"⚠ Vượt mục tiêu P90",IF(AND(Y1775&lt;&gt;"",ABS(N(Y1775))&gt;0.3),"⚠ Lệch &gt; 30% so với nhu cầu",IF(Q1775="Có","ℹ Kiểm tra ngoại suy KM","✓ Hợp lệ")))))</f>
        <v/>
      </c>
    </row>
    <row r="1776">
      <c r="A1776" s="16" t="n">
        <v>1772</v>
      </c>
      <c r="B1776" s="17" t="inlineStr">
        <is>
          <t>DEC-S15-EGGS</t>
        </is>
      </c>
      <c r="C1776" s="16" t="n">
        <v>15</v>
      </c>
      <c r="D1776" s="17" t="inlineStr">
        <is>
          <t>EGGS</t>
        </is>
      </c>
      <c r="E1776" s="17" t="inlineStr">
        <is>
          <t>MEDIUM</t>
        </is>
      </c>
      <c r="F1776" s="17" t="inlineStr">
        <is>
          <t>CAO</t>
        </is>
      </c>
      <c r="G1776" s="18" t="inlineStr">
        <is>
          <t>RISK_MEDIUM</t>
        </is>
      </c>
      <c r="H1776" s="19" t="n">
        <v>967.284523010254</v>
      </c>
      <c r="I1776" s="19" t="n">
        <v>1454.151809692383</v>
      </c>
      <c r="J1776" s="19" t="n">
        <v>2050.632045593262</v>
      </c>
      <c r="K1776" s="19" t="n">
        <v>1454.151809692383</v>
      </c>
      <c r="L1776" s="19" t="n">
        <v>1826.951957130432</v>
      </c>
      <c r="M1776" s="19" t="n">
        <v>2050.632045593262</v>
      </c>
      <c r="N1776" s="17" t="inlineStr">
        <is>
          <t>C</t>
        </is>
      </c>
      <c r="O1776" s="19" t="n">
        <v>887.3105978393555</v>
      </c>
      <c r="P1776" s="18" t="inlineStr">
        <is>
          <t>CÂN NHẮC THỬ NGHIỆM</t>
        </is>
      </c>
      <c r="Q1776" s="17" t="inlineStr">
        <is>
          <t>Không</t>
        </is>
      </c>
      <c r="R1776" s="20" t="n"/>
      <c r="S1776" s="20" t="n"/>
      <c r="T1776" s="21" t="n"/>
      <c r="U1776" s="21" t="n"/>
      <c r="V1776" s="22">
        <f>IF(U1776="A",K1776,IF(U1776="B",L1776,IF(U1776="C",M1776,IF(N1776="A",K1776,IF(N1776="B",L1776,M1776)))))</f>
        <v/>
      </c>
      <c r="W1776" s="22">
        <f>IF(R1776="",O1776,MAX(V1776-R1776-N(S1776),0))</f>
        <v/>
      </c>
      <c r="X1776" s="20" t="n"/>
      <c r="Y1776" s="23">
        <f>IF(OR(X1776="",W1776=0),"",X1776/W1776-1)</f>
        <v/>
      </c>
      <c r="Z1776" s="24" t="n"/>
      <c r="AA1776" s="21" t="n"/>
      <c r="AB1776" s="25" t="n"/>
      <c r="AC1776" s="26">
        <f>IF(T1776="","Chưa quyết định",IF(OR(Z1776="",AA1776=""),"⚠ Thiếu lý do/người duyệt",IF(AND(X1776&lt;&gt;"",N(X1776)+N(R1776)+N(S1776)&gt;M1776*1.001,R1776&lt;&gt;""),"⚠ Vượt mục tiêu P90",IF(AND(Y1776&lt;&gt;"",ABS(N(Y1776))&gt;0.3),"⚠ Lệch &gt; 30% so với nhu cầu",IF(Q1776="Có","ℹ Kiểm tra ngoại suy KM","✓ Hợp lệ")))))</f>
        <v/>
      </c>
    </row>
    <row r="1777">
      <c r="A1777" s="16" t="n">
        <v>1773</v>
      </c>
      <c r="B1777" s="17" t="inlineStr">
        <is>
          <t>DEC-S21-LIQUOR_WINE_BEER</t>
        </is>
      </c>
      <c r="C1777" s="16" t="n">
        <v>21</v>
      </c>
      <c r="D1777" s="17" t="inlineStr">
        <is>
          <t>LIQUOR,WINE,BEER</t>
        </is>
      </c>
      <c r="E1777" s="17" t="inlineStr">
        <is>
          <t>MEDIUM</t>
        </is>
      </c>
      <c r="F1777" s="17" t="inlineStr">
        <is>
          <t>CAO</t>
        </is>
      </c>
      <c r="G1777" s="18" t="inlineStr">
        <is>
          <t>RISK_MEDIUM</t>
        </is>
      </c>
      <c r="H1777" s="19" t="n">
        <v>1025.440929412842</v>
      </c>
      <c r="I1777" s="19" t="n">
        <v>1439.337009429932</v>
      </c>
      <c r="J1777" s="19" t="n">
        <v>1968.046952728272</v>
      </c>
      <c r="K1777" s="19" t="n">
        <v>1439.337009429932</v>
      </c>
      <c r="L1777" s="19" t="n">
        <v>1769.780723991394</v>
      </c>
      <c r="M1777" s="19" t="n">
        <v>1968.046952728272</v>
      </c>
      <c r="N1777" s="17" t="inlineStr">
        <is>
          <t>C</t>
        </is>
      </c>
      <c r="O1777" s="19" t="n">
        <v>816.5773451843263</v>
      </c>
      <c r="P1777" s="18" t="inlineStr">
        <is>
          <t>CÂN NHẮC THỬ NGHIỆM</t>
        </is>
      </c>
      <c r="Q1777" s="17" t="inlineStr">
        <is>
          <t>Không</t>
        </is>
      </c>
      <c r="R1777" s="20" t="n"/>
      <c r="S1777" s="20" t="n"/>
      <c r="T1777" s="21" t="n"/>
      <c r="U1777" s="21" t="n"/>
      <c r="V1777" s="22">
        <f>IF(U1777="A",K1777,IF(U1777="B",L1777,IF(U1777="C",M1777,IF(N1777="A",K1777,IF(N1777="B",L1777,M1777)))))</f>
        <v/>
      </c>
      <c r="W1777" s="22">
        <f>IF(R1777="",O1777,MAX(V1777-R1777-N(S1777),0))</f>
        <v/>
      </c>
      <c r="X1777" s="20" t="n"/>
      <c r="Y1777" s="23">
        <f>IF(OR(X1777="",W1777=0),"",X1777/W1777-1)</f>
        <v/>
      </c>
      <c r="Z1777" s="24" t="n"/>
      <c r="AA1777" s="21" t="n"/>
      <c r="AB1777" s="25" t="n"/>
      <c r="AC1777" s="26">
        <f>IF(T1777="","Chưa quyết định",IF(OR(Z1777="",AA1777=""),"⚠ Thiếu lý do/người duyệt",IF(AND(X1777&lt;&gt;"",N(X1777)+N(R1777)+N(S1777)&gt;M1777*1.001,R1777&lt;&gt;""),"⚠ Vượt mục tiêu P90",IF(AND(Y1777&lt;&gt;"",ABS(N(Y1777))&gt;0.3),"⚠ Lệch &gt; 30% so với nhu cầu",IF(Q1777="Có","ℹ Kiểm tra ngoại suy KM","✓ Hợp lệ")))))</f>
        <v/>
      </c>
    </row>
    <row r="1778">
      <c r="A1778" s="16" t="n">
        <v>1774</v>
      </c>
      <c r="B1778" s="17" t="inlineStr">
        <is>
          <t>DEC-S26-HOME_CARE</t>
        </is>
      </c>
      <c r="C1778" s="16" t="n">
        <v>26</v>
      </c>
      <c r="D1778" s="17" t="inlineStr">
        <is>
          <t>HOME CARE</t>
        </is>
      </c>
      <c r="E1778" s="17" t="inlineStr">
        <is>
          <t>MEDIUM</t>
        </is>
      </c>
      <c r="F1778" s="17" t="inlineStr">
        <is>
          <t>CAO</t>
        </is>
      </c>
      <c r="G1778" s="18" t="inlineStr">
        <is>
          <t>RISK_MEDIUM</t>
        </is>
      </c>
      <c r="H1778" s="19" t="n">
        <v>975.5019607543944</v>
      </c>
      <c r="I1778" s="19" t="n">
        <v>1425.883644104004</v>
      </c>
      <c r="J1778" s="19" t="n">
        <v>1988.478733703613</v>
      </c>
      <c r="K1778" s="19" t="n">
        <v>1425.883644104004</v>
      </c>
      <c r="L1778" s="19" t="n">
        <v>1777.505575103759</v>
      </c>
      <c r="M1778" s="19" t="n">
        <v>1988.478733703613</v>
      </c>
      <c r="N1778" s="17" t="inlineStr">
        <is>
          <t>C</t>
        </is>
      </c>
      <c r="O1778" s="19" t="n">
        <v>847.7718184204095</v>
      </c>
      <c r="P1778" s="18" t="inlineStr">
        <is>
          <t>CÂN NHẮC THỬ NGHIỆM</t>
        </is>
      </c>
      <c r="Q1778" s="17" t="inlineStr">
        <is>
          <t>Không</t>
        </is>
      </c>
      <c r="R1778" s="20" t="n"/>
      <c r="S1778" s="20" t="n"/>
      <c r="T1778" s="21" t="n"/>
      <c r="U1778" s="21" t="n"/>
      <c r="V1778" s="22">
        <f>IF(U1778="A",K1778,IF(U1778="B",L1778,IF(U1778="C",M1778,IF(N1778="A",K1778,IF(N1778="B",L1778,M1778)))))</f>
        <v/>
      </c>
      <c r="W1778" s="22">
        <f>IF(R1778="",O1778,MAX(V1778-R1778-N(S1778),0))</f>
        <v/>
      </c>
      <c r="X1778" s="20" t="n"/>
      <c r="Y1778" s="23">
        <f>IF(OR(X1778="",W1778=0),"",X1778/W1778-1)</f>
        <v/>
      </c>
      <c r="Z1778" s="24" t="n"/>
      <c r="AA1778" s="21" t="n"/>
      <c r="AB1778" s="25" t="n"/>
      <c r="AC1778" s="26">
        <f>IF(T1778="","Chưa quyết định",IF(OR(Z1778="",AA1778=""),"⚠ Thiếu lý do/người duyệt",IF(AND(X1778&lt;&gt;"",N(X1778)+N(R1778)+N(S1778)&gt;M1778*1.001,R1778&lt;&gt;""),"⚠ Vượt mục tiêu P90",IF(AND(Y1778&lt;&gt;"",ABS(N(Y1778))&gt;0.3),"⚠ Lệch &gt; 30% so với nhu cầu",IF(Q1778="Có","ℹ Kiểm tra ngoại suy KM","✓ Hợp lệ")))))</f>
        <v/>
      </c>
    </row>
    <row r="1779">
      <c r="A1779" s="16" t="n">
        <v>1775</v>
      </c>
      <c r="B1779" s="17" t="inlineStr">
        <is>
          <t>DEC-S06-PREPARED_FOODS</t>
        </is>
      </c>
      <c r="C1779" s="16" t="n">
        <v>6</v>
      </c>
      <c r="D1779" s="17" t="inlineStr">
        <is>
          <t>PREPARED FOODS</t>
        </is>
      </c>
      <c r="E1779" s="17" t="inlineStr">
        <is>
          <t>MEDIUM</t>
        </is>
      </c>
      <c r="F1779" s="17" t="inlineStr">
        <is>
          <t>CAO</t>
        </is>
      </c>
      <c r="G1779" s="18" t="inlineStr">
        <is>
          <t>RISK_MEDIUM</t>
        </is>
      </c>
      <c r="H1779" s="19" t="n">
        <v>971.3864936828612</v>
      </c>
      <c r="I1779" s="19" t="n">
        <v>1403.525375366211</v>
      </c>
      <c r="J1779" s="19" t="n">
        <v>1949.177891815185</v>
      </c>
      <c r="K1779" s="19" t="n">
        <v>1403.525375366211</v>
      </c>
      <c r="L1779" s="19" t="n">
        <v>1744.55819814682</v>
      </c>
      <c r="M1779" s="19" t="n">
        <v>1949.177891815185</v>
      </c>
      <c r="N1779" s="17" t="inlineStr">
        <is>
          <t>C</t>
        </is>
      </c>
      <c r="O1779" s="19" t="n">
        <v>826.3575915222164</v>
      </c>
      <c r="P1779" s="18" t="inlineStr">
        <is>
          <t>CÂN NHẮC THỬ NGHIỆM</t>
        </is>
      </c>
      <c r="Q1779" s="17" t="inlineStr">
        <is>
          <t>Không</t>
        </is>
      </c>
      <c r="R1779" s="20" t="n"/>
      <c r="S1779" s="20" t="n"/>
      <c r="T1779" s="21" t="n"/>
      <c r="U1779" s="21" t="n"/>
      <c r="V1779" s="22">
        <f>IF(U1779="A",K1779,IF(U1779="B",L1779,IF(U1779="C",M1779,IF(N1779="A",K1779,IF(N1779="B",L1779,M1779)))))</f>
        <v/>
      </c>
      <c r="W1779" s="22">
        <f>IF(R1779="",O1779,MAX(V1779-R1779-N(S1779),0))</f>
        <v/>
      </c>
      <c r="X1779" s="20" t="n"/>
      <c r="Y1779" s="23">
        <f>IF(OR(X1779="",W1779=0),"",X1779/W1779-1)</f>
        <v/>
      </c>
      <c r="Z1779" s="24" t="n"/>
      <c r="AA1779" s="21" t="n"/>
      <c r="AB1779" s="25" t="n"/>
      <c r="AC1779" s="26">
        <f>IF(T1779="","Chưa quyết định",IF(OR(Z1779="",AA1779=""),"⚠ Thiếu lý do/người duyệt",IF(AND(X1779&lt;&gt;"",N(X1779)+N(R1779)+N(S1779)&gt;M1779*1.001,R1779&lt;&gt;""),"⚠ Vượt mục tiêu P90",IF(AND(Y1779&lt;&gt;"",ABS(N(Y1779))&gt;0.3),"⚠ Lệch &gt; 30% so với nhu cầu",IF(Q1779="Có","ℹ Kiểm tra ngoại suy KM","✓ Hợp lệ")))))</f>
        <v/>
      </c>
    </row>
    <row r="1780">
      <c r="A1780" s="16" t="n">
        <v>1776</v>
      </c>
      <c r="B1780" s="17" t="inlineStr">
        <is>
          <t>DEC-S39-FROZEN_FOODS</t>
        </is>
      </c>
      <c r="C1780" s="16" t="n">
        <v>39</v>
      </c>
      <c r="D1780" s="17" t="inlineStr">
        <is>
          <t>FROZEN FOODS</t>
        </is>
      </c>
      <c r="E1780" s="17" t="inlineStr">
        <is>
          <t>MEDIUM</t>
        </is>
      </c>
      <c r="F1780" s="17" t="inlineStr">
        <is>
          <t>CAO</t>
        </is>
      </c>
      <c r="G1780" s="18" t="inlineStr">
        <is>
          <t>RISK_MEDIUM</t>
        </is>
      </c>
      <c r="H1780" s="19" t="n">
        <v>929.8854064941406</v>
      </c>
      <c r="I1780" s="19" t="n">
        <v>1380.26708984375</v>
      </c>
      <c r="J1780" s="19" t="n">
        <v>1942.86217944336</v>
      </c>
      <c r="K1780" s="19" t="n">
        <v>1380.26708984375</v>
      </c>
      <c r="L1780" s="19" t="n">
        <v>1731.889020843506</v>
      </c>
      <c r="M1780" s="19" t="n">
        <v>1942.86217944336</v>
      </c>
      <c r="N1780" s="17" t="inlineStr">
        <is>
          <t>C</t>
        </is>
      </c>
      <c r="O1780" s="19" t="n">
        <v>838.6485075683595</v>
      </c>
      <c r="P1780" s="18" t="inlineStr">
        <is>
          <t>CÂN NHẮC THỬ NGHIỆM</t>
        </is>
      </c>
      <c r="Q1780" s="17" t="inlineStr">
        <is>
          <t>Không</t>
        </is>
      </c>
      <c r="R1780" s="20" t="n"/>
      <c r="S1780" s="20" t="n"/>
      <c r="T1780" s="21" t="n"/>
      <c r="U1780" s="21" t="n"/>
      <c r="V1780" s="22">
        <f>IF(U1780="A",K1780,IF(U1780="B",L1780,IF(U1780="C",M1780,IF(N1780="A",K1780,IF(N1780="B",L1780,M1780)))))</f>
        <v/>
      </c>
      <c r="W1780" s="22">
        <f>IF(R1780="",O1780,MAX(V1780-R1780-N(S1780),0))</f>
        <v/>
      </c>
      <c r="X1780" s="20" t="n"/>
      <c r="Y1780" s="23">
        <f>IF(OR(X1780="",W1780=0),"",X1780/W1780-1)</f>
        <v/>
      </c>
      <c r="Z1780" s="24" t="n"/>
      <c r="AA1780" s="21" t="n"/>
      <c r="AB1780" s="25" t="n"/>
      <c r="AC1780" s="26">
        <f>IF(T1780="","Chưa quyết định",IF(OR(Z1780="",AA1780=""),"⚠ Thiếu lý do/người duyệt",IF(AND(X1780&lt;&gt;"",N(X1780)+N(R1780)+N(S1780)&gt;M1780*1.001,R1780&lt;&gt;""),"⚠ Vượt mục tiêu P90",IF(AND(Y1780&lt;&gt;"",ABS(N(Y1780))&gt;0.3),"⚠ Lệch &gt; 30% so với nhu cầu",IF(Q1780="Có","ℹ Kiểm tra ngoại suy KM","✓ Hợp lệ")))))</f>
        <v/>
      </c>
    </row>
    <row r="1781">
      <c r="A1781" s="16" t="n">
        <v>1777</v>
      </c>
      <c r="B1781" s="17" t="inlineStr">
        <is>
          <t>DEC-S20-FROZEN_FOODS</t>
        </is>
      </c>
      <c r="C1781" s="16" t="n">
        <v>20</v>
      </c>
      <c r="D1781" s="17" t="inlineStr">
        <is>
          <t>FROZEN FOODS</t>
        </is>
      </c>
      <c r="E1781" s="17" t="inlineStr">
        <is>
          <t>MEDIUM</t>
        </is>
      </c>
      <c r="F1781" s="17" t="inlineStr">
        <is>
          <t>CAO</t>
        </is>
      </c>
      <c r="G1781" s="18" t="inlineStr">
        <is>
          <t>RISK_MEDIUM</t>
        </is>
      </c>
      <c r="H1781" s="19" t="n">
        <v>915.9239616394044</v>
      </c>
      <c r="I1781" s="19" t="n">
        <v>1348.062843322754</v>
      </c>
      <c r="J1781" s="19" t="n">
        <v>1893.715359771728</v>
      </c>
      <c r="K1781" s="19" t="n">
        <v>1348.062843322754</v>
      </c>
      <c r="L1781" s="19" t="n">
        <v>1689.095666103363</v>
      </c>
      <c r="M1781" s="19" t="n">
        <v>1893.715359771728</v>
      </c>
      <c r="N1781" s="17" t="inlineStr">
        <is>
          <t>C</t>
        </is>
      </c>
      <c r="O1781" s="19" t="n">
        <v>815.2650851135252</v>
      </c>
      <c r="P1781" s="18" t="inlineStr">
        <is>
          <t>CÂN NHẮC THỬ NGHIỆM</t>
        </is>
      </c>
      <c r="Q1781" s="17" t="inlineStr">
        <is>
          <t>Không</t>
        </is>
      </c>
      <c r="R1781" s="20" t="n"/>
      <c r="S1781" s="20" t="n"/>
      <c r="T1781" s="21" t="n"/>
      <c r="U1781" s="21" t="n"/>
      <c r="V1781" s="22">
        <f>IF(U1781="A",K1781,IF(U1781="B",L1781,IF(U1781="C",M1781,IF(N1781="A",K1781,IF(N1781="B",L1781,M1781)))))</f>
        <v/>
      </c>
      <c r="W1781" s="22">
        <f>IF(R1781="",O1781,MAX(V1781-R1781-N(S1781),0))</f>
        <v/>
      </c>
      <c r="X1781" s="20" t="n"/>
      <c r="Y1781" s="23">
        <f>IF(OR(X1781="",W1781=0),"",X1781/W1781-1)</f>
        <v/>
      </c>
      <c r="Z1781" s="24" t="n"/>
      <c r="AA1781" s="21" t="n"/>
      <c r="AB1781" s="25" t="n"/>
      <c r="AC1781" s="26">
        <f>IF(T1781="","Chưa quyết định",IF(OR(Z1781="",AA1781=""),"⚠ Thiếu lý do/người duyệt",IF(AND(X1781&lt;&gt;"",N(X1781)+N(R1781)+N(S1781)&gt;M1781*1.001,R1781&lt;&gt;""),"⚠ Vượt mục tiêu P90",IF(AND(Y1781&lt;&gt;"",ABS(N(Y1781))&gt;0.3),"⚠ Lệch &gt; 30% so với nhu cầu",IF(Q1781="Có","ℹ Kiểm tra ngoại suy KM","✓ Hợp lệ")))))</f>
        <v/>
      </c>
    </row>
    <row r="1782">
      <c r="A1782" s="16" t="n">
        <v>1778</v>
      </c>
      <c r="B1782" s="17" t="inlineStr">
        <is>
          <t>DEC-S45-SEAFOOD</t>
        </is>
      </c>
      <c r="C1782" s="16" t="n">
        <v>45</v>
      </c>
      <c r="D1782" s="17" t="inlineStr">
        <is>
          <t>SEAFOOD</t>
        </is>
      </c>
      <c r="E1782" s="17" t="inlineStr">
        <is>
          <t>MEDIUM</t>
        </is>
      </c>
      <c r="F1782" s="17" t="inlineStr">
        <is>
          <t>CAO</t>
        </is>
      </c>
      <c r="G1782" s="18" t="inlineStr">
        <is>
          <t>RISK_MEDIUM</t>
        </is>
      </c>
      <c r="H1782" s="19" t="n">
        <v>890.7956619262695</v>
      </c>
      <c r="I1782" s="19" t="n">
        <v>1304.691741943359</v>
      </c>
      <c r="J1782" s="19" t="n">
        <v>1833.401685241699</v>
      </c>
      <c r="K1782" s="19" t="n">
        <v>1304.691741943359</v>
      </c>
      <c r="L1782" s="19" t="n">
        <v>1635.135456504822</v>
      </c>
      <c r="M1782" s="19" t="n">
        <v>1833.401685241699</v>
      </c>
      <c r="N1782" s="17" t="inlineStr">
        <is>
          <t>C</t>
        </is>
      </c>
      <c r="O1782" s="19" t="n">
        <v>789.6482916870116</v>
      </c>
      <c r="P1782" s="18" t="inlineStr">
        <is>
          <t>CÂN NHẮC THỬ NGHIỆM</t>
        </is>
      </c>
      <c r="Q1782" s="17" t="inlineStr">
        <is>
          <t>Không</t>
        </is>
      </c>
      <c r="R1782" s="20" t="n"/>
      <c r="S1782" s="20" t="n"/>
      <c r="T1782" s="21" t="n"/>
      <c r="U1782" s="21" t="n"/>
      <c r="V1782" s="22">
        <f>IF(U1782="A",K1782,IF(U1782="B",L1782,IF(U1782="C",M1782,IF(N1782="A",K1782,IF(N1782="B",L1782,M1782)))))</f>
        <v/>
      </c>
      <c r="W1782" s="22">
        <f>IF(R1782="",O1782,MAX(V1782-R1782-N(S1782),0))</f>
        <v/>
      </c>
      <c r="X1782" s="20" t="n"/>
      <c r="Y1782" s="23">
        <f>IF(OR(X1782="",W1782=0),"",X1782/W1782-1)</f>
        <v/>
      </c>
      <c r="Z1782" s="24" t="n"/>
      <c r="AA1782" s="21" t="n"/>
      <c r="AB1782" s="25" t="n"/>
      <c r="AC1782" s="26">
        <f>IF(T1782="","Chưa quyết định",IF(OR(Z1782="",AA1782=""),"⚠ Thiếu lý do/người duyệt",IF(AND(X1782&lt;&gt;"",N(X1782)+N(R1782)+N(S1782)&gt;M1782*1.001,R1782&lt;&gt;""),"⚠ Vượt mục tiêu P90",IF(AND(Y1782&lt;&gt;"",ABS(N(Y1782))&gt;0.3),"⚠ Lệch &gt; 30% so với nhu cầu",IF(Q1782="Có","ℹ Kiểm tra ngoại suy KM","✓ Hợp lệ")))))</f>
        <v/>
      </c>
    </row>
    <row r="1783">
      <c r="A1783" s="16" t="n">
        <v>1779</v>
      </c>
      <c r="B1783" s="17" t="inlineStr">
        <is>
          <t>DEC-S54-PREPARED_FOODS</t>
        </is>
      </c>
      <c r="C1783" s="16" t="n">
        <v>54</v>
      </c>
      <c r="D1783" s="17" t="inlineStr">
        <is>
          <t>PREPARED FOODS</t>
        </is>
      </c>
      <c r="E1783" s="17" t="inlineStr">
        <is>
          <t>MEDIUM</t>
        </is>
      </c>
      <c r="F1783" s="17" t="inlineStr">
        <is>
          <t>CAO</t>
        </is>
      </c>
      <c r="G1783" s="18" t="inlineStr">
        <is>
          <t>RISK_MEDIUM</t>
        </is>
      </c>
      <c r="H1783" s="19" t="n">
        <v>839.3709487915039</v>
      </c>
      <c r="I1783" s="19" t="n">
        <v>1235.024227142334</v>
      </c>
      <c r="J1783" s="19" t="n">
        <v>1746.791597290039</v>
      </c>
      <c r="K1783" s="19" t="n">
        <v>1235.024227142334</v>
      </c>
      <c r="L1783" s="19" t="n">
        <v>1554.87883348465</v>
      </c>
      <c r="M1783" s="19" t="n">
        <v>1746.791597290039</v>
      </c>
      <c r="N1783" s="17" t="inlineStr">
        <is>
          <t>C</t>
        </is>
      </c>
      <c r="O1783" s="19" t="n">
        <v>758.7722155761719</v>
      </c>
      <c r="P1783" s="18" t="inlineStr">
        <is>
          <t>CÂN NHẮC THỬ NGHIỆM</t>
        </is>
      </c>
      <c r="Q1783" s="17" t="inlineStr">
        <is>
          <t>Không</t>
        </is>
      </c>
      <c r="R1783" s="20" t="n"/>
      <c r="S1783" s="20" t="n"/>
      <c r="T1783" s="21" t="n"/>
      <c r="U1783" s="21" t="n"/>
      <c r="V1783" s="22">
        <f>IF(U1783="A",K1783,IF(U1783="B",L1783,IF(U1783="C",M1783,IF(N1783="A",K1783,IF(N1783="B",L1783,M1783)))))</f>
        <v/>
      </c>
      <c r="W1783" s="22">
        <f>IF(R1783="",O1783,MAX(V1783-R1783-N(S1783),0))</f>
        <v/>
      </c>
      <c r="X1783" s="20" t="n"/>
      <c r="Y1783" s="23">
        <f>IF(OR(X1783="",W1783=0),"",X1783/W1783-1)</f>
        <v/>
      </c>
      <c r="Z1783" s="24" t="n"/>
      <c r="AA1783" s="21" t="n"/>
      <c r="AB1783" s="25" t="n"/>
      <c r="AC1783" s="26">
        <f>IF(T1783="","Chưa quyết định",IF(OR(Z1783="",AA1783=""),"⚠ Thiếu lý do/người duyệt",IF(AND(X1783&lt;&gt;"",N(X1783)+N(R1783)+N(S1783)&gt;M1783*1.001,R1783&lt;&gt;""),"⚠ Vượt mục tiêu P90",IF(AND(Y1783&lt;&gt;"",ABS(N(Y1783))&gt;0.3),"⚠ Lệch &gt; 30% so với nhu cầu",IF(Q1783="Có","ℹ Kiểm tra ngoại suy KM","✓ Hợp lệ")))))</f>
        <v/>
      </c>
    </row>
    <row r="1784">
      <c r="A1784" s="16" t="n">
        <v>1780</v>
      </c>
      <c r="B1784" s="17" t="inlineStr">
        <is>
          <t>DEC-S29-FROZEN_FOODS</t>
        </is>
      </c>
      <c r="C1784" s="16" t="n">
        <v>29</v>
      </c>
      <c r="D1784" s="17" t="inlineStr">
        <is>
          <t>FROZEN FOODS</t>
        </is>
      </c>
      <c r="E1784" s="17" t="inlineStr">
        <is>
          <t>MEDIUM</t>
        </is>
      </c>
      <c r="F1784" s="17" t="inlineStr">
        <is>
          <t>CAO</t>
        </is>
      </c>
      <c r="G1784" s="18" t="inlineStr">
        <is>
          <t>RISK_MEDIUM</t>
        </is>
      </c>
      <c r="H1784" s="19" t="n">
        <v>822.0176429748535</v>
      </c>
      <c r="I1784" s="19" t="n">
        <v>1217.670921325684</v>
      </c>
      <c r="J1784" s="19" t="n">
        <v>1729.438291473389</v>
      </c>
      <c r="K1784" s="19" t="n">
        <v>1217.670921325684</v>
      </c>
      <c r="L1784" s="19" t="n">
        <v>1537.525527667999</v>
      </c>
      <c r="M1784" s="19" t="n">
        <v>1729.438291473389</v>
      </c>
      <c r="N1784" s="17" t="inlineStr">
        <is>
          <t>C</t>
        </is>
      </c>
      <c r="O1784" s="19" t="n">
        <v>755.3015544128419</v>
      </c>
      <c r="P1784" s="18" t="inlineStr">
        <is>
          <t>CÂN NHẮC THỬ NGHIỆM</t>
        </is>
      </c>
      <c r="Q1784" s="17" t="inlineStr">
        <is>
          <t>Không</t>
        </is>
      </c>
      <c r="R1784" s="20" t="n"/>
      <c r="S1784" s="20" t="n"/>
      <c r="T1784" s="21" t="n"/>
      <c r="U1784" s="21" t="n"/>
      <c r="V1784" s="22">
        <f>IF(U1784="A",K1784,IF(U1784="B",L1784,IF(U1784="C",M1784,IF(N1784="A",K1784,IF(N1784="B",L1784,M1784)))))</f>
        <v/>
      </c>
      <c r="W1784" s="22">
        <f>IF(R1784="",O1784,MAX(V1784-R1784-N(S1784),0))</f>
        <v/>
      </c>
      <c r="X1784" s="20" t="n"/>
      <c r="Y1784" s="23">
        <f>IF(OR(X1784="",W1784=0),"",X1784/W1784-1)</f>
        <v/>
      </c>
      <c r="Z1784" s="24" t="n"/>
      <c r="AA1784" s="21" t="n"/>
      <c r="AB1784" s="25" t="n"/>
      <c r="AC1784" s="26">
        <f>IF(T1784="","Chưa quyết định",IF(OR(Z1784="",AA1784=""),"⚠ Thiếu lý do/người duyệt",IF(AND(X1784&lt;&gt;"",N(X1784)+N(R1784)+N(S1784)&gt;M1784*1.001,R1784&lt;&gt;""),"⚠ Vượt mục tiêu P90",IF(AND(Y1784&lt;&gt;"",ABS(N(Y1784))&gt;0.3),"⚠ Lệch &gt; 30% so với nhu cầu",IF(Q1784="Có","ℹ Kiểm tra ngoại suy KM","✓ Hợp lệ")))))</f>
        <v/>
      </c>
    </row>
    <row r="1785">
      <c r="A1785" s="16" t="n">
        <v>1781</v>
      </c>
      <c r="B1785" s="17" t="inlineStr">
        <is>
          <t>DEC-S28-FROZEN_FOODS</t>
        </is>
      </c>
      <c r="C1785" s="16" t="n">
        <v>28</v>
      </c>
      <c r="D1785" s="17" t="inlineStr">
        <is>
          <t>FROZEN FOODS</t>
        </is>
      </c>
      <c r="E1785" s="17" t="inlineStr">
        <is>
          <t>MEDIUM</t>
        </is>
      </c>
      <c r="F1785" s="17" t="inlineStr">
        <is>
          <t>CAO</t>
        </is>
      </c>
      <c r="G1785" s="18" t="inlineStr">
        <is>
          <t>RISK_MEDIUM</t>
        </is>
      </c>
      <c r="H1785" s="19" t="n">
        <v>804.5755310058594</v>
      </c>
      <c r="I1785" s="19" t="n">
        <v>1181.98600769043</v>
      </c>
      <c r="J1785" s="19" t="n">
        <v>1676.8108046875</v>
      </c>
      <c r="K1785" s="19" t="n">
        <v>1181.98600769043</v>
      </c>
      <c r="L1785" s="19" t="n">
        <v>1491.251505813599</v>
      </c>
      <c r="M1785" s="19" t="n">
        <v>1676.8108046875</v>
      </c>
      <c r="N1785" s="17" t="inlineStr">
        <is>
          <t>C</t>
        </is>
      </c>
      <c r="O1785" s="19" t="n">
        <v>731.2219985351562</v>
      </c>
      <c r="P1785" s="18" t="inlineStr">
        <is>
          <t>CÂN NHẮC THỬ NGHIỆM</t>
        </is>
      </c>
      <c r="Q1785" s="17" t="inlineStr">
        <is>
          <t>Không</t>
        </is>
      </c>
      <c r="R1785" s="20" t="n"/>
      <c r="S1785" s="20" t="n"/>
      <c r="T1785" s="21" t="n"/>
      <c r="U1785" s="21" t="n"/>
      <c r="V1785" s="22">
        <f>IF(U1785="A",K1785,IF(U1785="B",L1785,IF(U1785="C",M1785,IF(N1785="A",K1785,IF(N1785="B",L1785,M1785)))))</f>
        <v/>
      </c>
      <c r="W1785" s="22">
        <f>IF(R1785="",O1785,MAX(V1785-R1785-N(S1785),0))</f>
        <v/>
      </c>
      <c r="X1785" s="20" t="n"/>
      <c r="Y1785" s="23">
        <f>IF(OR(X1785="",W1785=0),"",X1785/W1785-1)</f>
        <v/>
      </c>
      <c r="Z1785" s="24" t="n"/>
      <c r="AA1785" s="21" t="n"/>
      <c r="AB1785" s="25" t="n"/>
      <c r="AC1785" s="26">
        <f>IF(T1785="","Chưa quyết định",IF(OR(Z1785="",AA1785=""),"⚠ Thiếu lý do/người duyệt",IF(AND(X1785&lt;&gt;"",N(X1785)+N(R1785)+N(S1785)&gt;M1785*1.001,R1785&lt;&gt;""),"⚠ Vượt mục tiêu P90",IF(AND(Y1785&lt;&gt;"",ABS(N(Y1785))&gt;0.3),"⚠ Lệch &gt; 30% so với nhu cầu",IF(Q1785="Có","ℹ Kiểm tra ngoại suy KM","✓ Hợp lệ")))))</f>
        <v/>
      </c>
    </row>
    <row r="1786">
      <c r="A1786" s="16" t="n">
        <v>1782</v>
      </c>
      <c r="B1786" s="17" t="inlineStr">
        <is>
          <t>DEC-S40-FROZEN_FOODS</t>
        </is>
      </c>
      <c r="C1786" s="16" t="n">
        <v>40</v>
      </c>
      <c r="D1786" s="17" t="inlineStr">
        <is>
          <t>FROZEN FOODS</t>
        </is>
      </c>
      <c r="E1786" s="17" t="inlineStr">
        <is>
          <t>MEDIUM</t>
        </is>
      </c>
      <c r="F1786" s="17" t="inlineStr">
        <is>
          <t>CAO</t>
        </is>
      </c>
      <c r="G1786" s="18" t="inlineStr">
        <is>
          <t>RISK_MEDIUM</t>
        </is>
      </c>
      <c r="H1786" s="19" t="n">
        <v>769.3433952331543</v>
      </c>
      <c r="I1786" s="19" t="n">
        <v>1128.511070251465</v>
      </c>
      <c r="J1786" s="19" t="n">
        <v>1606.3932940979</v>
      </c>
      <c r="K1786" s="19" t="n">
        <v>1128.511070251465</v>
      </c>
      <c r="L1786" s="19" t="n">
        <v>1427.187460155487</v>
      </c>
      <c r="M1786" s="19" t="n">
        <v>1606.3932940979</v>
      </c>
      <c r="N1786" s="17" t="inlineStr">
        <is>
          <t>C</t>
        </is>
      </c>
      <c r="O1786" s="19" t="n">
        <v>703.5844378967284</v>
      </c>
      <c r="P1786" s="18" t="inlineStr">
        <is>
          <t>CÂN NHẮC THỬ NGHIỆM</t>
        </is>
      </c>
      <c r="Q1786" s="17" t="inlineStr">
        <is>
          <t>Không</t>
        </is>
      </c>
      <c r="R1786" s="20" t="n"/>
      <c r="S1786" s="20" t="n"/>
      <c r="T1786" s="21" t="n"/>
      <c r="U1786" s="21" t="n"/>
      <c r="V1786" s="22">
        <f>IF(U1786="A",K1786,IF(U1786="B",L1786,IF(U1786="C",M1786,IF(N1786="A",K1786,IF(N1786="B",L1786,M1786)))))</f>
        <v/>
      </c>
      <c r="W1786" s="22">
        <f>IF(R1786="",O1786,MAX(V1786-R1786-N(S1786),0))</f>
        <v/>
      </c>
      <c r="X1786" s="20" t="n"/>
      <c r="Y1786" s="23">
        <f>IF(OR(X1786="",W1786=0),"",X1786/W1786-1)</f>
        <v/>
      </c>
      <c r="Z1786" s="24" t="n"/>
      <c r="AA1786" s="21" t="n"/>
      <c r="AB1786" s="25" t="n"/>
      <c r="AC1786" s="26">
        <f>IF(T1786="","Chưa quyết định",IF(OR(Z1786="",AA1786=""),"⚠ Thiếu lý do/người duyệt",IF(AND(X1786&lt;&gt;"",N(X1786)+N(R1786)+N(S1786)&gt;M1786*1.001,R1786&lt;&gt;""),"⚠ Vượt mục tiêu P90",IF(AND(Y1786&lt;&gt;"",ABS(N(Y1786))&gt;0.3),"⚠ Lệch &gt; 30% so với nhu cầu",IF(Q1786="Có","ℹ Kiểm tra ngoại suy KM","✓ Hợp lệ")))))</f>
        <v/>
      </c>
    </row>
  </sheetData>
  <sheetProtection selectLockedCells="0" selectUnlockedCells="0" sheet="1" objects="0" insertRows="1" insertHyperlinks="1" autoFilter="0" scenarios="0" formatColumns="0" deleteColumns="1" insertColumns="1" pivotTables="1" deleteRows="1" formatCells="1" formatRows="0" sort="0"/>
  <autoFilter ref="A4:AC1786"/>
  <mergeCells count="2">
    <mergeCell ref="A3:Q3"/>
    <mergeCell ref="R3:AC3"/>
  </mergeCells>
  <conditionalFormatting sqref="AC5:AC1786">
    <cfRule type="expression" priority="1" dxfId="0">
      <formula>LEFT(AC5,1)="⚠"</formula>
    </cfRule>
    <cfRule type="expression" priority="2" dxfId="1">
      <formula>LEFT(AC5,1)="✓"</formula>
    </cfRule>
  </conditionalFormatting>
  <conditionalFormatting sqref="E5:E1786">
    <cfRule type="expression" priority="3" dxfId="2">
      <formula>E5="HIGH"</formula>
    </cfRule>
    <cfRule type="expression" priority="4" dxfId="3">
      <formula>E5="MEDIUM"</formula>
    </cfRule>
    <cfRule type="expression" priority="5" dxfId="4">
      <formula>E5="LOW"</formula>
    </cfRule>
  </conditionalFormatting>
  <conditionalFormatting sqref="T5:T1786">
    <cfRule type="expression" priority="6" dxfId="4">
      <formula>T5="Duyệt"</formula>
    </cfRule>
    <cfRule type="expression" priority="7" dxfId="3">
      <formula>T5="Điều chỉnh"</formula>
    </cfRule>
    <cfRule type="expression" priority="8" dxfId="2">
      <formula>T5="Từ chối"</formula>
    </cfRule>
    <cfRule type="expression" priority="9" dxfId="5">
      <formula>T5="Yêu cầu xem lại"</formula>
    </cfRule>
  </conditionalFormatting>
  <dataValidations count="4">
    <dataValidation sqref="T5:T1786" showDropDown="0" showInputMessage="0" showErrorMessage="1" allowBlank="1" errorTitle="Giá trị không hợp lệ" error="Chọn: Duyệt, Điều chỉnh, Từ chối, Yêu cầu xem lại" type="list">
      <formula1>"Duyệt,Điều chỉnh,Từ chối,Yêu cầu xem lại"</formula1>
    </dataValidation>
    <dataValidation sqref="U5:U1786" showDropDown="0" showInputMessage="0" showErrorMessage="1" allowBlank="1" type="list">
      <formula1>"A,B,C,Khác"</formula1>
    </dataValidation>
    <dataValidation sqref="R5:R1786 S5:S1786 X5:X1786" showDropDown="0" showInputMessage="0" showErrorMessage="1" allowBlank="1" error="Nhập số ≥ 0" type="decimal" operator="greaterThanOrEqual">
      <formula1>0</formula1>
    </dataValidation>
    <dataValidation sqref="AB5:AB1786" showDropDown="0" showInputMessage="0" showErrorMessage="1" allowBlank="1" error="Nhập ngày hợp lệ" type="date" operator="greaterThan">
      <formula1>36526</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4" customWidth="1" min="1" max="1"/>
    <col width="18" customWidth="1" min="2" max="2"/>
  </cols>
  <sheetData>
    <row r="1">
      <c r="A1" s="10" t="inlineStr">
        <is>
          <t>Tổng hợp quyết định</t>
        </is>
      </c>
    </row>
    <row r="2">
      <c r="A2" s="3" t="inlineStr">
        <is>
          <t>Tự cập nhật khi nhập ở sheet 'Mẫu quyết định'.</t>
        </is>
      </c>
    </row>
    <row r="4">
      <c r="A4" s="27" t="inlineStr">
        <is>
          <t>Chỉ tiêu</t>
        </is>
      </c>
      <c r="B4" s="27" t="inlineStr">
        <is>
          <t>Giá trị</t>
        </is>
      </c>
      <c r="D4" s="28" t="inlineStr">
        <is>
          <t>Ghi chú</t>
        </is>
      </c>
    </row>
    <row r="5">
      <c r="A5" s="29" t="inlineStr">
        <is>
          <t>Tổng số phiếu</t>
        </is>
      </c>
      <c r="B5" s="30">
        <f>ROWS('Mẫu quyết định'!$T$5:$T$1786)</f>
        <v/>
      </c>
      <c r="D5" t="inlineStr">
        <is>
          <t>Tạo lúc 27/09/2026 19:59 từ outputs/ của pipeline (Stage 05, 07, 08).</t>
        </is>
      </c>
    </row>
    <row r="6">
      <c r="A6" s="29" t="inlineStr">
        <is>
          <t>Đã quyết định</t>
        </is>
      </c>
      <c r="B6" s="30">
        <f>COUNTA('Mẫu quyết định'!$T$5:$T$1786)</f>
        <v/>
      </c>
      <c r="D6" t="inlineStr">
        <is>
          <t>Sau khi duyệt, có thể nhập lại quyết định vào dashboard (trang 07) để ghi nhật ký HITL.</t>
        </is>
      </c>
    </row>
    <row r="7">
      <c r="A7" s="29" t="inlineStr">
        <is>
          <t>Chưa quyết định</t>
        </is>
      </c>
      <c r="B7" s="30">
        <f>B5-B6</f>
        <v/>
      </c>
    </row>
    <row r="8">
      <c r="A8" s="29" t="inlineStr">
        <is>
          <t>Tỷ lệ hoàn thành</t>
        </is>
      </c>
      <c r="B8" s="31">
        <f>IF(B5=0,0,B6/B5)</f>
        <v/>
      </c>
    </row>
    <row r="9">
      <c r="A9" s="29" t="inlineStr">
        <is>
          <t>Số phiếu: Duyệt</t>
        </is>
      </c>
      <c r="B9" s="30">
        <f>COUNTIF('Mẫu quyết định'!$T$5:$T$1786,"Duyệt")</f>
        <v/>
      </c>
    </row>
    <row r="10">
      <c r="A10" s="29" t="inlineStr">
        <is>
          <t>Số phiếu: Điều chỉnh</t>
        </is>
      </c>
      <c r="B10" s="30">
        <f>COUNTIF('Mẫu quyết định'!$T$5:$T$1786,"Điều chỉnh")</f>
        <v/>
      </c>
    </row>
    <row r="11">
      <c r="A11" s="29" t="inlineStr">
        <is>
          <t>Số phiếu: Từ chối</t>
        </is>
      </c>
      <c r="B11" s="30">
        <f>COUNTIF('Mẫu quyết định'!$T$5:$T$1786,"Từ chối")</f>
        <v/>
      </c>
    </row>
    <row r="12">
      <c r="A12" s="29" t="inlineStr">
        <is>
          <t>Số phiếu: Yêu cầu xem lại</t>
        </is>
      </c>
      <c r="B12" s="30">
        <f>COUNTIF('Mẫu quyết định'!$T$5:$T$1786,"Yêu cầu xem lại")</f>
        <v/>
      </c>
    </row>
    <row r="13">
      <c r="A13" s="29" t="inlineStr">
        <is>
          <t>Tổng SL cần theo tồn thực</t>
        </is>
      </c>
      <c r="B13" s="32">
        <f>SUM('Mẫu quyết định'!$W$5:$W$1786)</f>
        <v/>
      </c>
    </row>
    <row r="14">
      <c r="A14" s="29" t="inlineStr">
        <is>
          <t>Tổng số lượng cuối đã duyệt</t>
        </is>
      </c>
      <c r="B14" s="32">
        <f>SUMIFS('Mẫu quyết định'!$X$5:$X$1786,'Mẫu quyết định'!$T$5:$T$1786,"Duyệt")+SUMIFS('Mẫu quyết định'!$X$5:$X$1786,'Mẫu quyết định'!$T$5:$T$1786,"Điều chỉnh")</f>
        <v/>
      </c>
    </row>
    <row r="15">
      <c r="A15" s="29" t="inlineStr">
        <is>
          <t>Số dòng có cảnh báo ⚠</t>
        </is>
      </c>
      <c r="B15" s="30">
        <f>COUNTIF('Mẫu quyết định'!$AC$5:$AC$1786,"⚠*")</f>
        <v/>
      </c>
    </row>
    <row r="16">
      <c r="A16" s="29" t="inlineStr">
        <is>
          <t>Phiếu HIGH chưa quyết định</t>
        </is>
      </c>
      <c r="B16" s="30">
        <f>COUNTIFS('Mẫu quyết định'!$E$5:$E$1786,"HIGH",'Mẫu quyết định'!$T$5:$T$1786,"")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2026-09-27T19:59:20Z</dcterms:created>
  <dcterms:modified xmlns:dcterms="http://purl.org/dc/terms/" xmlns:xsi="http://www.w3.org/2001/XMLSchema-instance" xsi:type="dcterms:W3CDTF">2026-09-27T19:59:22Z</dcterms:modified>
</cp:coreProperties>
</file>